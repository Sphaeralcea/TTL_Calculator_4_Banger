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ss\Documents\Misc Stuff\Calculator\"/>
    </mc:Choice>
  </mc:AlternateContent>
  <xr:revisionPtr revIDLastSave="0" documentId="13_ncr:1_{592F4FF7-27F4-4CF7-8CE7-1D6E213D7697}" xr6:coauthVersionLast="47" xr6:coauthVersionMax="47" xr10:uidLastSave="{00000000-0000-0000-0000-000000000000}"/>
  <bookViews>
    <workbookView xWindow="-108" yWindow="-108" windowWidth="23256" windowHeight="13896" tabRatio="783" activeTab="1" xr2:uid="{00000000-000D-0000-FFFF-FFFF00000000}"/>
  </bookViews>
  <sheets>
    <sheet name="Add6" sheetId="54" r:id="rId1"/>
    <sheet name="Mult11" sheetId="51" r:id="rId2"/>
    <sheet name="Div13" sheetId="5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2" i="57" l="1"/>
  <c r="R251" i="57"/>
  <c r="R230" i="57"/>
  <c r="R228" i="57"/>
  <c r="R207" i="57"/>
  <c r="R205" i="57"/>
  <c r="R182" i="57"/>
  <c r="R184" i="57" s="1"/>
  <c r="R161" i="57"/>
  <c r="R159" i="57"/>
  <c r="R136" i="57"/>
  <c r="R138" i="57" s="1"/>
  <c r="R113" i="57"/>
  <c r="R115" i="57" s="1"/>
  <c r="R91" i="57"/>
  <c r="R92" i="57" s="1"/>
  <c r="R90" i="57"/>
  <c r="L38" i="57"/>
  <c r="L31" i="57"/>
  <c r="L32" i="57" s="1"/>
  <c r="L33" i="57" s="1"/>
  <c r="L34" i="57" s="1"/>
  <c r="L35" i="57" s="1"/>
  <c r="L36" i="57" s="1"/>
  <c r="L37" i="57" s="1"/>
  <c r="L30" i="57"/>
  <c r="L29" i="57"/>
  <c r="K25" i="57"/>
  <c r="K26" i="57" s="1"/>
  <c r="K27" i="57" s="1"/>
  <c r="K28" i="57" s="1"/>
  <c r="K29" i="57" s="1"/>
  <c r="K30" i="57" s="1"/>
  <c r="K31" i="57" s="1"/>
  <c r="K32" i="57" s="1"/>
  <c r="K33" i="57" s="1"/>
  <c r="K34" i="57" s="1"/>
  <c r="K35" i="57" s="1"/>
  <c r="K36" i="57" s="1"/>
  <c r="K37" i="57" s="1"/>
  <c r="K38" i="57" s="1"/>
  <c r="K39" i="57" s="1"/>
  <c r="K40" i="57" s="1"/>
  <c r="K41" i="57" s="1"/>
  <c r="K42" i="57" s="1"/>
  <c r="K43" i="57" s="1"/>
  <c r="K44" i="57" s="1"/>
  <c r="K45" i="57" s="1"/>
  <c r="K46" i="57" s="1"/>
  <c r="K47" i="57" s="1"/>
  <c r="K24" i="57"/>
  <c r="L23" i="57"/>
  <c r="L24" i="57" s="1"/>
  <c r="L25" i="57" s="1"/>
  <c r="L26" i="57" s="1"/>
  <c r="L27" i="57" s="1"/>
  <c r="O28" i="57" s="1"/>
  <c r="O29" i="57" s="1"/>
  <c r="O30" i="57" s="1"/>
  <c r="W22" i="57"/>
  <c r="W23" i="57" s="1"/>
  <c r="W24" i="57" s="1"/>
  <c r="W25" i="57" s="1"/>
  <c r="W26" i="57" s="1"/>
  <c r="W27" i="57" s="1"/>
  <c r="W28" i="57" s="1"/>
  <c r="W29" i="57" s="1"/>
  <c r="W30" i="57" s="1"/>
  <c r="T22" i="57"/>
  <c r="T23" i="57" s="1"/>
  <c r="T24" i="57" s="1"/>
  <c r="T25" i="57" s="1"/>
  <c r="T26" i="57" s="1"/>
  <c r="T27" i="57" s="1"/>
  <c r="T28" i="57" s="1"/>
  <c r="S22" i="57"/>
  <c r="S23" i="57" s="1"/>
  <c r="S24" i="57" s="1"/>
  <c r="S25" i="57" s="1"/>
  <c r="S26" i="57" s="1"/>
  <c r="S27" i="57" s="1"/>
  <c r="S28" i="57" s="1"/>
  <c r="S29" i="57" s="1"/>
  <c r="S30" i="57" s="1"/>
  <c r="L3" i="57"/>
  <c r="H3" i="57" s="1"/>
  <c r="W2" i="57"/>
  <c r="W3" i="57" s="1"/>
  <c r="W4" i="57" s="1"/>
  <c r="W5" i="57" s="1"/>
  <c r="W6" i="57" s="1"/>
  <c r="W7" i="57" s="1"/>
  <c r="V2" i="57" a="1"/>
  <c r="V2" i="57" s="1"/>
  <c r="V3" i="57" s="1"/>
  <c r="V4" i="57" s="1"/>
  <c r="V5" i="57" s="1"/>
  <c r="V6" i="57" s="1"/>
  <c r="V7" i="57" s="1"/>
  <c r="V8" i="57" s="1"/>
  <c r="V9" i="57" s="1"/>
  <c r="V10" i="57" s="1"/>
  <c r="V11" i="57" s="1"/>
  <c r="V12" i="57" s="1"/>
  <c r="V13" i="57" s="1"/>
  <c r="V14" i="57" s="1"/>
  <c r="V15" i="57" s="1"/>
  <c r="V16" i="57" s="1"/>
  <c r="V17" i="57" s="1"/>
  <c r="V18" i="57" s="1"/>
  <c r="V19" i="57" s="1"/>
  <c r="V20" i="57" s="1"/>
  <c r="U2" i="57" a="1"/>
  <c r="U2" i="57" s="1"/>
  <c r="U3" i="57" s="1"/>
  <c r="U4" i="57" s="1"/>
  <c r="U5" i="57" s="1"/>
  <c r="U6" i="57" s="1"/>
  <c r="U7" i="57" s="1"/>
  <c r="U8" i="57" s="1"/>
  <c r="U9" i="57" s="1"/>
  <c r="U10" i="57" s="1"/>
  <c r="U11" i="57" s="1"/>
  <c r="U12" i="57" s="1"/>
  <c r="U13" i="57" s="1"/>
  <c r="U14" i="57" s="1"/>
  <c r="U15" i="57" s="1"/>
  <c r="U16" i="57" s="1"/>
  <c r="U17" i="57" s="1"/>
  <c r="U18" i="57" s="1"/>
  <c r="U19" i="57" s="1"/>
  <c r="U20" i="57" s="1"/>
  <c r="T2" i="57"/>
  <c r="T3" i="57" s="1"/>
  <c r="T4" i="57" s="1"/>
  <c r="S2" i="57"/>
  <c r="S3" i="57" s="1"/>
  <c r="S4" i="57" s="1"/>
  <c r="L4" i="57" l="1"/>
  <c r="L5" i="57" s="1"/>
  <c r="U21" i="57"/>
  <c r="U22" i="57" a="1"/>
  <c r="U22" i="57" s="1"/>
  <c r="U23" i="57" s="1"/>
  <c r="U24" i="57" s="1"/>
  <c r="U25" i="57" s="1"/>
  <c r="U26" i="57" s="1"/>
  <c r="U27" i="57" s="1"/>
  <c r="U28" i="57" s="1"/>
  <c r="T29" i="57" s="1"/>
  <c r="T30" i="57" s="1"/>
  <c r="T31" i="57" s="1"/>
  <c r="T32" i="57" s="1"/>
  <c r="T33" i="57" s="1"/>
  <c r="T34" i="57" s="1"/>
  <c r="T35" i="57" s="1"/>
  <c r="T36" i="57" s="1"/>
  <c r="T37" i="57" s="1"/>
  <c r="T38" i="57" s="1"/>
  <c r="T39" i="57" s="1"/>
  <c r="T40" i="57" s="1"/>
  <c r="T41" i="57" s="1"/>
  <c r="T42" i="57" s="1"/>
  <c r="T43" i="57" s="1"/>
  <c r="T44" i="57" s="1"/>
  <c r="T45" i="57" s="1"/>
  <c r="T46" i="57" s="1"/>
  <c r="T47" i="57" s="1"/>
  <c r="T49" i="57" s="1"/>
  <c r="T50" i="57" s="1"/>
  <c r="T51" i="57" s="1"/>
  <c r="T52" i="57" s="1"/>
  <c r="V21" i="57"/>
  <c r="V22" i="57" a="1"/>
  <c r="V22" i="57" s="1"/>
  <c r="V23" i="57" s="1"/>
  <c r="V24" i="57" s="1"/>
  <c r="V25" i="57" s="1"/>
  <c r="V26" i="57" s="1"/>
  <c r="V27" i="57" s="1"/>
  <c r="V28" i="57" s="1"/>
  <c r="O6" i="57"/>
  <c r="L6" i="57"/>
  <c r="S5" i="57"/>
  <c r="S31" i="57"/>
  <c r="W31" i="57"/>
  <c r="W32" i="57" s="1"/>
  <c r="W33" i="57" s="1"/>
  <c r="W34" i="57" s="1"/>
  <c r="W35" i="57" s="1"/>
  <c r="W36" i="57" s="1"/>
  <c r="W37" i="57" s="1"/>
  <c r="W38" i="57" s="1"/>
  <c r="W39" i="57" s="1"/>
  <c r="W40" i="57" s="1"/>
  <c r="W41" i="57" s="1"/>
  <c r="W42" i="57" s="1"/>
  <c r="W43" i="57" s="1"/>
  <c r="W44" i="57" s="1"/>
  <c r="W45" i="57" s="1"/>
  <c r="W46" i="57" s="1"/>
  <c r="W47" i="57" s="1"/>
  <c r="W49" i="57" s="1"/>
  <c r="W50" i="57" s="1"/>
  <c r="W51" i="57" s="1"/>
  <c r="W52" i="57" s="1"/>
  <c r="W53" i="57" s="1"/>
  <c r="W54" i="57" s="1"/>
  <c r="W55" i="57" s="1"/>
  <c r="W56" i="57" s="1"/>
  <c r="W57" i="57" s="1"/>
  <c r="W58" i="57" s="1"/>
  <c r="W59" i="57" s="1"/>
  <c r="W60" i="57" s="1"/>
  <c r="W61" i="57" s="1"/>
  <c r="W62" i="57" s="1"/>
  <c r="W63" i="57" s="1"/>
  <c r="W64" i="57" s="1"/>
  <c r="W65" i="57" s="1"/>
  <c r="W66" i="57" s="1"/>
  <c r="W67" i="57" s="1"/>
  <c r="W68" i="57" s="1"/>
  <c r="O31" i="57"/>
  <c r="O32" i="57" s="1"/>
  <c r="R23" i="57" a="1"/>
  <c r="R23" i="57" s="1"/>
  <c r="R24" i="57" s="1"/>
  <c r="R25" i="57" s="1"/>
  <c r="R26" i="57" s="1"/>
  <c r="R27" i="57" s="1"/>
  <c r="R28" i="57" s="1"/>
  <c r="R29" i="57" s="1"/>
  <c r="R30" i="57" s="1"/>
  <c r="R31" i="57" s="1"/>
  <c r="H23" i="57"/>
  <c r="S32" i="57" l="1"/>
  <c r="R32" i="57"/>
  <c r="O33" i="57"/>
  <c r="O7" i="57"/>
  <c r="O8" i="57" s="1"/>
  <c r="O9" i="57" s="1"/>
  <c r="O10" i="57" s="1"/>
  <c r="O11" i="57" s="1"/>
  <c r="O12" i="57" s="1"/>
  <c r="O13" i="57" s="1"/>
  <c r="O14" i="57" s="1"/>
  <c r="O15" i="57" s="1"/>
  <c r="O16" i="57" s="1"/>
  <c r="O17" i="57" s="1"/>
  <c r="O18" i="57" s="1"/>
  <c r="O19" i="57" s="1"/>
  <c r="O20" i="57" s="1"/>
  <c r="L21" i="57" s="1"/>
  <c r="L7" i="57"/>
  <c r="K7" i="57"/>
  <c r="L8" i="57" s="1"/>
  <c r="T5" i="57"/>
  <c r="T6" i="57" s="1"/>
  <c r="T7" i="57" s="1"/>
  <c r="T8" i="57" s="1"/>
  <c r="T9" i="57" s="1"/>
  <c r="T10" i="57" s="1"/>
  <c r="T11" i="57" s="1"/>
  <c r="T12" i="57" s="1"/>
  <c r="T13" i="57" s="1"/>
  <c r="T14" i="57" s="1"/>
  <c r="T15" i="57" s="1"/>
  <c r="T16" i="57" s="1"/>
  <c r="T17" i="57" s="1"/>
  <c r="T18" i="57" s="1"/>
  <c r="T19" i="57" s="1"/>
  <c r="T20" i="57" s="1"/>
  <c r="T21" i="57" s="1"/>
  <c r="S6" i="57"/>
  <c r="S7" i="57" s="1"/>
  <c r="S8" i="57" s="1"/>
  <c r="S9" i="57" s="1"/>
  <c r="S10" i="57" s="1"/>
  <c r="S11" i="57" s="1"/>
  <c r="S12" i="57" s="1"/>
  <c r="S13" i="57" s="1"/>
  <c r="S14" i="57" s="1"/>
  <c r="S15" i="57" s="1"/>
  <c r="S16" i="57" s="1"/>
  <c r="S17" i="57" s="1"/>
  <c r="S18" i="57" s="1"/>
  <c r="S19" i="57" s="1"/>
  <c r="S20" i="57" s="1"/>
  <c r="S21" i="57" s="1"/>
  <c r="V29" i="57"/>
  <c r="V30" i="57" s="1"/>
  <c r="V31" i="57" s="1"/>
  <c r="V32" i="57" s="1"/>
  <c r="V33" i="57" s="1"/>
  <c r="V34" i="57" s="1"/>
  <c r="V35" i="57" s="1"/>
  <c r="V36" i="57" s="1"/>
  <c r="V37" i="57" s="1"/>
  <c r="V38" i="57" s="1"/>
  <c r="V39" i="57" s="1"/>
  <c r="V40" i="57" s="1"/>
  <c r="V41" i="57" s="1"/>
  <c r="V42" i="57" s="1"/>
  <c r="V43" i="57" s="1"/>
  <c r="V44" i="57" s="1"/>
  <c r="V45" i="57" s="1"/>
  <c r="V46" i="57" s="1"/>
  <c r="V47" i="57" s="1"/>
  <c r="V49" i="57" s="1"/>
  <c r="V50" i="57" s="1"/>
  <c r="V51" i="57" s="1"/>
  <c r="V52" i="57" s="1"/>
  <c r="V53" i="57" s="1"/>
  <c r="V54" i="57" s="1"/>
  <c r="V55" i="57" s="1"/>
  <c r="V56" i="57" s="1"/>
  <c r="V57" i="57" s="1"/>
  <c r="V58" i="57" s="1"/>
  <c r="V59" i="57" s="1"/>
  <c r="V60" i="57" s="1"/>
  <c r="V61" i="57" s="1"/>
  <c r="V62" i="57" s="1"/>
  <c r="V63" i="57" s="1"/>
  <c r="V64" i="57" s="1"/>
  <c r="V65" i="57" s="1"/>
  <c r="V66" i="57" s="1"/>
  <c r="V67" i="57" s="1"/>
  <c r="V68" i="57" s="1"/>
  <c r="V69" i="57" s="1"/>
  <c r="V70" i="57" s="1"/>
  <c r="V71" i="57" s="1"/>
  <c r="V72" i="57" s="1"/>
  <c r="V73" i="57" s="1"/>
  <c r="V74" i="57" s="1"/>
  <c r="V75" i="57" s="1"/>
  <c r="V76" i="57" s="1"/>
  <c r="V77" i="57" s="1"/>
  <c r="V78" i="57" s="1"/>
  <c r="V79" i="57" s="1"/>
  <c r="V80" i="57" s="1"/>
  <c r="V81" i="57" s="1"/>
  <c r="V82" i="57" s="1"/>
  <c r="V83" i="57" s="1"/>
  <c r="V84" i="57" s="1"/>
  <c r="V85" i="57" s="1"/>
  <c r="V86" i="57" s="1"/>
  <c r="V87" i="57" s="1"/>
  <c r="V88" i="57" s="1"/>
  <c r="V89" i="57" s="1"/>
  <c r="V90" i="57" s="1"/>
  <c r="V91" i="57" s="1"/>
  <c r="V92" i="57" s="1"/>
  <c r="V93" i="57" s="1"/>
  <c r="V94" i="57" s="1"/>
  <c r="V95" i="57" s="1"/>
  <c r="V96" i="57" s="1"/>
  <c r="V97" i="57" s="1"/>
  <c r="V98" i="57" s="1"/>
  <c r="V99" i="57" s="1"/>
  <c r="V100" i="57" s="1"/>
  <c r="V101" i="57" s="1"/>
  <c r="V102" i="57" s="1"/>
  <c r="V103" i="57" s="1"/>
  <c r="V104" i="57" s="1"/>
  <c r="V105" i="57" s="1"/>
  <c r="V106" i="57" s="1"/>
  <c r="V107" i="57" s="1"/>
  <c r="V108" i="57" s="1"/>
  <c r="V109" i="57" s="1"/>
  <c r="V110" i="57" s="1"/>
  <c r="V111" i="57" s="1"/>
  <c r="V112" i="57" s="1"/>
  <c r="V113" i="57" s="1"/>
  <c r="V115" i="57" s="1"/>
  <c r="V116" i="57" s="1"/>
  <c r="V117" i="57" s="1"/>
  <c r="V118" i="57" s="1"/>
  <c r="V119" i="57" s="1"/>
  <c r="V120" i="57" s="1"/>
  <c r="V121" i="57" s="1"/>
  <c r="V122" i="57" s="1"/>
  <c r="V123" i="57" s="1"/>
  <c r="V124" i="57" s="1"/>
  <c r="V125" i="57" s="1"/>
  <c r="V126" i="57" s="1"/>
  <c r="V127" i="57" s="1"/>
  <c r="V128" i="57" s="1"/>
  <c r="V129" i="57" s="1"/>
  <c r="V130" i="57" s="1"/>
  <c r="V131" i="57" s="1"/>
  <c r="V132" i="57" s="1"/>
  <c r="V133" i="57" s="1"/>
  <c r="V134" i="57" s="1"/>
  <c r="V135" i="57" s="1"/>
  <c r="V136" i="57" s="1"/>
  <c r="V138" i="57" s="1"/>
  <c r="V139" i="57" s="1"/>
  <c r="V140" i="57" s="1"/>
  <c r="V141" i="57" s="1"/>
  <c r="V142" i="57" s="1"/>
  <c r="V143" i="57" s="1"/>
  <c r="V144" i="57" s="1"/>
  <c r="V145" i="57" s="1"/>
  <c r="V146" i="57" s="1"/>
  <c r="V147" i="57" s="1"/>
  <c r="V148" i="57" s="1"/>
  <c r="V149" i="57" s="1"/>
  <c r="V150" i="57" s="1"/>
  <c r="V151" i="57" s="1"/>
  <c r="V152" i="57" s="1"/>
  <c r="V153" i="57" s="1"/>
  <c r="V154" i="57" s="1"/>
  <c r="V155" i="57" s="1"/>
  <c r="V156" i="57" s="1"/>
  <c r="V157" i="57" s="1"/>
  <c r="V158" i="57" s="1"/>
  <c r="V159" i="57" s="1"/>
  <c r="V161" i="57" s="1"/>
  <c r="V162" i="57" s="1"/>
  <c r="V163" i="57" s="1"/>
  <c r="V164" i="57" s="1"/>
  <c r="V165" i="57" s="1"/>
  <c r="V166" i="57" s="1"/>
  <c r="V167" i="57" s="1"/>
  <c r="V168" i="57" s="1"/>
  <c r="V169" i="57" s="1"/>
  <c r="V170" i="57" s="1"/>
  <c r="V171" i="57" s="1"/>
  <c r="V172" i="57" s="1"/>
  <c r="V173" i="57" s="1"/>
  <c r="V174" i="57" s="1"/>
  <c r="V175" i="57" s="1"/>
  <c r="V176" i="57" s="1"/>
  <c r="V177" i="57" s="1"/>
  <c r="V178" i="57" s="1"/>
  <c r="V179" i="57" s="1"/>
  <c r="V180" i="57" s="1"/>
  <c r="V181" i="57" s="1"/>
  <c r="V182" i="57" s="1"/>
  <c r="V184" i="57" s="1"/>
  <c r="V185" i="57" s="1"/>
  <c r="V186" i="57" s="1"/>
  <c r="V187" i="57" s="1"/>
  <c r="V188" i="57" s="1"/>
  <c r="V189" i="57" s="1"/>
  <c r="V190" i="57" s="1"/>
  <c r="V191" i="57" s="1"/>
  <c r="V192" i="57" s="1"/>
  <c r="V193" i="57" s="1"/>
  <c r="V194" i="57" s="1"/>
  <c r="V195" i="57" s="1"/>
  <c r="V196" i="57" s="1"/>
  <c r="V197" i="57" s="1"/>
  <c r="V198" i="57" s="1"/>
  <c r="V199" i="57" s="1"/>
  <c r="V200" i="57" s="1"/>
  <c r="V201" i="57" s="1"/>
  <c r="V202" i="57" s="1"/>
  <c r="V203" i="57" s="1"/>
  <c r="V204" i="57" s="1"/>
  <c r="V205" i="57" s="1"/>
  <c r="V207" i="57" s="1"/>
  <c r="V208" i="57" s="1"/>
  <c r="V209" i="57" s="1"/>
  <c r="V210" i="57" s="1"/>
  <c r="V211" i="57" s="1"/>
  <c r="V212" i="57" s="1"/>
  <c r="V213" i="57" s="1"/>
  <c r="V214" i="57" s="1"/>
  <c r="V215" i="57" s="1"/>
  <c r="V216" i="57" s="1"/>
  <c r="V217" i="57" s="1"/>
  <c r="V218" i="57" s="1"/>
  <c r="V219" i="57" s="1"/>
  <c r="V220" i="57" s="1"/>
  <c r="V221" i="57" s="1"/>
  <c r="V222" i="57" s="1"/>
  <c r="V223" i="57" s="1"/>
  <c r="V224" i="57" s="1"/>
  <c r="V225" i="57" s="1"/>
  <c r="V226" i="57" s="1"/>
  <c r="V227" i="57" s="1"/>
  <c r="V228" i="57" s="1"/>
  <c r="V230" i="57" s="1"/>
  <c r="V231" i="57" s="1"/>
  <c r="V232" i="57" s="1"/>
  <c r="V233" i="57" s="1"/>
  <c r="V234" i="57" s="1"/>
  <c r="V235" i="57" s="1"/>
  <c r="V236" i="57" s="1"/>
  <c r="V237" i="57" s="1"/>
  <c r="V238" i="57" s="1"/>
  <c r="V239" i="57" s="1"/>
  <c r="V240" i="57" s="1"/>
  <c r="V241" i="57" s="1"/>
  <c r="V242" i="57" s="1"/>
  <c r="V243" i="57" s="1"/>
  <c r="V244" i="57" s="1"/>
  <c r="V245" i="57" s="1"/>
  <c r="V246" i="57" s="1"/>
  <c r="V247" i="57" s="1"/>
  <c r="V248" i="57" s="1"/>
  <c r="V249" i="57" s="1"/>
  <c r="V250" i="57" s="1"/>
  <c r="V251" i="57" s="1"/>
  <c r="V252" i="57" s="1"/>
  <c r="U29" i="57"/>
  <c r="U30" i="57" s="1"/>
  <c r="U31" i="57" s="1"/>
  <c r="U32" i="57" s="1"/>
  <c r="U33" i="57" s="1"/>
  <c r="U34" i="57" s="1"/>
  <c r="U35" i="57" s="1"/>
  <c r="U36" i="57" s="1"/>
  <c r="U37" i="57" s="1"/>
  <c r="U38" i="57" s="1"/>
  <c r="U39" i="57" s="1"/>
  <c r="U40" i="57" s="1"/>
  <c r="U41" i="57" s="1"/>
  <c r="U42" i="57" s="1"/>
  <c r="U43" i="57" s="1"/>
  <c r="U44" i="57" s="1"/>
  <c r="U45" i="57" s="1"/>
  <c r="U46" i="57" s="1"/>
  <c r="U47" i="57" s="1"/>
  <c r="U49" i="57" s="1"/>
  <c r="U50" i="57" s="1"/>
  <c r="U51" i="57" s="1"/>
  <c r="U52" i="57" s="1"/>
  <c r="U53" i="57" s="1"/>
  <c r="U54" i="57" s="1"/>
  <c r="U55" i="57" s="1"/>
  <c r="U56" i="57" s="1"/>
  <c r="U57" i="57" s="1"/>
  <c r="U58" i="57" s="1"/>
  <c r="U59" i="57" s="1"/>
  <c r="U60" i="57" s="1"/>
  <c r="U61" i="57" s="1"/>
  <c r="U62" i="57" s="1"/>
  <c r="U63" i="57" s="1"/>
  <c r="U64" i="57" s="1"/>
  <c r="U65" i="57" s="1"/>
  <c r="U66" i="57" s="1"/>
  <c r="U67" i="57" s="1"/>
  <c r="U68" i="57" s="1"/>
  <c r="U69" i="57" s="1"/>
  <c r="U70" i="57" s="1"/>
  <c r="U71" i="57" s="1"/>
  <c r="U72" i="57" s="1"/>
  <c r="U73" i="57" s="1"/>
  <c r="U74" i="57" s="1"/>
  <c r="U75" i="57" s="1"/>
  <c r="U76" i="57" s="1"/>
  <c r="U77" i="57" s="1"/>
  <c r="U78" i="57" s="1"/>
  <c r="U79" i="57" s="1"/>
  <c r="U80" i="57" s="1"/>
  <c r="U81" i="57" s="1"/>
  <c r="U82" i="57" s="1"/>
  <c r="U83" i="57" s="1"/>
  <c r="U84" i="57" s="1"/>
  <c r="U85" i="57" s="1"/>
  <c r="U86" i="57" s="1"/>
  <c r="U87" i="57" s="1"/>
  <c r="U88" i="57" s="1"/>
  <c r="U89" i="57" s="1"/>
  <c r="U90" i="57" s="1"/>
  <c r="U91" i="57" s="1"/>
  <c r="U92" i="57" s="1"/>
  <c r="U93" i="57" s="1"/>
  <c r="U94" i="57" s="1"/>
  <c r="U95" i="57" s="1"/>
  <c r="U96" i="57" s="1"/>
  <c r="U97" i="57" s="1"/>
  <c r="U98" i="57" s="1"/>
  <c r="U99" i="57" s="1"/>
  <c r="U100" i="57" s="1"/>
  <c r="U101" i="57" s="1"/>
  <c r="U102" i="57" s="1"/>
  <c r="U103" i="57" s="1"/>
  <c r="U104" i="57" s="1"/>
  <c r="U105" i="57" s="1"/>
  <c r="U106" i="57" s="1"/>
  <c r="U107" i="57" s="1"/>
  <c r="U108" i="57" s="1"/>
  <c r="U109" i="57" s="1"/>
  <c r="U110" i="57" s="1"/>
  <c r="U111" i="57" s="1"/>
  <c r="U112" i="57" s="1"/>
  <c r="U113" i="57" s="1"/>
  <c r="U115" i="57" s="1"/>
  <c r="U116" i="57" s="1"/>
  <c r="U117" i="57" s="1"/>
  <c r="U118" i="57" s="1"/>
  <c r="U119" i="57" s="1"/>
  <c r="U120" i="57" s="1"/>
  <c r="U121" i="57" s="1"/>
  <c r="U122" i="57" s="1"/>
  <c r="U123" i="57" s="1"/>
  <c r="U124" i="57" s="1"/>
  <c r="U125" i="57" s="1"/>
  <c r="U126" i="57" s="1"/>
  <c r="U127" i="57" s="1"/>
  <c r="U128" i="57" s="1"/>
  <c r="U129" i="57" s="1"/>
  <c r="U130" i="57" s="1"/>
  <c r="U131" i="57" s="1"/>
  <c r="U132" i="57" s="1"/>
  <c r="U133" i="57" s="1"/>
  <c r="U134" i="57" s="1"/>
  <c r="U135" i="57" s="1"/>
  <c r="U136" i="57" s="1"/>
  <c r="U138" i="57" s="1"/>
  <c r="U139" i="57" s="1"/>
  <c r="U140" i="57" s="1"/>
  <c r="U141" i="57" s="1"/>
  <c r="U142" i="57" s="1"/>
  <c r="U143" i="57" s="1"/>
  <c r="U144" i="57" s="1"/>
  <c r="U145" i="57" s="1"/>
  <c r="U146" i="57" s="1"/>
  <c r="U147" i="57" s="1"/>
  <c r="U148" i="57" s="1"/>
  <c r="U149" i="57" s="1"/>
  <c r="U150" i="57" s="1"/>
  <c r="U151" i="57" s="1"/>
  <c r="U152" i="57" s="1"/>
  <c r="U153" i="57" s="1"/>
  <c r="U154" i="57" s="1"/>
  <c r="U155" i="57" s="1"/>
  <c r="U156" i="57" s="1"/>
  <c r="U157" i="57" s="1"/>
  <c r="U158" i="57" s="1"/>
  <c r="U159" i="57" s="1"/>
  <c r="U161" i="57" s="1"/>
  <c r="U162" i="57" s="1"/>
  <c r="U163" i="57" s="1"/>
  <c r="U164" i="57" s="1"/>
  <c r="U165" i="57" s="1"/>
  <c r="U166" i="57" s="1"/>
  <c r="U167" i="57" s="1"/>
  <c r="U168" i="57" s="1"/>
  <c r="U169" i="57" s="1"/>
  <c r="U170" i="57" s="1"/>
  <c r="U171" i="57" s="1"/>
  <c r="U172" i="57" s="1"/>
  <c r="U173" i="57" s="1"/>
  <c r="U174" i="57" s="1"/>
  <c r="U175" i="57" s="1"/>
  <c r="U176" i="57" s="1"/>
  <c r="U177" i="57" s="1"/>
  <c r="U178" i="57" s="1"/>
  <c r="U179" i="57" s="1"/>
  <c r="U180" i="57" s="1"/>
  <c r="U181" i="57" s="1"/>
  <c r="U182" i="57" s="1"/>
  <c r="U184" i="57" s="1"/>
  <c r="U185" i="57" s="1"/>
  <c r="U186" i="57" s="1"/>
  <c r="U187" i="57" s="1"/>
  <c r="U188" i="57" s="1"/>
  <c r="U189" i="57" s="1"/>
  <c r="U190" i="57" s="1"/>
  <c r="U191" i="57" s="1"/>
  <c r="U192" i="57" s="1"/>
  <c r="U193" i="57" s="1"/>
  <c r="U194" i="57" s="1"/>
  <c r="U195" i="57" s="1"/>
  <c r="U196" i="57" s="1"/>
  <c r="U197" i="57" s="1"/>
  <c r="U198" i="57" s="1"/>
  <c r="U199" i="57" s="1"/>
  <c r="U200" i="57" s="1"/>
  <c r="U201" i="57" s="1"/>
  <c r="U202" i="57" s="1"/>
  <c r="U203" i="57" s="1"/>
  <c r="U204" i="57" s="1"/>
  <c r="U205" i="57" s="1"/>
  <c r="U207" i="57" s="1"/>
  <c r="U208" i="57" s="1"/>
  <c r="U209" i="57" s="1"/>
  <c r="U210" i="57" s="1"/>
  <c r="U211" i="57" s="1"/>
  <c r="U212" i="57" s="1"/>
  <c r="U213" i="57" s="1"/>
  <c r="U214" i="57" s="1"/>
  <c r="U215" i="57" s="1"/>
  <c r="U216" i="57" s="1"/>
  <c r="U217" i="57" s="1"/>
  <c r="U218" i="57" s="1"/>
  <c r="U219" i="57" s="1"/>
  <c r="U220" i="57" s="1"/>
  <c r="U221" i="57" s="1"/>
  <c r="U222" i="57" s="1"/>
  <c r="U223" i="57" s="1"/>
  <c r="U224" i="57" s="1"/>
  <c r="U225" i="57" s="1"/>
  <c r="U226" i="57" s="1"/>
  <c r="U227" i="57" s="1"/>
  <c r="U228" i="57" s="1"/>
  <c r="U230" i="57" s="1"/>
  <c r="U231" i="57" s="1"/>
  <c r="U232" i="57" s="1"/>
  <c r="U233" i="57" s="1"/>
  <c r="U234" i="57" s="1"/>
  <c r="U235" i="57" s="1"/>
  <c r="U236" i="57" s="1"/>
  <c r="U237" i="57" s="1"/>
  <c r="U238" i="57" s="1"/>
  <c r="U239" i="57" s="1"/>
  <c r="U240" i="57" s="1"/>
  <c r="U241" i="57" s="1"/>
  <c r="U242" i="57" s="1"/>
  <c r="U243" i="57" s="1"/>
  <c r="U244" i="57" s="1"/>
  <c r="U245" i="57" s="1"/>
  <c r="U246" i="57" s="1"/>
  <c r="U247" i="57" s="1"/>
  <c r="U248" i="57" s="1"/>
  <c r="U249" i="57" s="1"/>
  <c r="U250" i="57" s="1"/>
  <c r="U251" i="57" s="1"/>
  <c r="U252" i="57" s="1"/>
  <c r="K9" i="57" l="1"/>
  <c r="L9" i="57"/>
  <c r="O34" i="57"/>
  <c r="R33" i="57"/>
  <c r="S33" i="57"/>
  <c r="L10" i="57" l="1"/>
  <c r="L11" i="57" s="1"/>
  <c r="S34" i="57"/>
  <c r="R34" i="57"/>
  <c r="O35" i="57"/>
  <c r="O36" i="57" s="1"/>
  <c r="O37" i="57" s="1"/>
  <c r="K11" i="57" l="1"/>
  <c r="L12" i="57" s="1"/>
  <c r="L13" i="57" s="1"/>
  <c r="O38" i="57"/>
  <c r="O39" i="57" s="1"/>
  <c r="O40" i="57" s="1"/>
  <c r="O41" i="57" s="1"/>
  <c r="O42" i="57" s="1"/>
  <c r="O43" i="57" s="1"/>
  <c r="O44" i="57" s="1"/>
  <c r="O45" i="57" s="1"/>
  <c r="O46" i="57" s="1"/>
  <c r="S35" i="57"/>
  <c r="R35" i="57"/>
  <c r="K13" i="57" l="1"/>
  <c r="L14" i="57" s="1"/>
  <c r="R36" i="57"/>
  <c r="S36" i="57"/>
  <c r="O47" i="57"/>
  <c r="O49" i="57" s="1"/>
  <c r="K15" i="57" l="1"/>
  <c r="L15" i="57"/>
  <c r="S37" i="57"/>
  <c r="S38" i="57" s="1"/>
  <c r="R37" i="57"/>
  <c r="R38" i="57" s="1"/>
  <c r="R39" i="57" s="1"/>
  <c r="R40" i="57" s="1"/>
  <c r="R41" i="57" s="1"/>
  <c r="R42" i="57" s="1"/>
  <c r="R43" i="57" s="1"/>
  <c r="R44" i="57" s="1"/>
  <c r="R45" i="57" s="1"/>
  <c r="R46" i="57" s="1"/>
  <c r="R47" i="57" s="1"/>
  <c r="R49" i="57" s="1"/>
  <c r="R50" i="57" s="1"/>
  <c r="R51" i="57" s="1"/>
  <c r="R52" i="57" s="1"/>
  <c r="R53" i="57" s="1"/>
  <c r="R54" i="57" s="1"/>
  <c r="R55" i="57" s="1"/>
  <c r="R56" i="57" s="1"/>
  <c r="R57" i="57" s="1"/>
  <c r="R58" i="57" s="1"/>
  <c r="R59" i="57" s="1"/>
  <c r="R60" i="57" s="1"/>
  <c r="R61" i="57" s="1"/>
  <c r="R62" i="57" s="1"/>
  <c r="R63" i="57" s="1"/>
  <c r="R64" i="57" s="1"/>
  <c r="R65" i="57" s="1"/>
  <c r="R66" i="57" s="1"/>
  <c r="R67" i="57" s="1"/>
  <c r="R68" i="57" s="1"/>
  <c r="R69" i="57" s="1"/>
  <c r="L16" i="57" l="1"/>
  <c r="S39" i="57"/>
  <c r="L17" i="57" l="1"/>
  <c r="K17" i="57"/>
  <c r="S40" i="57"/>
  <c r="L18" i="57" l="1"/>
  <c r="L19" i="57" s="1"/>
  <c r="S41" i="57"/>
  <c r="K19" i="57" l="1"/>
  <c r="L20" i="57" s="1"/>
  <c r="O21" i="57" s="1"/>
  <c r="O22" i="57" s="1"/>
  <c r="O23" i="57" s="1"/>
  <c r="O24" i="57" s="1"/>
  <c r="Q27" i="57" s="1"/>
  <c r="Q28" i="57" s="1"/>
  <c r="Q29" i="57" s="1"/>
  <c r="Q30" i="57" s="1"/>
  <c r="Q31" i="57" s="1"/>
  <c r="Q32" i="57" s="1"/>
  <c r="Q33" i="57" s="1"/>
  <c r="Q34" i="57" s="1"/>
  <c r="Q35" i="57" s="1"/>
  <c r="Q36" i="57" s="1"/>
  <c r="Q37" i="57" s="1"/>
  <c r="Q38" i="57" s="1"/>
  <c r="S42" i="57"/>
  <c r="O25" i="57" l="1"/>
  <c r="O26" i="57" s="1"/>
  <c r="O27" i="57" s="1"/>
  <c r="Q39" i="57"/>
  <c r="Q40" i="57" s="1"/>
  <c r="Q41" i="57" s="1"/>
  <c r="Q42" i="57" s="1"/>
  <c r="Q43" i="57" s="1"/>
  <c r="L39" i="57"/>
  <c r="S43" i="57"/>
  <c r="L40" i="57" l="1"/>
  <c r="L41" i="57" s="1"/>
  <c r="L42" i="57" s="1"/>
  <c r="L43" i="57" s="1"/>
  <c r="Q44" i="57"/>
  <c r="L44" i="57"/>
  <c r="S44" i="57"/>
  <c r="S45" i="57" l="1"/>
  <c r="L45" i="57"/>
  <c r="Q45" i="57"/>
  <c r="L46" i="57" l="1"/>
  <c r="S46" i="57"/>
  <c r="S47" i="57" s="1"/>
  <c r="S49" i="57" s="1"/>
  <c r="S50" i="57" s="1"/>
  <c r="S51" i="57" s="1"/>
  <c r="S52" i="57" s="1"/>
  <c r="S53" i="57" s="1"/>
  <c r="S54" i="57" s="1"/>
  <c r="S55" i="57" s="1"/>
  <c r="S56" i="57" s="1"/>
  <c r="S57" i="57" s="1"/>
  <c r="S58" i="57" s="1"/>
  <c r="S59" i="57" s="1"/>
  <c r="S60" i="57" s="1"/>
  <c r="S61" i="57" s="1"/>
  <c r="S62" i="57" s="1"/>
  <c r="S63" i="57" s="1"/>
  <c r="S64" i="57" s="1"/>
  <c r="S65" i="57" s="1"/>
  <c r="S66" i="57" s="1"/>
  <c r="S67" i="57" s="1"/>
  <c r="S68" i="57" s="1"/>
  <c r="S69" i="57" s="1"/>
  <c r="S70" i="57" s="1"/>
  <c r="S71" i="57" s="1"/>
  <c r="S72" i="57" s="1"/>
  <c r="S73" i="57" s="1"/>
  <c r="S74" i="57" s="1"/>
  <c r="S75" i="57" s="1"/>
  <c r="S76" i="57" s="1"/>
  <c r="S77" i="57" s="1"/>
  <c r="S78" i="57" s="1"/>
  <c r="S79" i="57" s="1"/>
  <c r="S80" i="57" s="1"/>
  <c r="S81" i="57" s="1"/>
  <c r="S82" i="57" s="1"/>
  <c r="S83" i="57" s="1"/>
  <c r="S84" i="57" s="1"/>
  <c r="S85" i="57" s="1"/>
  <c r="S86" i="57" s="1"/>
  <c r="S87" i="57" s="1"/>
  <c r="S88" i="57" s="1"/>
  <c r="S89" i="57" s="1"/>
  <c r="S90" i="57" s="1"/>
  <c r="S91" i="57" s="1"/>
  <c r="S92" i="57" s="1"/>
  <c r="S93" i="57" s="1"/>
  <c r="S94" i="57" s="1"/>
  <c r="S95" i="57" s="1"/>
  <c r="S96" i="57" s="1"/>
  <c r="S97" i="57" s="1"/>
  <c r="S98" i="57" s="1"/>
  <c r="S99" i="57" s="1"/>
  <c r="S100" i="57" s="1"/>
  <c r="S101" i="57" s="1"/>
  <c r="S102" i="57" s="1"/>
  <c r="S103" i="57" s="1"/>
  <c r="S104" i="57" s="1"/>
  <c r="S105" i="57" s="1"/>
  <c r="S106" i="57" s="1"/>
  <c r="S107" i="57" s="1"/>
  <c r="S108" i="57" s="1"/>
  <c r="S109" i="57" s="1"/>
  <c r="S110" i="57" s="1"/>
  <c r="S111" i="57" s="1"/>
  <c r="S112" i="57" s="1"/>
  <c r="S113" i="57" s="1"/>
  <c r="S115" i="57" s="1"/>
  <c r="S116" i="57" s="1"/>
  <c r="S117" i="57" s="1"/>
  <c r="S118" i="57" s="1"/>
  <c r="S119" i="57" s="1"/>
  <c r="S120" i="57" s="1"/>
  <c r="S121" i="57" s="1"/>
  <c r="S122" i="57" s="1"/>
  <c r="S123" i="57" s="1"/>
  <c r="S124" i="57" s="1"/>
  <c r="S125" i="57" s="1"/>
  <c r="S126" i="57" s="1"/>
  <c r="S127" i="57" s="1"/>
  <c r="S128" i="57" s="1"/>
  <c r="S129" i="57" s="1"/>
  <c r="S130" i="57" s="1"/>
  <c r="S131" i="57" s="1"/>
  <c r="S132" i="57" s="1"/>
  <c r="S133" i="57" s="1"/>
  <c r="S134" i="57" s="1"/>
  <c r="S135" i="57" s="1"/>
  <c r="S136" i="57" s="1"/>
  <c r="S138" i="57" s="1"/>
  <c r="S139" i="57" s="1"/>
  <c r="S140" i="57" s="1"/>
  <c r="S141" i="57" s="1"/>
  <c r="S142" i="57" s="1"/>
  <c r="S143" i="57" s="1"/>
  <c r="S144" i="57" s="1"/>
  <c r="S145" i="57" s="1"/>
  <c r="S146" i="57" s="1"/>
  <c r="S147" i="57" s="1"/>
  <c r="S148" i="57" s="1"/>
  <c r="S149" i="57" s="1"/>
  <c r="S150" i="57" s="1"/>
  <c r="S151" i="57" s="1"/>
  <c r="S152" i="57" s="1"/>
  <c r="S153" i="57" s="1"/>
  <c r="S154" i="57" s="1"/>
  <c r="S155" i="57" s="1"/>
  <c r="S156" i="57" s="1"/>
  <c r="S157" i="57" s="1"/>
  <c r="S158" i="57" s="1"/>
  <c r="S159" i="57" s="1"/>
  <c r="S161" i="57" s="1"/>
  <c r="S162" i="57" s="1"/>
  <c r="S163" i="57" s="1"/>
  <c r="S164" i="57" s="1"/>
  <c r="S165" i="57" s="1"/>
  <c r="S166" i="57" s="1"/>
  <c r="S167" i="57" s="1"/>
  <c r="S168" i="57" s="1"/>
  <c r="S169" i="57" s="1"/>
  <c r="S170" i="57" s="1"/>
  <c r="S171" i="57" s="1"/>
  <c r="S172" i="57" s="1"/>
  <c r="S173" i="57" s="1"/>
  <c r="S174" i="57" s="1"/>
  <c r="S175" i="57" s="1"/>
  <c r="S176" i="57" s="1"/>
  <c r="S177" i="57" s="1"/>
  <c r="S178" i="57" s="1"/>
  <c r="S179" i="57" s="1"/>
  <c r="S180" i="57" s="1"/>
  <c r="S181" i="57" s="1"/>
  <c r="S182" i="57" s="1"/>
  <c r="S184" i="57" s="1"/>
  <c r="S185" i="57" s="1"/>
  <c r="S186" i="57" s="1"/>
  <c r="S187" i="57" s="1"/>
  <c r="S188" i="57" s="1"/>
  <c r="S189" i="57" s="1"/>
  <c r="S190" i="57" s="1"/>
  <c r="S191" i="57" s="1"/>
  <c r="S192" i="57" s="1"/>
  <c r="S193" i="57" s="1"/>
  <c r="S194" i="57" s="1"/>
  <c r="S195" i="57" s="1"/>
  <c r="S196" i="57" s="1"/>
  <c r="S197" i="57" s="1"/>
  <c r="S198" i="57" s="1"/>
  <c r="S199" i="57" s="1"/>
  <c r="S200" i="57" s="1"/>
  <c r="S201" i="57" s="1"/>
  <c r="S202" i="57" s="1"/>
  <c r="S203" i="57" s="1"/>
  <c r="S204" i="57" s="1"/>
  <c r="S205" i="57" s="1"/>
  <c r="S207" i="57" s="1"/>
  <c r="S208" i="57" s="1"/>
  <c r="S209" i="57" s="1"/>
  <c r="S210" i="57" s="1"/>
  <c r="S211" i="57" s="1"/>
  <c r="S212" i="57" s="1"/>
  <c r="S213" i="57" s="1"/>
  <c r="S214" i="57" s="1"/>
  <c r="S215" i="57" s="1"/>
  <c r="S216" i="57" s="1"/>
  <c r="S217" i="57" s="1"/>
  <c r="S218" i="57" s="1"/>
  <c r="S219" i="57" s="1"/>
  <c r="S220" i="57" s="1"/>
  <c r="S221" i="57" s="1"/>
  <c r="S222" i="57" s="1"/>
  <c r="S223" i="57" s="1"/>
  <c r="S224" i="57" s="1"/>
  <c r="S225" i="57" s="1"/>
  <c r="S226" i="57" s="1"/>
  <c r="S227" i="57" s="1"/>
  <c r="S228" i="57" s="1"/>
  <c r="S230" i="57" s="1"/>
  <c r="S231" i="57" s="1"/>
  <c r="S232" i="57" s="1"/>
  <c r="S233" i="57" s="1"/>
  <c r="S234" i="57" s="1"/>
  <c r="S235" i="57" s="1"/>
  <c r="S236" i="57" s="1"/>
  <c r="S237" i="57" s="1"/>
  <c r="S238" i="57" s="1"/>
  <c r="S239" i="57" s="1"/>
  <c r="S240" i="57" s="1"/>
  <c r="S241" i="57" s="1"/>
  <c r="S242" i="57" s="1"/>
  <c r="S243" i="57" s="1"/>
  <c r="S244" i="57" s="1"/>
  <c r="S245" i="57" s="1"/>
  <c r="S246" i="57" s="1"/>
  <c r="S247" i="57" s="1"/>
  <c r="S248" i="57" s="1"/>
  <c r="S249" i="57" s="1"/>
  <c r="S250" i="57" s="1"/>
  <c r="S251" i="57" s="1"/>
  <c r="S252" i="57" s="1"/>
  <c r="Q46" i="57"/>
  <c r="Q47" i="57" s="1"/>
  <c r="Q49" i="57" s="1"/>
  <c r="Q50" i="57" s="1"/>
  <c r="Q51" i="57" s="1"/>
  <c r="Q52" i="57" s="1"/>
  <c r="L47" i="57" l="1"/>
  <c r="L49" i="57" l="1"/>
  <c r="K49" i="57"/>
  <c r="O50" i="57" l="1"/>
  <c r="O51" i="57" s="1"/>
  <c r="O52" i="57" s="1"/>
  <c r="O53" i="57" s="1"/>
  <c r="O54" i="57" s="1"/>
  <c r="O55" i="57" s="1"/>
  <c r="O56" i="57" s="1"/>
  <c r="O57" i="57" s="1"/>
  <c r="O58" i="57" s="1"/>
  <c r="O59" i="57" s="1"/>
  <c r="O60" i="57" s="1"/>
  <c r="L50" i="57"/>
  <c r="L51" i="57" s="1"/>
  <c r="K50" i="57"/>
  <c r="K51" i="57" s="1"/>
  <c r="K52" i="57" s="1"/>
  <c r="K53" i="57" s="1"/>
  <c r="K54" i="57" s="1"/>
  <c r="K55" i="57" s="1"/>
  <c r="K56" i="57" s="1"/>
  <c r="Q53" i="57" l="1"/>
  <c r="Q54" i="57" s="1"/>
  <c r="Q55" i="57" s="1"/>
  <c r="Q56" i="57" s="1"/>
  <c r="Q57" i="57" s="1"/>
  <c r="Q58" i="57" s="1"/>
  <c r="Q59" i="57" s="1"/>
  <c r="Q60" i="57" s="1"/>
  <c r="Q61" i="57" s="1"/>
  <c r="Q62" i="57" s="1"/>
  <c r="Q63" i="57" s="1"/>
  <c r="Q64" i="57" s="1"/>
  <c r="Q65" i="57" s="1"/>
  <c r="Q66" i="57" s="1"/>
  <c r="Q67" i="57" s="1"/>
  <c r="Q68" i="57" s="1"/>
  <c r="Q69" i="57" s="1"/>
  <c r="Q70" i="57" s="1"/>
  <c r="Q71" i="57" s="1"/>
  <c r="Q72" i="57" s="1"/>
  <c r="Q73" i="57" s="1"/>
  <c r="Q74" i="57" s="1"/>
  <c r="Q75" i="57" s="1"/>
  <c r="Q76" i="57" s="1"/>
  <c r="Q77" i="57" s="1"/>
  <c r="Q78" i="57" s="1"/>
  <c r="Q79" i="57" s="1"/>
  <c r="Q80" i="57" s="1"/>
  <c r="Q81" i="57" s="1"/>
  <c r="Q82" i="57" s="1"/>
  <c r="Q83" i="57" s="1"/>
  <c r="Q84" i="57" s="1"/>
  <c r="Q85" i="57" s="1"/>
  <c r="Q86" i="57" s="1"/>
  <c r="Q87" i="57" s="1"/>
  <c r="Q88" i="57" s="1"/>
  <c r="Q89" i="57" s="1"/>
  <c r="L52" i="57"/>
  <c r="L53" i="57" s="1"/>
  <c r="L54" i="57" s="1"/>
  <c r="L55" i="57" s="1"/>
  <c r="L56" i="57" s="1"/>
  <c r="L57" i="57" s="1"/>
  <c r="L58" i="57" s="1"/>
  <c r="L59" i="57" s="1"/>
  <c r="L60" i="57" s="1"/>
  <c r="L61" i="57" s="1"/>
  <c r="L62" i="57" s="1"/>
  <c r="L63" i="57" s="1"/>
  <c r="L64" i="57" s="1"/>
  <c r="L65" i="57" s="1"/>
  <c r="L66" i="57" s="1"/>
  <c r="L67" i="57" s="1"/>
  <c r="L68" i="57" s="1"/>
  <c r="T53" i="57"/>
  <c r="T54" i="57" s="1"/>
  <c r="T55" i="57" s="1"/>
  <c r="T56" i="57" s="1"/>
  <c r="T57" i="57" s="1"/>
  <c r="T58" i="57" s="1"/>
  <c r="T59" i="57" s="1"/>
  <c r="T60" i="57" s="1"/>
  <c r="T61" i="57" s="1"/>
  <c r="T62" i="57" s="1"/>
  <c r="T63" i="57" s="1"/>
  <c r="T64" i="57" s="1"/>
  <c r="T65" i="57" s="1"/>
  <c r="T66" i="57" s="1"/>
  <c r="T67" i="57" s="1"/>
  <c r="T68" i="57" s="1"/>
  <c r="T69" i="57" s="1"/>
  <c r="T70" i="57" s="1"/>
  <c r="T71" i="57" s="1"/>
  <c r="T72" i="57" s="1"/>
  <c r="T73" i="57" s="1"/>
  <c r="T74" i="57" s="1"/>
  <c r="T75" i="57" s="1"/>
  <c r="T76" i="57" s="1"/>
  <c r="T77" i="57" s="1"/>
  <c r="T78" i="57" s="1"/>
  <c r="T79" i="57" s="1"/>
  <c r="T80" i="57" s="1"/>
  <c r="T81" i="57" s="1"/>
  <c r="T82" i="57" s="1"/>
  <c r="T83" i="57" s="1"/>
  <c r="T84" i="57" s="1"/>
  <c r="T85" i="57" s="1"/>
  <c r="T86" i="57" s="1"/>
  <c r="T87" i="57" s="1"/>
  <c r="T88" i="57" s="1"/>
  <c r="T89" i="57" s="1"/>
  <c r="T90" i="57" s="1"/>
  <c r="T91" i="57" s="1"/>
  <c r="T92" i="57" s="1"/>
  <c r="T93" i="57" s="1"/>
  <c r="T94" i="57" s="1"/>
  <c r="T95" i="57" s="1"/>
  <c r="T96" i="57" s="1"/>
  <c r="T97" i="57" s="1"/>
  <c r="T98" i="57" s="1"/>
  <c r="T99" i="57" s="1"/>
  <c r="T100" i="57" s="1"/>
  <c r="T101" i="57" s="1"/>
  <c r="T102" i="57" s="1"/>
  <c r="T103" i="57" s="1"/>
  <c r="T104" i="57" s="1"/>
  <c r="T105" i="57" s="1"/>
  <c r="T106" i="57" s="1"/>
  <c r="T107" i="57" s="1"/>
  <c r="T108" i="57" s="1"/>
  <c r="T109" i="57" s="1"/>
  <c r="T110" i="57" s="1"/>
  <c r="T111" i="57" s="1"/>
  <c r="T112" i="57" s="1"/>
  <c r="T113" i="57" s="1"/>
  <c r="T115" i="57" s="1"/>
  <c r="T116" i="57" s="1"/>
  <c r="T117" i="57" s="1"/>
  <c r="T118" i="57" s="1"/>
  <c r="T119" i="57" s="1"/>
  <c r="T120" i="57" s="1"/>
  <c r="T121" i="57" s="1"/>
  <c r="T122" i="57" s="1"/>
  <c r="T123" i="57" s="1"/>
  <c r="T124" i="57" s="1"/>
  <c r="T125" i="57" s="1"/>
  <c r="T126" i="57" s="1"/>
  <c r="T127" i="57" s="1"/>
  <c r="T128" i="57" s="1"/>
  <c r="T129" i="57" s="1"/>
  <c r="T130" i="57" s="1"/>
  <c r="T131" i="57" s="1"/>
  <c r="T132" i="57" s="1"/>
  <c r="T133" i="57" s="1"/>
  <c r="T134" i="57" s="1"/>
  <c r="T135" i="57" s="1"/>
  <c r="T136" i="57" s="1"/>
  <c r="T138" i="57" s="1"/>
  <c r="T139" i="57" s="1"/>
  <c r="T140" i="57" s="1"/>
  <c r="T141" i="57" s="1"/>
  <c r="T142" i="57" s="1"/>
  <c r="T143" i="57" s="1"/>
  <c r="T144" i="57" s="1"/>
  <c r="T145" i="57" s="1"/>
  <c r="T146" i="57" s="1"/>
  <c r="T147" i="57" s="1"/>
  <c r="T148" i="57" s="1"/>
  <c r="T149" i="57" s="1"/>
  <c r="T150" i="57" s="1"/>
  <c r="T151" i="57" s="1"/>
  <c r="T152" i="57" s="1"/>
  <c r="T153" i="57" s="1"/>
  <c r="T154" i="57" s="1"/>
  <c r="T155" i="57" s="1"/>
  <c r="T156" i="57" s="1"/>
  <c r="T157" i="57" s="1"/>
  <c r="T158" i="57" s="1"/>
  <c r="T159" i="57" s="1"/>
  <c r="T161" i="57" s="1"/>
  <c r="T162" i="57" s="1"/>
  <c r="T163" i="57" s="1"/>
  <c r="T164" i="57" s="1"/>
  <c r="T165" i="57" s="1"/>
  <c r="T166" i="57" s="1"/>
  <c r="T167" i="57" s="1"/>
  <c r="T168" i="57" s="1"/>
  <c r="T169" i="57" s="1"/>
  <c r="T170" i="57" s="1"/>
  <c r="T171" i="57" s="1"/>
  <c r="T172" i="57" s="1"/>
  <c r="T173" i="57" s="1"/>
  <c r="T174" i="57" s="1"/>
  <c r="T175" i="57" s="1"/>
  <c r="T176" i="57" s="1"/>
  <c r="T177" i="57" s="1"/>
  <c r="T178" i="57" s="1"/>
  <c r="T179" i="57" s="1"/>
  <c r="T180" i="57" s="1"/>
  <c r="T181" i="57" s="1"/>
  <c r="T182" i="57" s="1"/>
  <c r="T184" i="57" s="1"/>
  <c r="T185" i="57" s="1"/>
  <c r="T186" i="57" s="1"/>
  <c r="T187" i="57" s="1"/>
  <c r="T188" i="57" s="1"/>
  <c r="T189" i="57" s="1"/>
  <c r="T190" i="57" s="1"/>
  <c r="T191" i="57" s="1"/>
  <c r="T192" i="57" s="1"/>
  <c r="T193" i="57" s="1"/>
  <c r="T194" i="57" s="1"/>
  <c r="T195" i="57" s="1"/>
  <c r="T196" i="57" s="1"/>
  <c r="T197" i="57" s="1"/>
  <c r="T198" i="57" s="1"/>
  <c r="T199" i="57" s="1"/>
  <c r="T200" i="57" s="1"/>
  <c r="T201" i="57" s="1"/>
  <c r="T202" i="57" s="1"/>
  <c r="T203" i="57" s="1"/>
  <c r="T204" i="57" s="1"/>
  <c r="T205" i="57" s="1"/>
  <c r="T207" i="57" s="1"/>
  <c r="T208" i="57" s="1"/>
  <c r="T209" i="57" s="1"/>
  <c r="T210" i="57" s="1"/>
  <c r="T211" i="57" s="1"/>
  <c r="T212" i="57" s="1"/>
  <c r="T213" i="57" s="1"/>
  <c r="T214" i="57" s="1"/>
  <c r="T215" i="57" s="1"/>
  <c r="T216" i="57" s="1"/>
  <c r="T217" i="57" s="1"/>
  <c r="T218" i="57" s="1"/>
  <c r="T219" i="57" s="1"/>
  <c r="T220" i="57" s="1"/>
  <c r="T221" i="57" s="1"/>
  <c r="T222" i="57" s="1"/>
  <c r="T223" i="57" s="1"/>
  <c r="T224" i="57" s="1"/>
  <c r="T225" i="57" s="1"/>
  <c r="T226" i="57" s="1"/>
  <c r="T227" i="57" s="1"/>
  <c r="T228" i="57" s="1"/>
  <c r="T230" i="57" s="1"/>
  <c r="T231" i="57" s="1"/>
  <c r="T232" i="57" s="1"/>
  <c r="T233" i="57" s="1"/>
  <c r="T234" i="57" s="1"/>
  <c r="T235" i="57" s="1"/>
  <c r="T236" i="57" s="1"/>
  <c r="T237" i="57" s="1"/>
  <c r="T238" i="57" s="1"/>
  <c r="T239" i="57" s="1"/>
  <c r="T240" i="57" s="1"/>
  <c r="T241" i="57" s="1"/>
  <c r="T242" i="57" s="1"/>
  <c r="T243" i="57" s="1"/>
  <c r="T244" i="57" s="1"/>
  <c r="T245" i="57" s="1"/>
  <c r="T246" i="57" s="1"/>
  <c r="T247" i="57" s="1"/>
  <c r="T248" i="57" s="1"/>
  <c r="T249" i="57" s="1"/>
  <c r="T250" i="57" s="1"/>
  <c r="T251" i="57" s="1"/>
  <c r="T252" i="57" s="1"/>
  <c r="T253" i="57" s="1"/>
  <c r="K57" i="57"/>
  <c r="K58" i="57" s="1"/>
  <c r="K59" i="57" s="1"/>
  <c r="K60" i="57" s="1"/>
  <c r="K61" i="57" s="1"/>
  <c r="K62" i="57" s="1"/>
  <c r="K63" i="57" s="1"/>
  <c r="K64" i="57" s="1"/>
  <c r="K65" i="57" s="1"/>
  <c r="K66" i="57" s="1"/>
  <c r="K67" i="57" s="1"/>
  <c r="O61" i="57"/>
  <c r="O62" i="57" s="1"/>
  <c r="O63" i="57" s="1"/>
  <c r="O64" i="57" s="1"/>
  <c r="O65" i="57" s="1"/>
  <c r="O66" i="57" s="1"/>
  <c r="O67" i="57" s="1"/>
  <c r="O68" i="57" s="1"/>
  <c r="O69" i="57" s="1"/>
  <c r="O70" i="57" s="1"/>
  <c r="O71" i="57" s="1"/>
  <c r="O72" i="57" s="1"/>
  <c r="O73" i="57" s="1"/>
  <c r="O74" i="57" s="1"/>
  <c r="O75" i="57" s="1"/>
  <c r="O76" i="57" s="1"/>
  <c r="O77" i="57" s="1"/>
  <c r="O78" i="57" s="1"/>
  <c r="O79" i="57" s="1"/>
  <c r="O80" i="57" s="1"/>
  <c r="O81" i="57" s="1"/>
  <c r="O82" i="57" s="1"/>
  <c r="O83" i="57" s="1"/>
  <c r="O84" i="57" s="1"/>
  <c r="O85" i="57" s="1"/>
  <c r="O86" i="57" s="1"/>
  <c r="O87" i="57" s="1"/>
  <c r="O88" i="57" s="1"/>
  <c r="O89" i="57" s="1"/>
  <c r="O90" i="57" s="1"/>
  <c r="O91" i="57" s="1"/>
  <c r="O92" i="57" s="1"/>
  <c r="O93" i="57" s="1"/>
  <c r="O94" i="57" s="1"/>
  <c r="O95" i="57" s="1"/>
  <c r="O96" i="57" s="1"/>
  <c r="O97" i="57" s="1"/>
  <c r="O98" i="57" s="1"/>
  <c r="O99" i="57" s="1"/>
  <c r="O100" i="57" s="1"/>
  <c r="O101" i="57" s="1"/>
  <c r="O102" i="57" s="1"/>
  <c r="O103" i="57" s="1"/>
  <c r="O104" i="57" s="1"/>
  <c r="O105" i="57" s="1"/>
  <c r="O106" i="57" s="1"/>
  <c r="O107" i="57" s="1"/>
  <c r="O108" i="57" s="1"/>
  <c r="O109" i="57" s="1"/>
  <c r="O110" i="57" s="1"/>
  <c r="O111" i="57" s="1"/>
  <c r="O112" i="57" s="1"/>
  <c r="O113" i="57" s="1"/>
  <c r="O115" i="57" s="1"/>
  <c r="O116" i="57" s="1"/>
  <c r="O117" i="57" s="1"/>
  <c r="O118" i="57" s="1"/>
  <c r="O119" i="57" s="1"/>
  <c r="O120" i="57" s="1"/>
  <c r="O121" i="57" s="1"/>
  <c r="O122" i="57" s="1"/>
  <c r="O123" i="57" s="1"/>
  <c r="O124" i="57" s="1"/>
  <c r="O125" i="57" s="1"/>
  <c r="O126" i="57" s="1"/>
  <c r="O127" i="57" s="1"/>
  <c r="O128" i="57" s="1"/>
  <c r="O129" i="57" s="1"/>
  <c r="O130" i="57" s="1"/>
  <c r="O131" i="57" s="1"/>
  <c r="O132" i="57" s="1"/>
  <c r="O133" i="57" s="1"/>
  <c r="O134" i="57" s="1"/>
  <c r="O135" i="57" s="1"/>
  <c r="O136" i="57" s="1"/>
  <c r="O138" i="57" s="1"/>
  <c r="O139" i="57" s="1"/>
  <c r="O140" i="57" s="1"/>
  <c r="O141" i="57" s="1"/>
  <c r="O142" i="57" s="1"/>
  <c r="O143" i="57" s="1"/>
  <c r="O144" i="57" s="1"/>
  <c r="O145" i="57" s="1"/>
  <c r="O146" i="57" s="1"/>
  <c r="O147" i="57" s="1"/>
  <c r="O148" i="57" s="1"/>
  <c r="O149" i="57" s="1"/>
  <c r="O150" i="57" s="1"/>
  <c r="O151" i="57" s="1"/>
  <c r="O152" i="57" s="1"/>
  <c r="O153" i="57" s="1"/>
  <c r="O154" i="57" s="1"/>
  <c r="O155" i="57" s="1"/>
  <c r="O156" i="57" s="1"/>
  <c r="O157" i="57" s="1"/>
  <c r="O158" i="57" s="1"/>
  <c r="O159" i="57" s="1"/>
  <c r="O161" i="57" s="1"/>
  <c r="O162" i="57" s="1"/>
  <c r="O163" i="57" s="1"/>
  <c r="O164" i="57" s="1"/>
  <c r="O165" i="57" s="1"/>
  <c r="O166" i="57" s="1"/>
  <c r="O167" i="57" s="1"/>
  <c r="O168" i="57" s="1"/>
  <c r="O169" i="57" s="1"/>
  <c r="O170" i="57" s="1"/>
  <c r="O171" i="57" s="1"/>
  <c r="O172" i="57" s="1"/>
  <c r="O173" i="57" s="1"/>
  <c r="O174" i="57" s="1"/>
  <c r="O175" i="57" s="1"/>
  <c r="O176" i="57" s="1"/>
  <c r="O177" i="57" s="1"/>
  <c r="O178" i="57" s="1"/>
  <c r="O179" i="57" s="1"/>
  <c r="O180" i="57" s="1"/>
  <c r="O181" i="57" s="1"/>
  <c r="O182" i="57" s="1"/>
  <c r="O184" i="57" s="1"/>
  <c r="O185" i="57" s="1"/>
  <c r="O186" i="57" s="1"/>
  <c r="O187" i="57" s="1"/>
  <c r="O188" i="57" s="1"/>
  <c r="O189" i="57" s="1"/>
  <c r="O190" i="57" s="1"/>
  <c r="O191" i="57" s="1"/>
  <c r="O192" i="57" s="1"/>
  <c r="O193" i="57" s="1"/>
  <c r="O194" i="57" s="1"/>
  <c r="O195" i="57" s="1"/>
  <c r="O196" i="57" s="1"/>
  <c r="O197" i="57" s="1"/>
  <c r="O198" i="57" s="1"/>
  <c r="O199" i="57" s="1"/>
  <c r="O200" i="57" s="1"/>
  <c r="O201" i="57" s="1"/>
  <c r="O202" i="57" s="1"/>
  <c r="O203" i="57" s="1"/>
  <c r="O204" i="57" s="1"/>
  <c r="O205" i="57" s="1"/>
  <c r="O207" i="57" s="1"/>
  <c r="O208" i="57" s="1"/>
  <c r="O209" i="57" s="1"/>
  <c r="O210" i="57" s="1"/>
  <c r="O211" i="57" s="1"/>
  <c r="O212" i="57" s="1"/>
  <c r="O213" i="57" s="1"/>
  <c r="O214" i="57" s="1"/>
  <c r="O215" i="57" s="1"/>
  <c r="O216" i="57" s="1"/>
  <c r="O217" i="57" s="1"/>
  <c r="O218" i="57" s="1"/>
  <c r="O219" i="57" s="1"/>
  <c r="O220" i="57" s="1"/>
  <c r="O221" i="57" s="1"/>
  <c r="O222" i="57" s="1"/>
  <c r="O223" i="57" s="1"/>
  <c r="O224" i="57" s="1"/>
  <c r="O225" i="57" s="1"/>
  <c r="O226" i="57" s="1"/>
  <c r="O227" i="57" s="1"/>
  <c r="O228" i="57" s="1"/>
  <c r="O230" i="57" s="1"/>
  <c r="O231" i="57" s="1"/>
  <c r="O232" i="57" s="1"/>
  <c r="O233" i="57" s="1"/>
  <c r="O234" i="57" s="1"/>
  <c r="O235" i="57" s="1"/>
  <c r="O236" i="57" s="1"/>
  <c r="O237" i="57" s="1"/>
  <c r="O238" i="57" s="1"/>
  <c r="O239" i="57" s="1"/>
  <c r="O240" i="57" s="1"/>
  <c r="O241" i="57" s="1"/>
  <c r="O242" i="57" s="1"/>
  <c r="O243" i="57" s="1"/>
  <c r="O244" i="57" s="1"/>
  <c r="O245" i="57" s="1"/>
  <c r="O246" i="57" s="1"/>
  <c r="O247" i="57" s="1"/>
  <c r="O248" i="57" s="1"/>
  <c r="O249" i="57" s="1"/>
  <c r="O250" i="57" s="1"/>
  <c r="O251" i="57" s="1"/>
  <c r="T254" i="57" l="1"/>
  <c r="T255" i="57"/>
  <c r="T256" i="57" s="1"/>
  <c r="T257" i="57" s="1"/>
  <c r="L69" i="57"/>
  <c r="L70" i="57" s="1"/>
  <c r="K69" i="57"/>
  <c r="K68" i="57"/>
  <c r="K70" i="57" l="1"/>
  <c r="K71" i="57" s="1"/>
  <c r="R70" i="57"/>
  <c r="R71" i="57" s="1"/>
  <c r="H69" i="57"/>
  <c r="T258" i="57"/>
  <c r="L71" i="57"/>
  <c r="H70" i="57"/>
  <c r="H71" i="57" l="1"/>
  <c r="R72" i="57"/>
  <c r="R73" i="57" s="1"/>
  <c r="L72" i="57"/>
  <c r="K72" i="57"/>
  <c r="K73" i="57" s="1"/>
  <c r="T259" i="57"/>
  <c r="T260" i="57" l="1"/>
  <c r="L73" i="57"/>
  <c r="H72" i="57"/>
  <c r="L74" i="57" l="1"/>
  <c r="K74" i="57"/>
  <c r="K75" i="57" s="1"/>
  <c r="R74" i="57"/>
  <c r="R75" i="57" s="1"/>
  <c r="H73" i="57"/>
  <c r="T261" i="57"/>
  <c r="T262" i="57" l="1"/>
  <c r="H74" i="57"/>
  <c r="L75" i="57"/>
  <c r="R76" i="57" l="1"/>
  <c r="R77" i="57" s="1"/>
  <c r="L76" i="57"/>
  <c r="K76" i="57"/>
  <c r="K77" i="57" s="1"/>
  <c r="H75" i="57"/>
  <c r="T263" i="57"/>
  <c r="T264" i="57" s="1"/>
  <c r="H76" i="57" l="1"/>
  <c r="L77" i="57"/>
  <c r="R78" i="57" l="1"/>
  <c r="R79" i="57" s="1"/>
  <c r="K78" i="57"/>
  <c r="K79" i="57" s="1"/>
  <c r="L78" i="57"/>
  <c r="H77" i="57"/>
  <c r="H78" i="57" l="1"/>
  <c r="L79" i="57"/>
  <c r="H79" i="57" l="1"/>
  <c r="R80" i="57"/>
  <c r="R81" i="57" s="1"/>
  <c r="K80" i="57"/>
  <c r="K81" i="57" s="1"/>
  <c r="L80" i="57"/>
  <c r="L81" i="57" l="1"/>
  <c r="H80" i="57"/>
  <c r="L82" i="57" l="1"/>
  <c r="K82" i="57"/>
  <c r="K83" i="57" s="1"/>
  <c r="H81" i="57"/>
  <c r="R82" i="57"/>
  <c r="R83" i="57" s="1"/>
  <c r="L83" i="57" l="1"/>
  <c r="H82" i="57"/>
  <c r="K84" i="57" l="1"/>
  <c r="K85" i="57" s="1"/>
  <c r="L84" i="57"/>
  <c r="R84" i="57"/>
  <c r="R85" i="57" s="1"/>
  <c r="H83" i="57"/>
  <c r="H84" i="57" l="1"/>
  <c r="L85" i="57"/>
  <c r="R86" i="57" l="1"/>
  <c r="R87" i="57" s="1"/>
  <c r="L86" i="57"/>
  <c r="K86" i="57"/>
  <c r="K87" i="57" s="1"/>
  <c r="H85" i="57"/>
  <c r="L87" i="57" l="1"/>
  <c r="H86" i="57"/>
  <c r="K88" i="57" l="1"/>
  <c r="K89" i="57" s="1"/>
  <c r="R88" i="57"/>
  <c r="R89" i="57" s="1"/>
  <c r="Q90" i="57" s="1"/>
  <c r="Q91" i="57" s="1"/>
  <c r="Q92" i="57" s="1"/>
  <c r="Q93" i="57" s="1"/>
  <c r="Q94" i="57" s="1"/>
  <c r="Q95" i="57" s="1"/>
  <c r="Q96" i="57" s="1"/>
  <c r="Q97" i="57" s="1"/>
  <c r="Q98" i="57" s="1"/>
  <c r="Q99" i="57" s="1"/>
  <c r="Q100" i="57" s="1"/>
  <c r="Q101" i="57" s="1"/>
  <c r="Q102" i="57" s="1"/>
  <c r="Q103" i="57" s="1"/>
  <c r="Q104" i="57" s="1"/>
  <c r="Q105" i="57" s="1"/>
  <c r="Q106" i="57" s="1"/>
  <c r="Q107" i="57" s="1"/>
  <c r="Q108" i="57" s="1"/>
  <c r="Q109" i="57" s="1"/>
  <c r="L88" i="57"/>
  <c r="H87" i="57"/>
  <c r="L89" i="57" l="1"/>
  <c r="H88" i="57"/>
  <c r="Q110" i="57"/>
  <c r="Q111" i="57" s="1"/>
  <c r="Q112" i="57"/>
  <c r="H89" i="57" l="1"/>
  <c r="L90" i="57"/>
  <c r="K90" i="57"/>
  <c r="K91" i="57" s="1"/>
  <c r="K92" i="57" s="1"/>
  <c r="L91" i="57" l="1"/>
  <c r="L92" i="57" s="1"/>
  <c r="H90" i="57"/>
  <c r="R93" i="57" l="1"/>
  <c r="R94" i="57" s="1"/>
  <c r="L93" i="57"/>
  <c r="H92" i="57"/>
  <c r="K93" i="57"/>
  <c r="K94" i="57" s="1"/>
  <c r="H93" i="57" l="1"/>
  <c r="L94" i="57"/>
  <c r="H94" i="57" l="1"/>
  <c r="L95" i="57"/>
  <c r="K95" i="57"/>
  <c r="K96" i="57" s="1"/>
  <c r="R95" i="57"/>
  <c r="R96" i="57" s="1"/>
  <c r="L96" i="57" l="1"/>
  <c r="H95" i="57"/>
  <c r="R97" i="57" l="1"/>
  <c r="R98" i="57" s="1"/>
  <c r="L97" i="57"/>
  <c r="K97" i="57"/>
  <c r="K98" i="57" s="1"/>
  <c r="H96" i="57"/>
  <c r="H97" i="57" l="1"/>
  <c r="L98" i="57"/>
  <c r="L99" i="57" l="1"/>
  <c r="K99" i="57"/>
  <c r="K100" i="57" s="1"/>
  <c r="R99" i="57"/>
  <c r="R100" i="57" s="1"/>
  <c r="H98" i="57"/>
  <c r="L100" i="57" l="1"/>
  <c r="H99" i="57"/>
  <c r="L101" i="57" l="1"/>
  <c r="K101" i="57"/>
  <c r="K102" i="57" s="1"/>
  <c r="R101" i="57"/>
  <c r="R102" i="57" s="1"/>
  <c r="H100" i="57"/>
  <c r="L102" i="57" l="1"/>
  <c r="H101" i="57"/>
  <c r="K103" i="57" l="1"/>
  <c r="K104" i="57" s="1"/>
  <c r="H102" i="57"/>
  <c r="R103" i="57"/>
  <c r="R104" i="57" s="1"/>
  <c r="L103" i="57"/>
  <c r="H103" i="57" l="1"/>
  <c r="L104" i="57"/>
  <c r="H104" i="57" l="1"/>
  <c r="R105" i="57"/>
  <c r="R106" i="57" s="1"/>
  <c r="L105" i="57"/>
  <c r="K105" i="57"/>
  <c r="K106" i="57" s="1"/>
  <c r="H105" i="57" l="1"/>
  <c r="L106" i="57"/>
  <c r="H106" i="57" l="1"/>
  <c r="R107" i="57"/>
  <c r="R108" i="57" s="1"/>
  <c r="L107" i="57"/>
  <c r="K107" i="57"/>
  <c r="K108" i="57" s="1"/>
  <c r="L108" i="57" l="1"/>
  <c r="H107" i="57"/>
  <c r="H108" i="57" l="1"/>
  <c r="R109" i="57"/>
  <c r="R110" i="57" s="1"/>
  <c r="K109" i="57"/>
  <c r="K110" i="57" s="1"/>
  <c r="L109" i="57"/>
  <c r="L110" i="57" l="1"/>
  <c r="H109" i="57"/>
  <c r="H110" i="57" l="1"/>
  <c r="R111" i="57"/>
  <c r="R112" i="57" s="1"/>
  <c r="Q113" i="57" s="1"/>
  <c r="Q115" i="57" s="1"/>
  <c r="Q116" i="57" s="1"/>
  <c r="Q117" i="57" s="1"/>
  <c r="Q118" i="57" s="1"/>
  <c r="Q119" i="57" s="1"/>
  <c r="Q120" i="57" s="1"/>
  <c r="Q121" i="57" s="1"/>
  <c r="Q122" i="57" s="1"/>
  <c r="Q123" i="57" s="1"/>
  <c r="Q124" i="57" s="1"/>
  <c r="Q125" i="57" s="1"/>
  <c r="Q126" i="57" s="1"/>
  <c r="Q127" i="57" s="1"/>
  <c r="Q128" i="57" s="1"/>
  <c r="Q129" i="57" s="1"/>
  <c r="Q130" i="57" s="1"/>
  <c r="Q131" i="57" s="1"/>
  <c r="Q132" i="57" s="1"/>
  <c r="L111" i="57"/>
  <c r="K111" i="57"/>
  <c r="K112" i="57" s="1"/>
  <c r="L112" i="57" l="1"/>
  <c r="H111" i="57"/>
  <c r="Q133" i="57"/>
  <c r="Q134" i="57" s="1"/>
  <c r="Q135" i="57"/>
  <c r="H112" i="57" l="1"/>
  <c r="K113" i="57"/>
  <c r="K114" i="57" s="1"/>
  <c r="K115" i="57" s="1"/>
  <c r="L113" i="57"/>
  <c r="L115" i="57" l="1"/>
  <c r="H113" i="57"/>
  <c r="K116" i="57" l="1"/>
  <c r="K117" i="57" s="1"/>
  <c r="L116" i="57"/>
  <c r="H115" i="57"/>
  <c r="R116" i="57"/>
  <c r="R117" i="57" s="1"/>
  <c r="H116" i="57" l="1"/>
  <c r="L117" i="57"/>
  <c r="K118" i="57" l="1"/>
  <c r="K119" i="57" s="1"/>
  <c r="H117" i="57"/>
  <c r="L118" i="57"/>
  <c r="R118" i="57"/>
  <c r="R119" i="57" s="1"/>
  <c r="L119" i="57" l="1"/>
  <c r="H118" i="57"/>
  <c r="H119" i="57" l="1"/>
  <c r="L120" i="57"/>
  <c r="R120" i="57"/>
  <c r="R121" i="57" s="1"/>
  <c r="K120" i="57"/>
  <c r="K121" i="57" s="1"/>
  <c r="H120" i="57" l="1"/>
  <c r="L121" i="57"/>
  <c r="R122" i="57" l="1"/>
  <c r="R123" i="57" s="1"/>
  <c r="L122" i="57"/>
  <c r="H121" i="57"/>
  <c r="K122" i="57"/>
  <c r="K123" i="57" s="1"/>
  <c r="L123" i="57" l="1"/>
  <c r="H122" i="57"/>
  <c r="K124" i="57" l="1"/>
  <c r="K125" i="57" s="1"/>
  <c r="L124" i="57"/>
  <c r="R124" i="57"/>
  <c r="R125" i="57" s="1"/>
  <c r="H123" i="57"/>
  <c r="H124" i="57" l="1"/>
  <c r="L125" i="57"/>
  <c r="R126" i="57" l="1"/>
  <c r="R127" i="57" s="1"/>
  <c r="L126" i="57"/>
  <c r="K126" i="57"/>
  <c r="K127" i="57" s="1"/>
  <c r="H125" i="57"/>
  <c r="L127" i="57" l="1"/>
  <c r="H126" i="57"/>
  <c r="H127" i="57" l="1"/>
  <c r="K128" i="57"/>
  <c r="K129" i="57" s="1"/>
  <c r="R128" i="57"/>
  <c r="R129" i="57" s="1"/>
  <c r="L128" i="57"/>
  <c r="H128" i="57" l="1"/>
  <c r="L129" i="57"/>
  <c r="R130" i="57" l="1"/>
  <c r="R131" i="57" s="1"/>
  <c r="K130" i="57"/>
  <c r="K131" i="57" s="1"/>
  <c r="H129" i="57"/>
  <c r="L130" i="57"/>
  <c r="L131" i="57" l="1"/>
  <c r="H130" i="57"/>
  <c r="K132" i="57" l="1"/>
  <c r="K133" i="57" s="1"/>
  <c r="L132" i="57"/>
  <c r="H131" i="57"/>
  <c r="R132" i="57"/>
  <c r="R133" i="57" s="1"/>
  <c r="H132" i="57" l="1"/>
  <c r="L133" i="57"/>
  <c r="L134" i="57" l="1"/>
  <c r="K134" i="57"/>
  <c r="K135" i="57" s="1"/>
  <c r="R134" i="57"/>
  <c r="R135" i="57" s="1"/>
  <c r="Q136" i="57" s="1"/>
  <c r="Q138" i="57" s="1"/>
  <c r="Q139" i="57" s="1"/>
  <c r="Q140" i="57" s="1"/>
  <c r="Q141" i="57" s="1"/>
  <c r="Q142" i="57" s="1"/>
  <c r="Q143" i="57" s="1"/>
  <c r="Q144" i="57" s="1"/>
  <c r="Q145" i="57" s="1"/>
  <c r="Q146" i="57" s="1"/>
  <c r="Q147" i="57" s="1"/>
  <c r="Q148" i="57" s="1"/>
  <c r="Q149" i="57" s="1"/>
  <c r="Q150" i="57" s="1"/>
  <c r="Q151" i="57" s="1"/>
  <c r="Q152" i="57" s="1"/>
  <c r="Q153" i="57" s="1"/>
  <c r="Q154" i="57" s="1"/>
  <c r="Q155" i="57" s="1"/>
  <c r="H133" i="57"/>
  <c r="Q158" i="57" l="1"/>
  <c r="Q156" i="57"/>
  <c r="Q157" i="57" s="1"/>
  <c r="L135" i="57"/>
  <c r="H134" i="57"/>
  <c r="L136" i="57" l="1"/>
  <c r="K136" i="57"/>
  <c r="K137" i="57" s="1"/>
  <c r="K138" i="57" s="1"/>
  <c r="H135" i="57"/>
  <c r="L138" i="57" l="1"/>
  <c r="H136" i="57"/>
  <c r="K139" i="57" l="1"/>
  <c r="K140" i="57" s="1"/>
  <c r="H138" i="57"/>
  <c r="R139" i="57"/>
  <c r="R140" i="57" s="1"/>
  <c r="L139" i="57"/>
  <c r="L140" i="57" l="1"/>
  <c r="H139" i="57"/>
  <c r="L141" i="57" l="1"/>
  <c r="H140" i="57"/>
  <c r="R141" i="57"/>
  <c r="R142" i="57" s="1"/>
  <c r="K141" i="57"/>
  <c r="K142" i="57" s="1"/>
  <c r="H141" i="57" l="1"/>
  <c r="L142" i="57"/>
  <c r="H142" i="57" l="1"/>
  <c r="L143" i="57"/>
  <c r="K143" i="57"/>
  <c r="K144" i="57" s="1"/>
  <c r="R143" i="57"/>
  <c r="R144" i="57" s="1"/>
  <c r="L144" i="57" l="1"/>
  <c r="H143" i="57"/>
  <c r="L145" i="57" l="1"/>
  <c r="H144" i="57"/>
  <c r="K145" i="57"/>
  <c r="K146" i="57" s="1"/>
  <c r="R145" i="57"/>
  <c r="R146" i="57" s="1"/>
  <c r="H145" i="57" l="1"/>
  <c r="L146" i="57"/>
  <c r="R147" i="57" l="1"/>
  <c r="R148" i="57" s="1"/>
  <c r="L147" i="57"/>
  <c r="H146" i="57"/>
  <c r="K147" i="57"/>
  <c r="K148" i="57" s="1"/>
  <c r="L148" i="57" l="1"/>
  <c r="H147" i="57"/>
  <c r="R149" i="57" l="1"/>
  <c r="R150" i="57" s="1"/>
  <c r="L149" i="57"/>
  <c r="K149" i="57"/>
  <c r="K150" i="57" s="1"/>
  <c r="H148" i="57"/>
  <c r="H149" i="57" l="1"/>
  <c r="L150" i="57"/>
  <c r="L151" i="57" l="1"/>
  <c r="R151" i="57"/>
  <c r="R152" i="57" s="1"/>
  <c r="K151" i="57"/>
  <c r="K152" i="57" s="1"/>
  <c r="H150" i="57"/>
  <c r="L152" i="57" l="1"/>
  <c r="H151" i="57"/>
  <c r="H152" i="57" l="1"/>
  <c r="R153" i="57"/>
  <c r="R154" i="57" s="1"/>
  <c r="L153" i="57"/>
  <c r="K153" i="57"/>
  <c r="K154" i="57" s="1"/>
  <c r="H153" i="57" l="1"/>
  <c r="L154" i="57"/>
  <c r="R155" i="57" l="1"/>
  <c r="R156" i="57" s="1"/>
  <c r="L155" i="57"/>
  <c r="K155" i="57"/>
  <c r="K156" i="57" s="1"/>
  <c r="H154" i="57"/>
  <c r="H155" i="57" l="1"/>
  <c r="L156" i="57"/>
  <c r="H156" i="57" l="1"/>
  <c r="R157" i="57"/>
  <c r="R158" i="57" s="1"/>
  <c r="Q159" i="57" s="1"/>
  <c r="Q161" i="57" s="1"/>
  <c r="Q162" i="57" s="1"/>
  <c r="Q163" i="57" s="1"/>
  <c r="Q164" i="57" s="1"/>
  <c r="Q165" i="57" s="1"/>
  <c r="Q166" i="57" s="1"/>
  <c r="Q167" i="57" s="1"/>
  <c r="Q168" i="57" s="1"/>
  <c r="Q169" i="57" s="1"/>
  <c r="Q170" i="57" s="1"/>
  <c r="Q171" i="57" s="1"/>
  <c r="Q172" i="57" s="1"/>
  <c r="Q173" i="57" s="1"/>
  <c r="Q174" i="57" s="1"/>
  <c r="Q175" i="57" s="1"/>
  <c r="Q176" i="57" s="1"/>
  <c r="Q177" i="57" s="1"/>
  <c r="Q178" i="57" s="1"/>
  <c r="K157" i="57"/>
  <c r="K158" i="57" s="1"/>
  <c r="L157" i="57"/>
  <c r="H157" i="57" l="1"/>
  <c r="L158" i="57"/>
  <c r="Q181" i="57"/>
  <c r="Q179" i="57"/>
  <c r="Q180" i="57" s="1"/>
  <c r="H158" i="57" l="1"/>
  <c r="K159" i="57"/>
  <c r="K160" i="57" s="1"/>
  <c r="K161" i="57" s="1"/>
  <c r="L159" i="57"/>
  <c r="L161" i="57" l="1"/>
  <c r="H159" i="57"/>
  <c r="H161" i="57" l="1"/>
  <c r="L162" i="57"/>
  <c r="K162" i="57"/>
  <c r="K163" i="57" s="1"/>
  <c r="R162" i="57"/>
  <c r="R163" i="57" s="1"/>
  <c r="L163" i="57" l="1"/>
  <c r="H162" i="57"/>
  <c r="L164" i="57" l="1"/>
  <c r="H163" i="57"/>
  <c r="R164" i="57"/>
  <c r="R165" i="57" s="1"/>
  <c r="K164" i="57"/>
  <c r="K165" i="57" s="1"/>
  <c r="L165" i="57" l="1"/>
  <c r="H164" i="57"/>
  <c r="H165" i="57" l="1"/>
  <c r="K166" i="57"/>
  <c r="K167" i="57" s="1"/>
  <c r="R166" i="57"/>
  <c r="R167" i="57" s="1"/>
  <c r="L166" i="57"/>
  <c r="L167" i="57" l="1"/>
  <c r="H166" i="57"/>
  <c r="R168" i="57" l="1"/>
  <c r="R169" i="57" s="1"/>
  <c r="L168" i="57"/>
  <c r="H167" i="57"/>
  <c r="K168" i="57"/>
  <c r="K169" i="57" s="1"/>
  <c r="L169" i="57" l="1"/>
  <c r="H168" i="57"/>
  <c r="H169" i="57" l="1"/>
  <c r="R170" i="57"/>
  <c r="R171" i="57" s="1"/>
  <c r="L170" i="57"/>
  <c r="K170" i="57"/>
  <c r="K171" i="57" s="1"/>
  <c r="H170" i="57" l="1"/>
  <c r="L171" i="57"/>
  <c r="L172" i="57" l="1"/>
  <c r="K172" i="57"/>
  <c r="K173" i="57" s="1"/>
  <c r="H171" i="57"/>
  <c r="R172" i="57"/>
  <c r="R173" i="57" s="1"/>
  <c r="H172" i="57" l="1"/>
  <c r="L173" i="57"/>
  <c r="K174" i="57" l="1"/>
  <c r="K175" i="57" s="1"/>
  <c r="H173" i="57"/>
  <c r="L174" i="57"/>
  <c r="R174" i="57"/>
  <c r="R175" i="57" s="1"/>
  <c r="H174" i="57" l="1"/>
  <c r="L175" i="57"/>
  <c r="H175" i="57" l="1"/>
  <c r="L176" i="57"/>
  <c r="K176" i="57"/>
  <c r="K177" i="57" s="1"/>
  <c r="R176" i="57"/>
  <c r="R177" i="57" s="1"/>
  <c r="L177" i="57" l="1"/>
  <c r="H176" i="57"/>
  <c r="H177" i="57" l="1"/>
  <c r="L178" i="57"/>
  <c r="R178" i="57"/>
  <c r="R179" i="57" s="1"/>
  <c r="K178" i="57"/>
  <c r="K179" i="57" s="1"/>
  <c r="L179" i="57" l="1"/>
  <c r="H178" i="57"/>
  <c r="L180" i="57" l="1"/>
  <c r="R180" i="57"/>
  <c r="R181" i="57" s="1"/>
  <c r="Q182" i="57" s="1"/>
  <c r="Q184" i="57" s="1"/>
  <c r="Q185" i="57" s="1"/>
  <c r="Q186" i="57" s="1"/>
  <c r="Q187" i="57" s="1"/>
  <c r="Q188" i="57" s="1"/>
  <c r="Q189" i="57" s="1"/>
  <c r="Q190" i="57" s="1"/>
  <c r="Q191" i="57" s="1"/>
  <c r="Q192" i="57" s="1"/>
  <c r="Q193" i="57" s="1"/>
  <c r="Q194" i="57" s="1"/>
  <c r="Q195" i="57" s="1"/>
  <c r="Q196" i="57" s="1"/>
  <c r="Q197" i="57" s="1"/>
  <c r="Q198" i="57" s="1"/>
  <c r="Q199" i="57" s="1"/>
  <c r="Q200" i="57" s="1"/>
  <c r="Q201" i="57" s="1"/>
  <c r="K180" i="57"/>
  <c r="K181" i="57" s="1"/>
  <c r="H179" i="57"/>
  <c r="Q202" i="57" l="1"/>
  <c r="Q203" i="57" s="1"/>
  <c r="Q204" i="57"/>
  <c r="H180" i="57"/>
  <c r="L181" i="57"/>
  <c r="H181" i="57" l="1"/>
  <c r="L182" i="57"/>
  <c r="K182" i="57"/>
  <c r="K183" i="57" s="1"/>
  <c r="K184" i="57" s="1"/>
  <c r="H182" i="57" l="1"/>
  <c r="L184" i="57"/>
  <c r="H184" i="57" l="1"/>
  <c r="R185" i="57"/>
  <c r="R186" i="57" s="1"/>
  <c r="K185" i="57"/>
  <c r="K186" i="57" s="1"/>
  <c r="L185" i="57"/>
  <c r="L186" i="57" l="1"/>
  <c r="H185" i="57"/>
  <c r="H186" i="57" l="1"/>
  <c r="R187" i="57"/>
  <c r="R188" i="57" s="1"/>
  <c r="L187" i="57"/>
  <c r="K187" i="57"/>
  <c r="K188" i="57" s="1"/>
  <c r="L188" i="57" l="1"/>
  <c r="H187" i="57"/>
  <c r="L189" i="57" l="1"/>
  <c r="K189" i="57"/>
  <c r="K190" i="57" s="1"/>
  <c r="H188" i="57"/>
  <c r="R189" i="57"/>
  <c r="R190" i="57" s="1"/>
  <c r="L190" i="57" l="1"/>
  <c r="H189" i="57"/>
  <c r="K191" i="57" l="1"/>
  <c r="K192" i="57" s="1"/>
  <c r="H190" i="57"/>
  <c r="R191" i="57"/>
  <c r="R192" i="57" s="1"/>
  <c r="L191" i="57"/>
  <c r="H191" i="57" l="1"/>
  <c r="L192" i="57"/>
  <c r="L193" i="57" l="1"/>
  <c r="H192" i="57"/>
  <c r="R193" i="57"/>
  <c r="R194" i="57" s="1"/>
  <c r="K193" i="57"/>
  <c r="K194" i="57" s="1"/>
  <c r="L194" i="57" l="1"/>
  <c r="H193" i="57"/>
  <c r="H194" i="57" l="1"/>
  <c r="R195" i="57"/>
  <c r="R196" i="57" s="1"/>
  <c r="L195" i="57"/>
  <c r="K195" i="57"/>
  <c r="K196" i="57" s="1"/>
  <c r="H195" i="57" l="1"/>
  <c r="L196" i="57"/>
  <c r="L197" i="57" l="1"/>
  <c r="K197" i="57"/>
  <c r="K198" i="57" s="1"/>
  <c r="R197" i="57"/>
  <c r="R198" i="57" s="1"/>
  <c r="H196" i="57"/>
  <c r="H197" i="57" l="1"/>
  <c r="L198" i="57"/>
  <c r="K199" i="57" l="1"/>
  <c r="K200" i="57" s="1"/>
  <c r="H198" i="57"/>
  <c r="R199" i="57"/>
  <c r="R200" i="57" s="1"/>
  <c r="L199" i="57"/>
  <c r="H199" i="57" l="1"/>
  <c r="L200" i="57"/>
  <c r="K201" i="57" l="1"/>
  <c r="K202" i="57" s="1"/>
  <c r="R201" i="57"/>
  <c r="R202" i="57" s="1"/>
  <c r="L201" i="57"/>
  <c r="H200" i="57"/>
  <c r="H201" i="57" l="1"/>
  <c r="L202" i="57"/>
  <c r="H202" i="57" l="1"/>
  <c r="R203" i="57"/>
  <c r="R204" i="57" s="1"/>
  <c r="Q205" i="57" s="1"/>
  <c r="Q207" i="57" s="1"/>
  <c r="Q208" i="57" s="1"/>
  <c r="Q209" i="57" s="1"/>
  <c r="Q210" i="57" s="1"/>
  <c r="Q211" i="57" s="1"/>
  <c r="Q212" i="57" s="1"/>
  <c r="Q213" i="57" s="1"/>
  <c r="Q214" i="57" s="1"/>
  <c r="Q215" i="57" s="1"/>
  <c r="Q216" i="57" s="1"/>
  <c r="Q217" i="57" s="1"/>
  <c r="Q218" i="57" s="1"/>
  <c r="Q219" i="57" s="1"/>
  <c r="Q220" i="57" s="1"/>
  <c r="Q221" i="57" s="1"/>
  <c r="Q222" i="57" s="1"/>
  <c r="Q223" i="57" s="1"/>
  <c r="Q224" i="57" s="1"/>
  <c r="K203" i="57"/>
  <c r="K204" i="57" s="1"/>
  <c r="L203" i="57"/>
  <c r="L204" i="57" l="1"/>
  <c r="H203" i="57"/>
  <c r="Q225" i="57"/>
  <c r="Q226" i="57" s="1"/>
  <c r="Q227" i="57"/>
  <c r="L205" i="57" l="1"/>
  <c r="K205" i="57"/>
  <c r="K206" i="57" s="1"/>
  <c r="K207" i="57" s="1"/>
  <c r="H204" i="57"/>
  <c r="H205" i="57" l="1"/>
  <c r="L207" i="57"/>
  <c r="L208" i="57" l="1"/>
  <c r="H207" i="57"/>
  <c r="K208" i="57"/>
  <c r="K209" i="57" s="1"/>
  <c r="R208" i="57"/>
  <c r="R209" i="57" s="1"/>
  <c r="L209" i="57" l="1"/>
  <c r="H208" i="57"/>
  <c r="R210" i="57" l="1"/>
  <c r="R211" i="57" s="1"/>
  <c r="L210" i="57"/>
  <c r="H209" i="57"/>
  <c r="K210" i="57"/>
  <c r="K211" i="57" s="1"/>
  <c r="H210" i="57" l="1"/>
  <c r="L211" i="57"/>
  <c r="R212" i="57" l="1"/>
  <c r="R213" i="57" s="1"/>
  <c r="K212" i="57"/>
  <c r="K213" i="57" s="1"/>
  <c r="H211" i="57"/>
  <c r="L212" i="57"/>
  <c r="H212" i="57" l="1"/>
  <c r="L213" i="57"/>
  <c r="K214" i="57" l="1"/>
  <c r="K215" i="57" s="1"/>
  <c r="H213" i="57"/>
  <c r="L214" i="57"/>
  <c r="R214" i="57"/>
  <c r="R215" i="57" s="1"/>
  <c r="H214" i="57" l="1"/>
  <c r="L215" i="57"/>
  <c r="K216" i="57" l="1"/>
  <c r="K217" i="57" s="1"/>
  <c r="L216" i="57"/>
  <c r="R216" i="57"/>
  <c r="R217" i="57" s="1"/>
  <c r="H215" i="57"/>
  <c r="L217" i="57" l="1"/>
  <c r="H216" i="57"/>
  <c r="R218" i="57" l="1"/>
  <c r="R219" i="57" s="1"/>
  <c r="K218" i="57"/>
  <c r="K219" i="57" s="1"/>
  <c r="H217" i="57"/>
  <c r="L218" i="57"/>
  <c r="H218" i="57" l="1"/>
  <c r="L219" i="57"/>
  <c r="R220" i="57" l="1"/>
  <c r="R221" i="57" s="1"/>
  <c r="L220" i="57"/>
  <c r="H219" i="57"/>
  <c r="K220" i="57"/>
  <c r="K221" i="57" s="1"/>
  <c r="L221" i="57" l="1"/>
  <c r="H220" i="57"/>
  <c r="K222" i="57" l="1"/>
  <c r="K223" i="57" s="1"/>
  <c r="H221" i="57"/>
  <c r="R222" i="57"/>
  <c r="R223" i="57" s="1"/>
  <c r="L222" i="57"/>
  <c r="H222" i="57" l="1"/>
  <c r="L223" i="57"/>
  <c r="H223" i="57" l="1"/>
  <c r="R224" i="57"/>
  <c r="R225" i="57" s="1"/>
  <c r="L224" i="57"/>
  <c r="K224" i="57"/>
  <c r="K225" i="57" s="1"/>
  <c r="L225" i="57" l="1"/>
  <c r="H224" i="57"/>
  <c r="K226" i="57" l="1"/>
  <c r="K227" i="57" s="1"/>
  <c r="H225" i="57"/>
  <c r="L226" i="57"/>
  <c r="R226" i="57"/>
  <c r="R227" i="57" s="1"/>
  <c r="Q228" i="57" s="1"/>
  <c r="Q230" i="57" s="1"/>
  <c r="Q231" i="57" s="1"/>
  <c r="Q232" i="57" s="1"/>
  <c r="Q233" i="57" s="1"/>
  <c r="Q234" i="57" s="1"/>
  <c r="Q235" i="57" s="1"/>
  <c r="Q236" i="57" s="1"/>
  <c r="Q237" i="57" s="1"/>
  <c r="Q238" i="57" s="1"/>
  <c r="Q239" i="57" s="1"/>
  <c r="Q240" i="57" s="1"/>
  <c r="Q241" i="57" s="1"/>
  <c r="Q242" i="57" s="1"/>
  <c r="Q243" i="57" s="1"/>
  <c r="Q244" i="57" s="1"/>
  <c r="Q245" i="57" s="1"/>
  <c r="Q246" i="57" s="1"/>
  <c r="Q247" i="57" s="1"/>
  <c r="Q248" i="57" l="1"/>
  <c r="Q249" i="57" s="1"/>
  <c r="Q250" i="57"/>
  <c r="L227" i="57"/>
  <c r="H226" i="57"/>
  <c r="L228" i="57" l="1"/>
  <c r="K228" i="57"/>
  <c r="K229" i="57" s="1"/>
  <c r="K230" i="57" s="1"/>
  <c r="H227" i="57"/>
  <c r="H228" i="57" l="1"/>
  <c r="L230" i="57"/>
  <c r="R231" i="57" l="1"/>
  <c r="R232" i="57" s="1"/>
  <c r="L231" i="57"/>
  <c r="K231" i="57"/>
  <c r="K232" i="57" s="1"/>
  <c r="H230" i="57"/>
  <c r="H231" i="57" l="1"/>
  <c r="L232" i="57"/>
  <c r="R233" i="57" l="1"/>
  <c r="R234" i="57" s="1"/>
  <c r="K233" i="57"/>
  <c r="K234" i="57" s="1"/>
  <c r="H232" i="57"/>
  <c r="L233" i="57"/>
  <c r="L234" i="57" l="1"/>
  <c r="H233" i="57"/>
  <c r="K235" i="57" l="1"/>
  <c r="K236" i="57" s="1"/>
  <c r="R235" i="57"/>
  <c r="R236" i="57" s="1"/>
  <c r="L235" i="57"/>
  <c r="H234" i="57"/>
  <c r="H235" i="57" l="1"/>
  <c r="L236" i="57"/>
  <c r="H236" i="57" l="1"/>
  <c r="L237" i="57"/>
  <c r="R237" i="57"/>
  <c r="R238" i="57" s="1"/>
  <c r="K237" i="57"/>
  <c r="K238" i="57" s="1"/>
  <c r="L238" i="57" l="1"/>
  <c r="H237" i="57"/>
  <c r="K239" i="57" l="1"/>
  <c r="K240" i="57" s="1"/>
  <c r="H238" i="57"/>
  <c r="R239" i="57"/>
  <c r="R240" i="57" s="1"/>
  <c r="L239" i="57"/>
  <c r="H239" i="57" l="1"/>
  <c r="L240" i="57"/>
  <c r="H240" i="57" l="1"/>
  <c r="R241" i="57"/>
  <c r="R242" i="57" s="1"/>
  <c r="K241" i="57"/>
  <c r="K242" i="57" s="1"/>
  <c r="L241" i="57"/>
  <c r="L242" i="57" l="1"/>
  <c r="H241" i="57"/>
  <c r="H242" i="57" l="1"/>
  <c r="K243" i="57"/>
  <c r="K244" i="57" s="1"/>
  <c r="L243" i="57"/>
  <c r="R243" i="57"/>
  <c r="R244" i="57" s="1"/>
  <c r="L244" i="57" l="1"/>
  <c r="H243" i="57"/>
  <c r="H244" i="57" l="1"/>
  <c r="R245" i="57"/>
  <c r="R246" i="57" s="1"/>
  <c r="L245" i="57"/>
  <c r="K245" i="57"/>
  <c r="K246" i="57" s="1"/>
  <c r="H245" i="57" l="1"/>
  <c r="L246" i="57"/>
  <c r="R247" i="57" l="1"/>
  <c r="R248" i="57" s="1"/>
  <c r="L247" i="57"/>
  <c r="K247" i="57"/>
  <c r="K248" i="57" s="1"/>
  <c r="H246" i="57"/>
  <c r="H247" i="57" l="1"/>
  <c r="L248" i="57"/>
  <c r="H248" i="57" l="1"/>
  <c r="R249" i="57"/>
  <c r="R250" i="57" s="1"/>
  <c r="Q251" i="57" s="1"/>
  <c r="L252" i="57" s="1"/>
  <c r="L253" i="57" s="1"/>
  <c r="L254" i="57" s="1"/>
  <c r="L255" i="57" s="1"/>
  <c r="L256" i="57" s="1"/>
  <c r="L257" i="57" s="1"/>
  <c r="L258" i="57" s="1"/>
  <c r="L259" i="57" s="1"/>
  <c r="L260" i="57" s="1"/>
  <c r="L261" i="57" s="1"/>
  <c r="L262" i="57" s="1"/>
  <c r="L263" i="57" s="1"/>
  <c r="L264" i="57" s="1"/>
  <c r="K249" i="57"/>
  <c r="K250" i="57" s="1"/>
  <c r="L249" i="57"/>
  <c r="Q265" i="57" l="1"/>
  <c r="L265" i="57"/>
  <c r="H265" i="57" s="1"/>
  <c r="O265" i="57"/>
  <c r="L250" i="57"/>
  <c r="H249" i="57"/>
  <c r="L251" i="57" l="1"/>
  <c r="H251" i="57" s="1"/>
  <c r="H250" i="57"/>
  <c r="K251" i="57"/>
  <c r="S2" i="51" l="1" a="1"/>
  <c r="S2" i="51" s="1"/>
  <c r="R2" i="51" a="1"/>
  <c r="R2" i="51" s="1"/>
  <c r="I3" i="51" l="1"/>
  <c r="P228" i="51"/>
  <c r="P229" i="51" s="1"/>
  <c r="P227" i="51"/>
  <c r="H45" i="51" l="1"/>
  <c r="H46" i="51" s="1"/>
  <c r="H47" i="51" s="1"/>
  <c r="L38" i="54" l="1"/>
  <c r="L39" i="54" s="1"/>
  <c r="L40" i="54" s="1"/>
  <c r="L41" i="54" s="1"/>
  <c r="L42" i="54" s="1"/>
  <c r="L43" i="54" s="1"/>
  <c r="L2" i="54"/>
  <c r="L3" i="54" s="1"/>
  <c r="L4" i="54" s="1"/>
  <c r="L5" i="54" s="1"/>
  <c r="L6" i="54" s="1"/>
  <c r="L7" i="54" s="1"/>
  <c r="J2" i="54" a="1"/>
  <c r="J2" i="54" s="1"/>
  <c r="J3" i="54" s="1"/>
  <c r="J4" i="54" s="1"/>
  <c r="J5" i="54" s="1"/>
  <c r="K2" i="54" a="1"/>
  <c r="K2" i="54" s="1"/>
  <c r="K3" i="54" s="1"/>
  <c r="K4" i="54" s="1"/>
  <c r="K5" i="54" s="1"/>
  <c r="R3" i="51"/>
  <c r="R4" i="51" s="1"/>
  <c r="R5" i="51" s="1"/>
  <c r="S3" i="51"/>
  <c r="S4" i="51" s="1"/>
  <c r="S5" i="51" s="1"/>
  <c r="P23" i="51"/>
  <c r="P24" i="51" s="1"/>
  <c r="P2" i="51"/>
  <c r="P3" i="51" s="1"/>
  <c r="B41" i="54"/>
  <c r="B42" i="54" s="1"/>
  <c r="B43" i="54" s="1"/>
  <c r="B44" i="54" s="1"/>
  <c r="B45" i="54" s="1"/>
  <c r="B46" i="54" s="1"/>
  <c r="B47" i="54" s="1"/>
  <c r="B48" i="54" s="1"/>
  <c r="B49" i="54" s="1"/>
  <c r="B50" i="54" s="1"/>
  <c r="B51" i="54" s="1"/>
  <c r="B52" i="54" s="1"/>
  <c r="B53" i="54" s="1"/>
  <c r="B54" i="54" s="1"/>
  <c r="B55" i="54" s="1"/>
  <c r="B56" i="54" s="1"/>
  <c r="B57" i="54" s="1"/>
  <c r="B58" i="54" s="1"/>
  <c r="B59" i="54" s="1"/>
  <c r="B60" i="54" s="1"/>
  <c r="B61" i="54" s="1"/>
  <c r="B62" i="54" s="1"/>
  <c r="B63" i="54" s="1"/>
  <c r="B64" i="54" s="1"/>
  <c r="E39" i="54"/>
  <c r="D39" i="54"/>
  <c r="D40" i="54" s="1"/>
  <c r="I38" i="54"/>
  <c r="I39" i="54" s="1"/>
  <c r="I40" i="54" s="1"/>
  <c r="I41" i="54" s="1"/>
  <c r="E3" i="54"/>
  <c r="E4" i="54" s="1"/>
  <c r="E5" i="54" s="1"/>
  <c r="D3" i="54"/>
  <c r="D4" i="54" s="1"/>
  <c r="I2" i="54"/>
  <c r="I3" i="54" s="1"/>
  <c r="I4" i="54" s="1"/>
  <c r="I5" i="54" s="1"/>
  <c r="T23" i="51"/>
  <c r="T24" i="51" s="1"/>
  <c r="T25" i="51" s="1"/>
  <c r="T26" i="51" s="1"/>
  <c r="T27" i="51" s="1"/>
  <c r="T28" i="51" s="1"/>
  <c r="P29" i="51"/>
  <c r="P30" i="51" s="1"/>
  <c r="P31" i="51" s="1"/>
  <c r="P32" i="51" s="1"/>
  <c r="P33" i="51" s="1"/>
  <c r="P34" i="51" s="1"/>
  <c r="P35" i="51" s="1"/>
  <c r="P36" i="51" s="1"/>
  <c r="P37" i="51" s="1"/>
  <c r="P38" i="51" s="1"/>
  <c r="P39" i="51" s="1"/>
  <c r="P40" i="51" s="1"/>
  <c r="P41" i="51" s="1"/>
  <c r="P42" i="51" s="1"/>
  <c r="P43" i="51" s="1"/>
  <c r="P44" i="51" s="1"/>
  <c r="P45" i="51" s="1"/>
  <c r="T2" i="51"/>
  <c r="T3" i="51" s="1"/>
  <c r="T4" i="51" s="1"/>
  <c r="T5" i="51" s="1"/>
  <c r="T6" i="51" s="1"/>
  <c r="T7" i="51" s="1"/>
  <c r="I24" i="51"/>
  <c r="I25" i="51" s="1"/>
  <c r="H233" i="51"/>
  <c r="H232" i="51"/>
  <c r="H231" i="51"/>
  <c r="H208" i="51"/>
  <c r="H209" i="51" s="1"/>
  <c r="H207" i="51"/>
  <c r="H206" i="51"/>
  <c r="H185" i="51"/>
  <c r="H186" i="51" s="1"/>
  <c r="H184" i="51"/>
  <c r="H183" i="51"/>
  <c r="H162" i="51"/>
  <c r="H163" i="51" s="1"/>
  <c r="H161" i="51"/>
  <c r="H160" i="51"/>
  <c r="H139" i="51"/>
  <c r="H140" i="51" s="1"/>
  <c r="H138" i="51"/>
  <c r="H137" i="51"/>
  <c r="H116" i="51"/>
  <c r="H117" i="51" s="1"/>
  <c r="H115" i="51"/>
  <c r="H114" i="51"/>
  <c r="H93" i="51"/>
  <c r="H94" i="51" s="1"/>
  <c r="H92" i="51"/>
  <c r="H91" i="51"/>
  <c r="H70" i="51"/>
  <c r="H71" i="51" s="1"/>
  <c r="H69" i="51"/>
  <c r="H68" i="51"/>
  <c r="I44" i="51"/>
  <c r="I45" i="51" s="1"/>
  <c r="I46" i="51" s="1"/>
  <c r="I47" i="51" s="1"/>
  <c r="Q23" i="51"/>
  <c r="Q24" i="51" s="1"/>
  <c r="P7" i="51"/>
  <c r="P8" i="51" s="1"/>
  <c r="P9" i="51" s="1"/>
  <c r="P10" i="51" s="1"/>
  <c r="P11" i="51" s="1"/>
  <c r="P12" i="51" s="1"/>
  <c r="P13" i="51" s="1"/>
  <c r="P14" i="51" s="1"/>
  <c r="P15" i="51" s="1"/>
  <c r="P16" i="51" s="1"/>
  <c r="P17" i="51" s="1"/>
  <c r="P18" i="51" s="1"/>
  <c r="P19" i="51" s="1"/>
  <c r="P20" i="51" s="1"/>
  <c r="P21" i="51" s="1"/>
  <c r="P22" i="51" s="1"/>
  <c r="Q2" i="51"/>
  <c r="Q3" i="51" s="1"/>
  <c r="Q4" i="51" s="1"/>
  <c r="Q5" i="51" s="1"/>
  <c r="P46" i="51" l="1"/>
  <c r="P47" i="51" s="1"/>
  <c r="P48" i="51" s="1"/>
  <c r="P49" i="51" s="1"/>
  <c r="P50" i="51" s="1"/>
  <c r="P51" i="51" s="1"/>
  <c r="P52" i="51" s="1"/>
  <c r="P53" i="51" s="1"/>
  <c r="P54" i="51" s="1"/>
  <c r="P55" i="51" s="1"/>
  <c r="P56" i="51" s="1"/>
  <c r="P57" i="51" s="1"/>
  <c r="P58" i="51" s="1"/>
  <c r="P59" i="51" s="1"/>
  <c r="P60" i="51" s="1"/>
  <c r="P61" i="51" s="1"/>
  <c r="P62" i="51" s="1"/>
  <c r="P63" i="51" s="1"/>
  <c r="P64" i="51" s="1"/>
  <c r="P65" i="51" s="1"/>
  <c r="P66" i="51" s="1"/>
  <c r="P67" i="51" s="1"/>
  <c r="P68" i="51" s="1"/>
  <c r="P69" i="51" s="1"/>
  <c r="P70" i="51" s="1"/>
  <c r="P71" i="51" s="1"/>
  <c r="P72" i="51" s="1"/>
  <c r="P73" i="51" s="1"/>
  <c r="P74" i="51" s="1"/>
  <c r="P75" i="51" s="1"/>
  <c r="P76" i="51" s="1"/>
  <c r="P77" i="51" s="1"/>
  <c r="P78" i="51" s="1"/>
  <c r="P79" i="51" s="1"/>
  <c r="P80" i="51" s="1"/>
  <c r="P81" i="51" s="1"/>
  <c r="P82" i="51" s="1"/>
  <c r="P83" i="51" s="1"/>
  <c r="P84" i="51" s="1"/>
  <c r="P85" i="51" s="1"/>
  <c r="P86" i="51" s="1"/>
  <c r="P87" i="51" s="1"/>
  <c r="P88" i="51" s="1"/>
  <c r="P89" i="51" s="1"/>
  <c r="P90" i="51" s="1"/>
  <c r="P91" i="51" s="1"/>
  <c r="P92" i="51" s="1"/>
  <c r="P93" i="51" s="1"/>
  <c r="P94" i="51" s="1"/>
  <c r="P95" i="51" s="1"/>
  <c r="P96" i="51" s="1"/>
  <c r="P97" i="51" s="1"/>
  <c r="P98" i="51" s="1"/>
  <c r="P99" i="51" s="1"/>
  <c r="P100" i="51" s="1"/>
  <c r="P101" i="51" s="1"/>
  <c r="P102" i="51" s="1"/>
  <c r="P103" i="51" s="1"/>
  <c r="P104" i="51" s="1"/>
  <c r="P105" i="51" s="1"/>
  <c r="P106" i="51" s="1"/>
  <c r="P107" i="51" s="1"/>
  <c r="P108" i="51" s="1"/>
  <c r="P109" i="51" s="1"/>
  <c r="P110" i="51" s="1"/>
  <c r="P111" i="51" s="1"/>
  <c r="P112" i="51" s="1"/>
  <c r="P113" i="51" s="1"/>
  <c r="P114" i="51" s="1"/>
  <c r="P115" i="51" s="1"/>
  <c r="P116" i="51" s="1"/>
  <c r="P117" i="51" s="1"/>
  <c r="P118" i="51" s="1"/>
  <c r="P119" i="51" s="1"/>
  <c r="P120" i="51" s="1"/>
  <c r="P121" i="51" s="1"/>
  <c r="P122" i="51" s="1"/>
  <c r="P123" i="51" s="1"/>
  <c r="P124" i="51" s="1"/>
  <c r="P125" i="51" s="1"/>
  <c r="P126" i="51" s="1"/>
  <c r="P127" i="51" s="1"/>
  <c r="P128" i="51" s="1"/>
  <c r="P129" i="51" s="1"/>
  <c r="P130" i="51" s="1"/>
  <c r="P131" i="51" s="1"/>
  <c r="P132" i="51" s="1"/>
  <c r="P133" i="51" s="1"/>
  <c r="P134" i="51" s="1"/>
  <c r="P135" i="51" s="1"/>
  <c r="P136" i="51" s="1"/>
  <c r="P137" i="51" s="1"/>
  <c r="P138" i="51" s="1"/>
  <c r="P139" i="51" s="1"/>
  <c r="P140" i="51" s="1"/>
  <c r="P141" i="51" s="1"/>
  <c r="P142" i="51" s="1"/>
  <c r="P143" i="51" s="1"/>
  <c r="P144" i="51" s="1"/>
  <c r="P145" i="51" s="1"/>
  <c r="P146" i="51" s="1"/>
  <c r="P147" i="51" s="1"/>
  <c r="P148" i="51" s="1"/>
  <c r="P149" i="51" s="1"/>
  <c r="P150" i="51" s="1"/>
  <c r="P151" i="51" s="1"/>
  <c r="P152" i="51" s="1"/>
  <c r="P153" i="51" s="1"/>
  <c r="P154" i="51" s="1"/>
  <c r="P155" i="51" s="1"/>
  <c r="P156" i="51" s="1"/>
  <c r="P157" i="51" s="1"/>
  <c r="P158" i="51" s="1"/>
  <c r="P159" i="51" s="1"/>
  <c r="P160" i="51" s="1"/>
  <c r="P161" i="51" s="1"/>
  <c r="P162" i="51" s="1"/>
  <c r="P163" i="51" s="1"/>
  <c r="P164" i="51" s="1"/>
  <c r="P165" i="51" s="1"/>
  <c r="P166" i="51" s="1"/>
  <c r="P167" i="51" s="1"/>
  <c r="P168" i="51" s="1"/>
  <c r="P169" i="51" s="1"/>
  <c r="P170" i="51" s="1"/>
  <c r="P171" i="51" s="1"/>
  <c r="P172" i="51" s="1"/>
  <c r="P173" i="51" s="1"/>
  <c r="P174" i="51" s="1"/>
  <c r="P175" i="51" s="1"/>
  <c r="P176" i="51" s="1"/>
  <c r="P177" i="51" s="1"/>
  <c r="P178" i="51" s="1"/>
  <c r="P179" i="51" s="1"/>
  <c r="P180" i="51" s="1"/>
  <c r="P181" i="51" s="1"/>
  <c r="P182" i="51" s="1"/>
  <c r="P183" i="51" s="1"/>
  <c r="P184" i="51" s="1"/>
  <c r="P185" i="51" s="1"/>
  <c r="P186" i="51" s="1"/>
  <c r="P187" i="51" s="1"/>
  <c r="P188" i="51" s="1"/>
  <c r="P189" i="51" s="1"/>
  <c r="P190" i="51" s="1"/>
  <c r="P191" i="51" s="1"/>
  <c r="P192" i="51" s="1"/>
  <c r="P193" i="51" s="1"/>
  <c r="P194" i="51" s="1"/>
  <c r="P195" i="51" s="1"/>
  <c r="P196" i="51" s="1"/>
  <c r="P197" i="51" s="1"/>
  <c r="P198" i="51" s="1"/>
  <c r="P199" i="51" s="1"/>
  <c r="P200" i="51" s="1"/>
  <c r="P201" i="51" s="1"/>
  <c r="P202" i="51" s="1"/>
  <c r="P203" i="51" s="1"/>
  <c r="P204" i="51" s="1"/>
  <c r="P205" i="51" s="1"/>
  <c r="P206" i="51" s="1"/>
  <c r="P207" i="51" s="1"/>
  <c r="P208" i="51" s="1"/>
  <c r="P209" i="51" s="1"/>
  <c r="P210" i="51" s="1"/>
  <c r="P211" i="51" s="1"/>
  <c r="P212" i="51" s="1"/>
  <c r="P213" i="51" s="1"/>
  <c r="P214" i="51" s="1"/>
  <c r="P215" i="51" s="1"/>
  <c r="P216" i="51" s="1"/>
  <c r="P217" i="51" s="1"/>
  <c r="P218" i="51" s="1"/>
  <c r="P219" i="51" s="1"/>
  <c r="P220" i="51" s="1"/>
  <c r="P221" i="51" s="1"/>
  <c r="P222" i="51" s="1"/>
  <c r="P223" i="51" s="1"/>
  <c r="P224" i="51" s="1"/>
  <c r="P225" i="51" s="1"/>
  <c r="P226" i="51" s="1"/>
  <c r="P230" i="51" s="1"/>
  <c r="P231" i="51" s="1"/>
  <c r="P232" i="51" s="1"/>
  <c r="P233" i="51" s="1"/>
  <c r="H48" i="51"/>
  <c r="B65" i="54"/>
  <c r="B66" i="54" s="1"/>
  <c r="B67" i="54" s="1"/>
  <c r="B68" i="54" s="1"/>
  <c r="B69" i="54" s="1"/>
  <c r="B70" i="54" s="1"/>
  <c r="B71" i="54" s="1"/>
  <c r="I4" i="51"/>
  <c r="I5" i="51" s="1"/>
  <c r="D41" i="54"/>
  <c r="D42" i="54" s="1"/>
  <c r="D43" i="54" s="1"/>
  <c r="D44" i="54" s="1"/>
  <c r="D45" i="54" s="1"/>
  <c r="D46" i="54" s="1"/>
  <c r="D47" i="54" s="1"/>
  <c r="D48" i="54" s="1"/>
  <c r="D49" i="54" s="1"/>
  <c r="D5" i="54"/>
  <c r="D6" i="54" s="1"/>
  <c r="D7" i="54" s="1"/>
  <c r="D8" i="54" s="1"/>
  <c r="D9" i="54" s="1"/>
  <c r="D10" i="54" s="1"/>
  <c r="D11" i="54" s="1"/>
  <c r="D12" i="54" s="1"/>
  <c r="D13" i="54" s="1"/>
  <c r="D14" i="54" s="1"/>
  <c r="D15" i="54" s="1"/>
  <c r="D16" i="54" s="1"/>
  <c r="D17" i="54" s="1"/>
  <c r="D18" i="54" s="1"/>
  <c r="D19" i="54" s="1"/>
  <c r="D20" i="54" s="1"/>
  <c r="D21" i="54" s="1"/>
  <c r="J6" i="54"/>
  <c r="J7" i="54" s="1"/>
  <c r="J8" i="54" s="1"/>
  <c r="J9" i="54" s="1"/>
  <c r="J10" i="54" s="1"/>
  <c r="J11" i="54" s="1"/>
  <c r="J12" i="54" s="1"/>
  <c r="J13" i="54" s="1"/>
  <c r="K6" i="54"/>
  <c r="K7" i="54" s="1"/>
  <c r="K8" i="54" s="1"/>
  <c r="K9" i="54" s="1"/>
  <c r="K10" i="54" s="1"/>
  <c r="K11" i="54" s="1"/>
  <c r="K12" i="54" s="1"/>
  <c r="K13" i="54" s="1"/>
  <c r="H3" i="54"/>
  <c r="H4" i="54" s="1"/>
  <c r="H5" i="54" s="1"/>
  <c r="E6" i="54" s="1"/>
  <c r="E40" i="54"/>
  <c r="E41" i="54" s="1"/>
  <c r="H39" i="54"/>
  <c r="H40" i="54" s="1"/>
  <c r="H41" i="54" s="1"/>
  <c r="R6" i="51"/>
  <c r="R7" i="51" s="1"/>
  <c r="S6" i="51"/>
  <c r="S7" i="51" s="1"/>
  <c r="I26" i="51"/>
  <c r="I27" i="51" s="1"/>
  <c r="Q25" i="51"/>
  <c r="Q26" i="51" s="1"/>
  <c r="Q27" i="51" s="1"/>
  <c r="P4" i="51"/>
  <c r="B72" i="54" l="1"/>
  <c r="B73" i="54" s="1"/>
  <c r="B74" i="54" s="1"/>
  <c r="B75" i="54" s="1"/>
  <c r="B76" i="54" s="1"/>
  <c r="B77" i="54" s="1"/>
  <c r="B78" i="54" s="1"/>
  <c r="B79" i="54" s="1"/>
  <c r="B80" i="54" s="1"/>
  <c r="B81" i="54" s="1"/>
  <c r="B82" i="54" s="1"/>
  <c r="B83" i="54" s="1"/>
  <c r="B84" i="54" s="1"/>
  <c r="B85" i="54" s="1"/>
  <c r="B86" i="54" s="1"/>
  <c r="B87" i="54" s="1"/>
  <c r="B88" i="54" s="1"/>
  <c r="D50" i="54"/>
  <c r="D51" i="54" s="1"/>
  <c r="D52" i="54" s="1"/>
  <c r="D53" i="54" s="1"/>
  <c r="D54" i="54" s="1"/>
  <c r="D55" i="54" s="1"/>
  <c r="D56" i="54" s="1"/>
  <c r="D57" i="54" s="1"/>
  <c r="D58" i="54" s="1"/>
  <c r="D59" i="54" s="1"/>
  <c r="D60" i="54" s="1"/>
  <c r="D61" i="54" s="1"/>
  <c r="D62" i="54" s="1"/>
  <c r="D63" i="54" s="1"/>
  <c r="D64" i="54" s="1"/>
  <c r="D65" i="54" s="1"/>
  <c r="D66" i="54" s="1"/>
  <c r="D67" i="54" s="1"/>
  <c r="D68" i="54" s="1"/>
  <c r="D69" i="54" s="1"/>
  <c r="D70" i="54" s="1"/>
  <c r="D71" i="54" s="1"/>
  <c r="D72" i="54" s="1"/>
  <c r="D73" i="54" s="1"/>
  <c r="D74" i="54" s="1"/>
  <c r="D75" i="54" s="1"/>
  <c r="D76" i="54" s="1"/>
  <c r="D77" i="54" s="1"/>
  <c r="D78" i="54" s="1"/>
  <c r="D79" i="54" s="1"/>
  <c r="D80" i="54" s="1"/>
  <c r="F22" i="54"/>
  <c r="D22" i="54"/>
  <c r="D23" i="54" s="1"/>
  <c r="D24" i="54" s="1"/>
  <c r="D25" i="54" s="1"/>
  <c r="D26" i="54" s="1"/>
  <c r="D27" i="54" s="1"/>
  <c r="D28" i="54" s="1"/>
  <c r="D29" i="54" s="1"/>
  <c r="D30" i="54" s="1"/>
  <c r="D31" i="54" s="1"/>
  <c r="D32" i="54" s="1"/>
  <c r="D33" i="54" s="1"/>
  <c r="D34" i="54" s="1"/>
  <c r="D35" i="54" s="1"/>
  <c r="D36" i="54" s="1"/>
  <c r="D37" i="54" s="1"/>
  <c r="J14" i="54"/>
  <c r="J15" i="54" s="1"/>
  <c r="J16" i="54" s="1"/>
  <c r="J17" i="54" s="1"/>
  <c r="J18" i="54" s="1"/>
  <c r="J19" i="54" s="1"/>
  <c r="J20" i="54" s="1"/>
  <c r="J21" i="54" s="1"/>
  <c r="J22" i="54" s="1"/>
  <c r="K14" i="54"/>
  <c r="K15" i="54" s="1"/>
  <c r="K16" i="54" s="1"/>
  <c r="K17" i="54" s="1"/>
  <c r="K18" i="54" s="1"/>
  <c r="K19" i="54" s="1"/>
  <c r="K20" i="54" s="1"/>
  <c r="K21" i="54" s="1"/>
  <c r="K22" i="54" s="1"/>
  <c r="E42" i="54"/>
  <c r="I6" i="54"/>
  <c r="H6" i="54"/>
  <c r="H42" i="54"/>
  <c r="I42" i="54"/>
  <c r="R8" i="51"/>
  <c r="R9" i="51" s="1"/>
  <c r="R10" i="51" s="1"/>
  <c r="R11" i="51" s="1"/>
  <c r="R12" i="51" s="1"/>
  <c r="R13" i="51" s="1"/>
  <c r="R14" i="51" s="1"/>
  <c r="R15" i="51" s="1"/>
  <c r="R16" i="51" s="1"/>
  <c r="R17" i="51" s="1"/>
  <c r="R18" i="51" s="1"/>
  <c r="R19" i="51" s="1"/>
  <c r="R20" i="51" s="1"/>
  <c r="R21" i="51" s="1"/>
  <c r="R22" i="51" s="1"/>
  <c r="R23" i="51" s="1" a="1"/>
  <c r="R23" i="51" s="1"/>
  <c r="S8" i="51"/>
  <c r="S9" i="51" s="1"/>
  <c r="S10" i="51" s="1"/>
  <c r="S11" i="51" s="1"/>
  <c r="S12" i="51" s="1"/>
  <c r="S13" i="51" s="1"/>
  <c r="S14" i="51" s="1"/>
  <c r="S15" i="51" s="1"/>
  <c r="S16" i="51" s="1"/>
  <c r="S17" i="51" s="1"/>
  <c r="S18" i="51" s="1"/>
  <c r="S19" i="51" s="1"/>
  <c r="S20" i="51" s="1"/>
  <c r="S21" i="51" s="1"/>
  <c r="S22" i="51" s="1"/>
  <c r="S23" i="51" s="1" a="1"/>
  <c r="S23" i="51" s="1"/>
  <c r="P5" i="51"/>
  <c r="P25" i="51"/>
  <c r="P26" i="51" s="1"/>
  <c r="P27" i="51" s="1"/>
  <c r="I28" i="51" s="1"/>
  <c r="D81" i="54" l="1"/>
  <c r="D82" i="54" s="1"/>
  <c r="D83" i="54" s="1"/>
  <c r="D84" i="54" s="1"/>
  <c r="D85" i="54" s="1"/>
  <c r="D86" i="54" s="1"/>
  <c r="D87" i="54" s="1"/>
  <c r="D88" i="54" s="1"/>
  <c r="D99" i="54" s="1"/>
  <c r="D100" i="54" s="1"/>
  <c r="D101" i="54" s="1"/>
  <c r="R24" i="51"/>
  <c r="R25" i="51" s="1"/>
  <c r="R26" i="51" s="1"/>
  <c r="K23" i="54"/>
  <c r="K24" i="54" s="1"/>
  <c r="K25" i="54" s="1"/>
  <c r="K26" i="54" s="1"/>
  <c r="K27" i="54" s="1"/>
  <c r="K28" i="54" s="1"/>
  <c r="K29" i="54" s="1"/>
  <c r="K30" i="54" s="1"/>
  <c r="K31" i="54" s="1"/>
  <c r="K32" i="54" s="1"/>
  <c r="K33" i="54" s="1"/>
  <c r="K34" i="54" s="1"/>
  <c r="K35" i="54" s="1"/>
  <c r="K36" i="54" s="1"/>
  <c r="K37" i="54" s="1"/>
  <c r="K38" i="54" s="1" a="1"/>
  <c r="K38" i="54" s="1"/>
  <c r="K39" i="54" s="1"/>
  <c r="K40" i="54" s="1"/>
  <c r="F38" i="54"/>
  <c r="F39" i="54" s="1"/>
  <c r="F40" i="54" s="1"/>
  <c r="F41" i="54" s="1"/>
  <c r="F42" i="54" s="1"/>
  <c r="F43" i="54" s="1"/>
  <c r="F44" i="54" s="1"/>
  <c r="F45" i="54" s="1"/>
  <c r="F46" i="54" s="1"/>
  <c r="F47" i="54" s="1"/>
  <c r="F48" i="54" s="1"/>
  <c r="F49" i="54" s="1"/>
  <c r="F23" i="54"/>
  <c r="F24" i="54" s="1"/>
  <c r="F25" i="54" s="1"/>
  <c r="F26" i="54" s="1"/>
  <c r="F27" i="54" s="1"/>
  <c r="F28" i="54" s="1"/>
  <c r="F29" i="54" s="1"/>
  <c r="F30" i="54" s="1"/>
  <c r="F31" i="54" s="1"/>
  <c r="F32" i="54" s="1"/>
  <c r="F33" i="54" s="1"/>
  <c r="F34" i="54" s="1"/>
  <c r="F35" i="54" s="1"/>
  <c r="F36" i="54" s="1"/>
  <c r="F37" i="54" s="1"/>
  <c r="J23" i="54"/>
  <c r="J24" i="54" s="1"/>
  <c r="J25" i="54" s="1"/>
  <c r="J26" i="54" s="1"/>
  <c r="J27" i="54" s="1"/>
  <c r="J28" i="54" s="1"/>
  <c r="J29" i="54" s="1"/>
  <c r="J30" i="54" s="1"/>
  <c r="J31" i="54" s="1"/>
  <c r="J32" i="54" s="1"/>
  <c r="J33" i="54" s="1"/>
  <c r="J34" i="54" s="1"/>
  <c r="J35" i="54" s="1"/>
  <c r="J36" i="54" s="1"/>
  <c r="J37" i="54" s="1"/>
  <c r="J38" i="54" s="1" a="1"/>
  <c r="J38" i="54" s="1"/>
  <c r="J39" i="54" s="1"/>
  <c r="J40" i="54" s="1"/>
  <c r="E43" i="54"/>
  <c r="H43" i="54"/>
  <c r="I43" i="54"/>
  <c r="I7" i="54"/>
  <c r="H7" i="54"/>
  <c r="E7" i="54"/>
  <c r="I29" i="51"/>
  <c r="H29" i="51"/>
  <c r="Q6" i="51"/>
  <c r="Q7" i="51" s="1"/>
  <c r="Q8" i="51" s="1"/>
  <c r="Q9" i="51" s="1"/>
  <c r="Q10" i="51" s="1"/>
  <c r="Q11" i="51" s="1"/>
  <c r="Q12" i="51" s="1"/>
  <c r="Q13" i="51" s="1"/>
  <c r="Q14" i="51" s="1"/>
  <c r="Q15" i="51" s="1"/>
  <c r="Q16" i="51" s="1"/>
  <c r="Q17" i="51" s="1"/>
  <c r="Q18" i="51" s="1"/>
  <c r="Q19" i="51" s="1"/>
  <c r="Q20" i="51" s="1"/>
  <c r="Q21" i="51" s="1"/>
  <c r="Q22" i="51" s="1"/>
  <c r="I6" i="51"/>
  <c r="I7" i="51" s="1"/>
  <c r="Q28" i="51"/>
  <c r="J41" i="54" l="1"/>
  <c r="J42" i="54" s="1"/>
  <c r="J43" i="54" s="1"/>
  <c r="J44" i="54" s="1"/>
  <c r="J45" i="54" s="1"/>
  <c r="J46" i="54" s="1"/>
  <c r="J47" i="54" s="1"/>
  <c r="J48" i="54" s="1"/>
  <c r="J49" i="54" s="1"/>
  <c r="J50" i="54" s="1"/>
  <c r="J51" i="54" s="1"/>
  <c r="J52" i="54" s="1"/>
  <c r="J53" i="54" s="1"/>
  <c r="J54" i="54" s="1"/>
  <c r="J55" i="54" s="1"/>
  <c r="J56" i="54" s="1"/>
  <c r="J57" i="54" s="1"/>
  <c r="J58" i="54" s="1"/>
  <c r="J59" i="54" s="1"/>
  <c r="J60" i="54" s="1"/>
  <c r="J61" i="54" s="1"/>
  <c r="J62" i="54" s="1"/>
  <c r="J63" i="54" s="1"/>
  <c r="K41" i="54"/>
  <c r="K42" i="54" s="1"/>
  <c r="K43" i="54" s="1"/>
  <c r="K44" i="54" s="1"/>
  <c r="K45" i="54" s="1"/>
  <c r="K46" i="54" s="1"/>
  <c r="K47" i="54" s="1"/>
  <c r="K48" i="54" s="1"/>
  <c r="K49" i="54" s="1"/>
  <c r="K50" i="54" s="1"/>
  <c r="K51" i="54" s="1"/>
  <c r="K52" i="54" s="1"/>
  <c r="K53" i="54" s="1"/>
  <c r="K54" i="54" s="1"/>
  <c r="K55" i="54" s="1"/>
  <c r="K56" i="54" s="1"/>
  <c r="K57" i="54" s="1"/>
  <c r="K58" i="54" s="1"/>
  <c r="K59" i="54" s="1"/>
  <c r="K60" i="54" s="1"/>
  <c r="K61" i="54" s="1"/>
  <c r="K62" i="54" s="1"/>
  <c r="K63" i="54" s="1"/>
  <c r="K64" i="54" s="1"/>
  <c r="K65" i="54" s="1"/>
  <c r="K66" i="54" s="1"/>
  <c r="K67" i="54" s="1"/>
  <c r="K68" i="54" s="1"/>
  <c r="K69" i="54" s="1"/>
  <c r="K70" i="54" s="1"/>
  <c r="K71" i="54" s="1"/>
  <c r="K72" i="54" s="1"/>
  <c r="K73" i="54" s="1"/>
  <c r="K74" i="54" s="1"/>
  <c r="K75" i="54" s="1"/>
  <c r="K76" i="54" s="1"/>
  <c r="K77" i="54" s="1"/>
  <c r="K78" i="54" s="1"/>
  <c r="K79" i="54" s="1"/>
  <c r="K80" i="54" s="1"/>
  <c r="R27" i="51"/>
  <c r="R28" i="51" s="1"/>
  <c r="F50" i="54"/>
  <c r="F51" i="54" s="1"/>
  <c r="F52" i="54" s="1"/>
  <c r="F53" i="54" s="1"/>
  <c r="F54" i="54" s="1"/>
  <c r="F55" i="54" s="1"/>
  <c r="F56" i="54" s="1"/>
  <c r="F57" i="54" s="1"/>
  <c r="F58" i="54" s="1"/>
  <c r="F59" i="54" s="1"/>
  <c r="F60" i="54" s="1"/>
  <c r="F61" i="54" s="1"/>
  <c r="F62" i="54" s="1"/>
  <c r="F63" i="54" s="1"/>
  <c r="F64" i="54" s="1"/>
  <c r="F65" i="54" s="1"/>
  <c r="F66" i="54" s="1"/>
  <c r="F67" i="54" s="1"/>
  <c r="F68" i="54" s="1"/>
  <c r="F69" i="54" s="1"/>
  <c r="F70" i="54" s="1"/>
  <c r="F71" i="54" s="1"/>
  <c r="I8" i="54"/>
  <c r="H8" i="54"/>
  <c r="E8" i="54"/>
  <c r="D102" i="54"/>
  <c r="I44" i="54"/>
  <c r="E44" i="54"/>
  <c r="H44" i="54"/>
  <c r="I30" i="51"/>
  <c r="I31" i="51" s="1"/>
  <c r="Q29" i="51"/>
  <c r="Q30" i="51" s="1"/>
  <c r="Q31" i="51" s="1"/>
  <c r="Q32" i="51" s="1"/>
  <c r="Q33" i="51" s="1"/>
  <c r="Q34" i="51" s="1"/>
  <c r="Q35" i="51" s="1"/>
  <c r="Q36" i="51" s="1"/>
  <c r="Q37" i="51" s="1"/>
  <c r="Q38" i="51" s="1"/>
  <c r="Q39" i="51" s="1"/>
  <c r="Q40" i="51" s="1"/>
  <c r="Q41" i="51" s="1"/>
  <c r="Q42" i="51" s="1"/>
  <c r="Q43" i="51" s="1"/>
  <c r="Q44" i="51" s="1"/>
  <c r="Q45" i="51" s="1"/>
  <c r="L7" i="51"/>
  <c r="I8" i="51"/>
  <c r="H8" i="51"/>
  <c r="F72" i="54" l="1"/>
  <c r="F73" i="54" s="1"/>
  <c r="F74" i="54" s="1"/>
  <c r="F75" i="54" s="1"/>
  <c r="F76" i="54" s="1"/>
  <c r="F77" i="54" s="1"/>
  <c r="F78" i="54" s="1"/>
  <c r="F79" i="54" s="1"/>
  <c r="F80" i="54" s="1"/>
  <c r="F81" i="54" s="1"/>
  <c r="F82" i="54" s="1"/>
  <c r="F83" i="54" s="1"/>
  <c r="F84" i="54" s="1"/>
  <c r="F85" i="54" s="1"/>
  <c r="F86" i="54" s="1"/>
  <c r="F87" i="54" s="1"/>
  <c r="F88" i="54" s="1"/>
  <c r="F99" i="54" s="1"/>
  <c r="F100" i="54" s="1"/>
  <c r="F101" i="54" s="1"/>
  <c r="F102" i="54" s="1"/>
  <c r="F103" i="54" s="1"/>
  <c r="F104" i="54" s="1"/>
  <c r="F105" i="54" s="1"/>
  <c r="F106" i="54" s="1"/>
  <c r="K81" i="54"/>
  <c r="K82" i="54" s="1"/>
  <c r="K83" i="54" s="1"/>
  <c r="K84" i="54" s="1"/>
  <c r="K85" i="54" s="1"/>
  <c r="K86" i="54" s="1"/>
  <c r="K87" i="54" s="1"/>
  <c r="K88" i="54" s="1"/>
  <c r="K99" i="54" s="1"/>
  <c r="K100" i="54" s="1"/>
  <c r="K101" i="54" s="1"/>
  <c r="K102" i="54" s="1"/>
  <c r="K103" i="54" s="1"/>
  <c r="K104" i="54" s="1"/>
  <c r="K105" i="54" s="1"/>
  <c r="K106" i="54" s="1"/>
  <c r="K107" i="54" s="1"/>
  <c r="R29" i="51"/>
  <c r="R30" i="51" s="1"/>
  <c r="R31" i="51" s="1"/>
  <c r="R32" i="51" s="1"/>
  <c r="R33" i="51" s="1"/>
  <c r="R34" i="51" s="1"/>
  <c r="R35" i="51" s="1"/>
  <c r="R36" i="51" s="1"/>
  <c r="R37" i="51" s="1"/>
  <c r="R38" i="51" s="1"/>
  <c r="R39" i="51" s="1"/>
  <c r="R40" i="51" s="1"/>
  <c r="R41" i="51" s="1"/>
  <c r="R42" i="51" s="1"/>
  <c r="R43" i="51" s="1"/>
  <c r="R44" i="51" s="1"/>
  <c r="R45" i="51" s="1"/>
  <c r="H31" i="51"/>
  <c r="I32" i="51" s="1"/>
  <c r="I33" i="51" s="1"/>
  <c r="J64" i="54"/>
  <c r="J65" i="54" s="1"/>
  <c r="J66" i="54" s="1"/>
  <c r="J67" i="54" s="1"/>
  <c r="J68" i="54" s="1"/>
  <c r="E45" i="54"/>
  <c r="H45" i="54"/>
  <c r="I45" i="54"/>
  <c r="D103" i="54"/>
  <c r="E9" i="54"/>
  <c r="H9" i="54"/>
  <c r="I9" i="54"/>
  <c r="I9" i="51"/>
  <c r="I10" i="51" s="1"/>
  <c r="L8" i="51"/>
  <c r="L9" i="51" s="1"/>
  <c r="L10" i="51" s="1"/>
  <c r="L11" i="51" s="1"/>
  <c r="L12" i="51" s="1"/>
  <c r="L13" i="51" s="1"/>
  <c r="L14" i="51" s="1"/>
  <c r="L15" i="51" s="1"/>
  <c r="L16" i="51" s="1"/>
  <c r="L17" i="51" s="1"/>
  <c r="L18" i="51" s="1"/>
  <c r="L19" i="51" s="1"/>
  <c r="L20" i="51" s="1"/>
  <c r="L21" i="51" s="1"/>
  <c r="I22" i="51" s="1"/>
  <c r="R46" i="51" l="1"/>
  <c r="R47" i="51" s="1"/>
  <c r="R48" i="51" s="1"/>
  <c r="R49" i="51" s="1"/>
  <c r="R50" i="51" s="1"/>
  <c r="R51" i="51" s="1"/>
  <c r="R52" i="51" s="1"/>
  <c r="R53" i="51" s="1"/>
  <c r="R54" i="51" s="1"/>
  <c r="R55" i="51" s="1"/>
  <c r="R56" i="51" s="1"/>
  <c r="R57" i="51" s="1"/>
  <c r="R58" i="51" s="1"/>
  <c r="R59" i="51" s="1"/>
  <c r="R60" i="51" s="1"/>
  <c r="R61" i="51" s="1"/>
  <c r="R62" i="51" s="1"/>
  <c r="R63" i="51" s="1"/>
  <c r="R64" i="51" s="1"/>
  <c r="R65" i="51" s="1"/>
  <c r="R66" i="51" s="1"/>
  <c r="R67" i="51" s="1"/>
  <c r="R68" i="51" s="1"/>
  <c r="R69" i="51" s="1"/>
  <c r="R70" i="51" s="1"/>
  <c r="R71" i="51" s="1"/>
  <c r="R72" i="51" s="1"/>
  <c r="R73" i="51" s="1"/>
  <c r="R74" i="51" s="1"/>
  <c r="R75" i="51" s="1"/>
  <c r="R76" i="51" s="1"/>
  <c r="R77" i="51" s="1"/>
  <c r="R78" i="51" s="1"/>
  <c r="R79" i="51" s="1"/>
  <c r="R80" i="51" s="1"/>
  <c r="R81" i="51" s="1"/>
  <c r="R82" i="51" s="1"/>
  <c r="R83" i="51" s="1"/>
  <c r="R84" i="51" s="1"/>
  <c r="R85" i="51" s="1"/>
  <c r="R86" i="51" s="1"/>
  <c r="R87" i="51" s="1"/>
  <c r="R88" i="51" s="1"/>
  <c r="R89" i="51" s="1"/>
  <c r="R90" i="51" s="1"/>
  <c r="R91" i="51" s="1"/>
  <c r="R92" i="51" s="1"/>
  <c r="R93" i="51" s="1"/>
  <c r="R94" i="51" s="1"/>
  <c r="R95" i="51" s="1"/>
  <c r="R96" i="51" s="1"/>
  <c r="R97" i="51" s="1"/>
  <c r="R98" i="51" s="1"/>
  <c r="R99" i="51" s="1"/>
  <c r="R100" i="51" s="1"/>
  <c r="R101" i="51" s="1"/>
  <c r="R102" i="51" s="1"/>
  <c r="R103" i="51" s="1"/>
  <c r="R104" i="51" s="1"/>
  <c r="R105" i="51" s="1"/>
  <c r="R106" i="51" s="1"/>
  <c r="R107" i="51" s="1"/>
  <c r="R108" i="51" s="1"/>
  <c r="R109" i="51" s="1"/>
  <c r="R110" i="51" s="1"/>
  <c r="R111" i="51" s="1"/>
  <c r="R112" i="51" s="1"/>
  <c r="R113" i="51" s="1"/>
  <c r="R114" i="51" s="1"/>
  <c r="R115" i="51" s="1"/>
  <c r="R116" i="51" s="1"/>
  <c r="R117" i="51" s="1"/>
  <c r="R118" i="51" s="1"/>
  <c r="R119" i="51" s="1"/>
  <c r="R120" i="51" s="1"/>
  <c r="R121" i="51" s="1"/>
  <c r="R122" i="51" s="1"/>
  <c r="R123" i="51" s="1"/>
  <c r="R124" i="51" s="1"/>
  <c r="R125" i="51" s="1"/>
  <c r="R126" i="51" s="1"/>
  <c r="R127" i="51" s="1"/>
  <c r="R128" i="51" s="1"/>
  <c r="R129" i="51" s="1"/>
  <c r="R130" i="51" s="1"/>
  <c r="R131" i="51" s="1"/>
  <c r="R132" i="51" s="1"/>
  <c r="R133" i="51" s="1"/>
  <c r="R134" i="51" s="1"/>
  <c r="R135" i="51" s="1"/>
  <c r="R136" i="51" s="1"/>
  <c r="R137" i="51" s="1"/>
  <c r="R138" i="51" s="1"/>
  <c r="R139" i="51" s="1"/>
  <c r="R140" i="51" s="1"/>
  <c r="R141" i="51" s="1"/>
  <c r="R142" i="51" s="1"/>
  <c r="R143" i="51" s="1"/>
  <c r="R144" i="51" s="1"/>
  <c r="R145" i="51" s="1"/>
  <c r="R146" i="51" s="1"/>
  <c r="R147" i="51" s="1"/>
  <c r="R148" i="51" s="1"/>
  <c r="R149" i="51" s="1"/>
  <c r="R150" i="51" s="1"/>
  <c r="R151" i="51" s="1"/>
  <c r="R152" i="51" s="1"/>
  <c r="R153" i="51" s="1"/>
  <c r="R154" i="51" s="1"/>
  <c r="R155" i="51" s="1"/>
  <c r="R156" i="51" s="1"/>
  <c r="R157" i="51" s="1"/>
  <c r="R158" i="51" s="1"/>
  <c r="R159" i="51" s="1"/>
  <c r="R160" i="51" s="1"/>
  <c r="R161" i="51" s="1"/>
  <c r="R162" i="51" s="1"/>
  <c r="R163" i="51" s="1"/>
  <c r="R164" i="51" s="1"/>
  <c r="R165" i="51" s="1"/>
  <c r="R166" i="51" s="1"/>
  <c r="R167" i="51" s="1"/>
  <c r="R168" i="51" s="1"/>
  <c r="R169" i="51" s="1"/>
  <c r="R170" i="51" s="1"/>
  <c r="R171" i="51" s="1"/>
  <c r="R172" i="51" s="1"/>
  <c r="R173" i="51" s="1"/>
  <c r="R174" i="51" s="1"/>
  <c r="R175" i="51" s="1"/>
  <c r="R176" i="51" s="1"/>
  <c r="R177" i="51" s="1"/>
  <c r="R178" i="51" s="1"/>
  <c r="R179" i="51" s="1"/>
  <c r="R180" i="51" s="1"/>
  <c r="R181" i="51" s="1"/>
  <c r="R182" i="51" s="1"/>
  <c r="R183" i="51" s="1"/>
  <c r="R184" i="51" s="1"/>
  <c r="R185" i="51" s="1"/>
  <c r="R186" i="51" s="1"/>
  <c r="R187" i="51" s="1"/>
  <c r="R188" i="51" s="1"/>
  <c r="R189" i="51" s="1"/>
  <c r="R190" i="51" s="1"/>
  <c r="R191" i="51" s="1"/>
  <c r="R192" i="51" s="1"/>
  <c r="R193" i="51" s="1"/>
  <c r="R194" i="51" s="1"/>
  <c r="R195" i="51" s="1"/>
  <c r="R196" i="51" s="1"/>
  <c r="R197" i="51" s="1"/>
  <c r="R198" i="51" s="1"/>
  <c r="R199" i="51" s="1"/>
  <c r="R200" i="51" s="1"/>
  <c r="R201" i="51" s="1"/>
  <c r="R202" i="51" s="1"/>
  <c r="R203" i="51" s="1"/>
  <c r="R204" i="51" s="1"/>
  <c r="R205" i="51" s="1"/>
  <c r="R206" i="51" s="1"/>
  <c r="R207" i="51" s="1"/>
  <c r="R208" i="51" s="1"/>
  <c r="R209" i="51" s="1"/>
  <c r="R210" i="51" s="1"/>
  <c r="R211" i="51" s="1"/>
  <c r="R212" i="51" s="1"/>
  <c r="R213" i="51" s="1"/>
  <c r="R214" i="51" s="1"/>
  <c r="R215" i="51" s="1"/>
  <c r="R216" i="51" s="1"/>
  <c r="R217" i="51" s="1"/>
  <c r="R218" i="51" s="1"/>
  <c r="R219" i="51" s="1"/>
  <c r="R220" i="51" s="1"/>
  <c r="R221" i="51" s="1"/>
  <c r="R222" i="51" s="1"/>
  <c r="R223" i="51" s="1"/>
  <c r="R224" i="51" s="1"/>
  <c r="R225" i="51" s="1"/>
  <c r="R226" i="51" s="1"/>
  <c r="K89" i="54"/>
  <c r="K90" i="54" s="1"/>
  <c r="K91" i="54" s="1"/>
  <c r="K92" i="54" s="1"/>
  <c r="K93" i="54" s="1"/>
  <c r="K94" i="54" s="1"/>
  <c r="K95" i="54" s="1"/>
  <c r="K96" i="54" s="1"/>
  <c r="H33" i="51"/>
  <c r="I34" i="51" s="1"/>
  <c r="H35" i="51" s="1"/>
  <c r="I10" i="54"/>
  <c r="H10" i="54"/>
  <c r="E10" i="54"/>
  <c r="J69" i="54"/>
  <c r="D104" i="54"/>
  <c r="I46" i="54"/>
  <c r="H46" i="54"/>
  <c r="E46" i="54"/>
  <c r="H10" i="51"/>
  <c r="I11" i="51" s="1"/>
  <c r="I12" i="51" s="1"/>
  <c r="R227" i="51" l="1"/>
  <c r="R228" i="51" s="1"/>
  <c r="R229" i="51" s="1"/>
  <c r="R230" i="51" s="1"/>
  <c r="R231" i="51" s="1"/>
  <c r="R232" i="51" s="1"/>
  <c r="R233" i="51" s="1"/>
  <c r="I35" i="51"/>
  <c r="I36" i="51" s="1"/>
  <c r="H37" i="51" s="1"/>
  <c r="E47" i="54"/>
  <c r="I47" i="54"/>
  <c r="H47" i="54"/>
  <c r="E11" i="54"/>
  <c r="I11" i="54"/>
  <c r="H11" i="54"/>
  <c r="D105" i="54"/>
  <c r="J70" i="54"/>
  <c r="H12" i="51"/>
  <c r="I13" i="51" s="1"/>
  <c r="H14" i="51" s="1"/>
  <c r="I37" i="51" l="1"/>
  <c r="I38" i="51" s="1"/>
  <c r="I39" i="51" s="1"/>
  <c r="J71" i="54"/>
  <c r="D106" i="54"/>
  <c r="I12" i="54"/>
  <c r="E12" i="54"/>
  <c r="H12" i="54"/>
  <c r="I48" i="54"/>
  <c r="H48" i="54"/>
  <c r="E48" i="54"/>
  <c r="I14" i="51"/>
  <c r="I15" i="51" s="1"/>
  <c r="J72" i="54" l="1"/>
  <c r="H39" i="51"/>
  <c r="I40" i="51" s="1"/>
  <c r="H41" i="51" s="1"/>
  <c r="I49" i="54"/>
  <c r="H49" i="54"/>
  <c r="E49" i="54"/>
  <c r="H13" i="54"/>
  <c r="E13" i="54"/>
  <c r="I13" i="54"/>
  <c r="F107" i="54"/>
  <c r="F89" i="54" s="1"/>
  <c r="F90" i="54" s="1"/>
  <c r="F91" i="54" s="1"/>
  <c r="F92" i="54" s="1"/>
  <c r="F93" i="54" s="1"/>
  <c r="F94" i="54" s="1"/>
  <c r="F95" i="54" s="1"/>
  <c r="F96" i="54" s="1"/>
  <c r="D107" i="54"/>
  <c r="I16" i="51"/>
  <c r="H16" i="51"/>
  <c r="J73" i="54" l="1"/>
  <c r="I41" i="51"/>
  <c r="I42" i="51" s="1"/>
  <c r="I43" i="51" s="1"/>
  <c r="L44" i="51" s="1"/>
  <c r="L45" i="51" s="1"/>
  <c r="L46" i="51" s="1"/>
  <c r="L47" i="51" s="1"/>
  <c r="E50" i="54"/>
  <c r="C50" i="54"/>
  <c r="H50" i="54"/>
  <c r="I50" i="54"/>
  <c r="I14" i="54"/>
  <c r="I15" i="54" s="1"/>
  <c r="I16" i="54" s="1"/>
  <c r="I17" i="54" s="1"/>
  <c r="I18" i="54" s="1"/>
  <c r="I19" i="54" s="1"/>
  <c r="I20" i="54" s="1"/>
  <c r="I21" i="54" s="1"/>
  <c r="I22" i="54" s="1"/>
  <c r="I23" i="54" s="1"/>
  <c r="I24" i="54" s="1"/>
  <c r="I25" i="54" s="1"/>
  <c r="I26" i="54" s="1"/>
  <c r="I27" i="54" s="1"/>
  <c r="I28" i="54" s="1"/>
  <c r="I29" i="54" s="1"/>
  <c r="I30" i="54" s="1"/>
  <c r="I31" i="54" s="1"/>
  <c r="I32" i="54" s="1"/>
  <c r="I33" i="54" s="1"/>
  <c r="I34" i="54" s="1"/>
  <c r="I35" i="54" s="1"/>
  <c r="I36" i="54" s="1"/>
  <c r="I37" i="54" s="1"/>
  <c r="E14" i="54"/>
  <c r="G14" i="54"/>
  <c r="H14" i="54"/>
  <c r="H15" i="54" s="1"/>
  <c r="H16" i="54" s="1"/>
  <c r="H17" i="54" s="1"/>
  <c r="H18" i="54" s="1"/>
  <c r="H19" i="54" s="1"/>
  <c r="H20" i="54" s="1"/>
  <c r="H21" i="54" s="1"/>
  <c r="H22" i="54" s="1"/>
  <c r="H23" i="54" s="1"/>
  <c r="H24" i="54" s="1"/>
  <c r="H25" i="54" s="1"/>
  <c r="H26" i="54" s="1"/>
  <c r="H27" i="54" s="1"/>
  <c r="H28" i="54" s="1"/>
  <c r="H29" i="54" s="1"/>
  <c r="H30" i="54" s="1"/>
  <c r="H31" i="54" s="1"/>
  <c r="H32" i="54" s="1"/>
  <c r="H33" i="54" s="1"/>
  <c r="H34" i="54" s="1"/>
  <c r="H35" i="54" s="1"/>
  <c r="H36" i="54" s="1"/>
  <c r="H37" i="54" s="1"/>
  <c r="D89" i="54"/>
  <c r="I17" i="51"/>
  <c r="I18" i="51" s="1"/>
  <c r="L48" i="51" l="1"/>
  <c r="L49" i="51" s="1"/>
  <c r="L50" i="51" s="1"/>
  <c r="L51" i="51" s="1"/>
  <c r="L52" i="51" s="1"/>
  <c r="L53" i="51" s="1"/>
  <c r="L54" i="51" s="1"/>
  <c r="L55" i="51" s="1"/>
  <c r="L56" i="51" s="1"/>
  <c r="L57" i="51" s="1"/>
  <c r="L58" i="51" s="1"/>
  <c r="L59" i="51" s="1"/>
  <c r="L60" i="51" s="1"/>
  <c r="L61" i="51" s="1"/>
  <c r="L62" i="51" s="1"/>
  <c r="L63" i="51" s="1"/>
  <c r="L64" i="51" s="1"/>
  <c r="L65" i="51" s="1"/>
  <c r="L66" i="51" s="1"/>
  <c r="L67" i="51" s="1"/>
  <c r="L68" i="51" s="1"/>
  <c r="L70" i="51" s="1"/>
  <c r="J74" i="54"/>
  <c r="I51" i="54"/>
  <c r="I52" i="54" s="1"/>
  <c r="H51" i="54"/>
  <c r="H52" i="54" s="1"/>
  <c r="H53" i="54" s="1"/>
  <c r="H54" i="54" s="1"/>
  <c r="H55" i="54" s="1"/>
  <c r="H56" i="54" s="1"/>
  <c r="H57" i="54" s="1"/>
  <c r="H58" i="54" s="1"/>
  <c r="H59" i="54" s="1"/>
  <c r="H60" i="54" s="1"/>
  <c r="H61" i="54" s="1"/>
  <c r="H62" i="54" s="1"/>
  <c r="H63" i="54" s="1"/>
  <c r="H64" i="54" s="1"/>
  <c r="H65" i="54" s="1"/>
  <c r="H66" i="54" s="1"/>
  <c r="H67" i="54" s="1"/>
  <c r="H68" i="54" s="1"/>
  <c r="H69" i="54" s="1"/>
  <c r="H70" i="54" s="1"/>
  <c r="H71" i="54" s="1"/>
  <c r="E51" i="54"/>
  <c r="C51" i="54"/>
  <c r="E15" i="54"/>
  <c r="G15" i="54"/>
  <c r="D90" i="54"/>
  <c r="H18" i="51"/>
  <c r="I19" i="51" s="1"/>
  <c r="I20" i="51" s="1"/>
  <c r="L69" i="51" l="1"/>
  <c r="L71" i="51"/>
  <c r="L72" i="51" s="1"/>
  <c r="L73" i="51" s="1"/>
  <c r="L74" i="51" s="1"/>
  <c r="L75" i="51" s="1"/>
  <c r="L76" i="51" s="1"/>
  <c r="L77" i="51" s="1"/>
  <c r="L78" i="51" s="1"/>
  <c r="L79" i="51" s="1"/>
  <c r="L80" i="51" s="1"/>
  <c r="L81" i="51" s="1"/>
  <c r="L82" i="51" s="1"/>
  <c r="L83" i="51" s="1"/>
  <c r="L84" i="51" s="1"/>
  <c r="L85" i="51" s="1"/>
  <c r="L86" i="51" s="1"/>
  <c r="L87" i="51" s="1"/>
  <c r="L88" i="51" s="1"/>
  <c r="L89" i="51" s="1"/>
  <c r="L90" i="51" s="1"/>
  <c r="L91" i="51" s="1"/>
  <c r="L93" i="51" s="1"/>
  <c r="L94" i="51" s="1"/>
  <c r="L95" i="51" s="1"/>
  <c r="L96" i="51" s="1"/>
  <c r="L97" i="51" s="1"/>
  <c r="L98" i="51" s="1"/>
  <c r="L99" i="51" s="1"/>
  <c r="L100" i="51" s="1"/>
  <c r="L101" i="51" s="1"/>
  <c r="L102" i="51" s="1"/>
  <c r="L103" i="51" s="1"/>
  <c r="L104" i="51" s="1"/>
  <c r="L105" i="51" s="1"/>
  <c r="L106" i="51" s="1"/>
  <c r="L107" i="51" s="1"/>
  <c r="L108" i="51" s="1"/>
  <c r="L109" i="51" s="1"/>
  <c r="L110" i="51" s="1"/>
  <c r="L111" i="51" s="1"/>
  <c r="L112" i="51" s="1"/>
  <c r="L113" i="51" s="1"/>
  <c r="L114" i="51" s="1"/>
  <c r="L116" i="51" s="1"/>
  <c r="L115" i="51" s="1"/>
  <c r="H72" i="54"/>
  <c r="H73" i="54" s="1"/>
  <c r="H74" i="54" s="1"/>
  <c r="H75" i="54" s="1"/>
  <c r="H76" i="54" s="1"/>
  <c r="H77" i="54" s="1"/>
  <c r="H78" i="54" s="1"/>
  <c r="H79" i="54" s="1"/>
  <c r="H80" i="54" s="1"/>
  <c r="H81" i="54" s="1"/>
  <c r="H82" i="54" s="1"/>
  <c r="H83" i="54" s="1"/>
  <c r="H84" i="54" s="1"/>
  <c r="H85" i="54" s="1"/>
  <c r="H86" i="54" s="1"/>
  <c r="H87" i="54" s="1"/>
  <c r="H88" i="54" s="1"/>
  <c r="J75" i="54"/>
  <c r="J76" i="54" s="1"/>
  <c r="E52" i="54"/>
  <c r="C52" i="54"/>
  <c r="I53" i="54" s="1"/>
  <c r="I54" i="54" s="1"/>
  <c r="D91" i="54"/>
  <c r="E16" i="54"/>
  <c r="G16" i="54"/>
  <c r="H20" i="51"/>
  <c r="I21" i="51" s="1"/>
  <c r="L22" i="51" s="1"/>
  <c r="L23" i="51" s="1"/>
  <c r="L24" i="51" s="1"/>
  <c r="L25" i="51" s="1"/>
  <c r="L26" i="51" s="1"/>
  <c r="L27" i="51" s="1"/>
  <c r="L28" i="51" s="1"/>
  <c r="L29" i="51" s="1"/>
  <c r="L30" i="51" s="1"/>
  <c r="L31" i="51" s="1"/>
  <c r="L32" i="51" s="1"/>
  <c r="L33" i="51" s="1"/>
  <c r="L34" i="51" s="1"/>
  <c r="L35" i="51" s="1"/>
  <c r="L36" i="51" s="1"/>
  <c r="L37" i="51" s="1"/>
  <c r="L38" i="51" s="1"/>
  <c r="L39" i="51" s="1"/>
  <c r="L40" i="51" s="1"/>
  <c r="L41" i="51" s="1"/>
  <c r="L42" i="51" s="1"/>
  <c r="L43" i="51" s="1"/>
  <c r="N43" i="51" s="1"/>
  <c r="N44" i="51" s="1"/>
  <c r="O45" i="51" s="1"/>
  <c r="O46" i="51" l="1"/>
  <c r="O47" i="51" s="1"/>
  <c r="O48" i="51" s="1"/>
  <c r="L117" i="51"/>
  <c r="L118" i="51" s="1"/>
  <c r="L119" i="51" s="1"/>
  <c r="L120" i="51" s="1"/>
  <c r="L121" i="51" s="1"/>
  <c r="L122" i="51" s="1"/>
  <c r="L123" i="51" s="1"/>
  <c r="L124" i="51" s="1"/>
  <c r="L125" i="51" s="1"/>
  <c r="L126" i="51" s="1"/>
  <c r="L127" i="51" s="1"/>
  <c r="L128" i="51" s="1"/>
  <c r="L129" i="51" s="1"/>
  <c r="L130" i="51" s="1"/>
  <c r="L131" i="51" s="1"/>
  <c r="L132" i="51" s="1"/>
  <c r="L133" i="51" s="1"/>
  <c r="L134" i="51" s="1"/>
  <c r="L135" i="51" s="1"/>
  <c r="L136" i="51" s="1"/>
  <c r="L137" i="51" s="1"/>
  <c r="L139" i="51" s="1"/>
  <c r="L138" i="51" s="1"/>
  <c r="L92" i="51"/>
  <c r="H89" i="54"/>
  <c r="H90" i="54" s="1"/>
  <c r="H91" i="54" s="1"/>
  <c r="H92" i="54" s="1"/>
  <c r="H93" i="54" s="1"/>
  <c r="H94" i="54" s="1"/>
  <c r="H95" i="54" s="1"/>
  <c r="H96" i="54" s="1"/>
  <c r="H99" i="54"/>
  <c r="H100" i="54" s="1"/>
  <c r="H101" i="54" s="1"/>
  <c r="H102" i="54" s="1"/>
  <c r="H103" i="54" s="1"/>
  <c r="H104" i="54" s="1"/>
  <c r="H105" i="54" s="1"/>
  <c r="H106" i="54" s="1"/>
  <c r="H107" i="54" s="1"/>
  <c r="J77" i="54"/>
  <c r="C53" i="54"/>
  <c r="E53" i="54"/>
  <c r="D92" i="54"/>
  <c r="G17" i="54"/>
  <c r="E17" i="54"/>
  <c r="N45" i="51"/>
  <c r="N46" i="51" s="1"/>
  <c r="N47" i="51" s="1"/>
  <c r="I48" i="51" l="1"/>
  <c r="H49" i="51" s="1"/>
  <c r="H50" i="51" s="1"/>
  <c r="O49" i="51"/>
  <c r="O50" i="51" s="1"/>
  <c r="L140" i="51"/>
  <c r="L141" i="51" s="1"/>
  <c r="L142" i="51" s="1"/>
  <c r="L143" i="51" s="1"/>
  <c r="L144" i="51" s="1"/>
  <c r="L145" i="51" s="1"/>
  <c r="L146" i="51" s="1"/>
  <c r="L147" i="51" s="1"/>
  <c r="L148" i="51" s="1"/>
  <c r="L149" i="51" s="1"/>
  <c r="L150" i="51" s="1"/>
  <c r="L151" i="51" s="1"/>
  <c r="L152" i="51" s="1"/>
  <c r="L153" i="51" s="1"/>
  <c r="L154" i="51" s="1"/>
  <c r="L155" i="51" s="1"/>
  <c r="L156" i="51" s="1"/>
  <c r="L157" i="51" s="1"/>
  <c r="L158" i="51" s="1"/>
  <c r="L159" i="51" s="1"/>
  <c r="L160" i="51" s="1"/>
  <c r="L162" i="51" s="1"/>
  <c r="L161" i="51" s="1"/>
  <c r="N48" i="51"/>
  <c r="N49" i="51" s="1"/>
  <c r="N50" i="51" s="1"/>
  <c r="N51" i="51" s="1"/>
  <c r="N52" i="51" s="1"/>
  <c r="N53" i="51" s="1"/>
  <c r="N54" i="51" s="1"/>
  <c r="N55" i="51" s="1"/>
  <c r="N56" i="51" s="1"/>
  <c r="N57" i="51" s="1"/>
  <c r="N58" i="51" s="1"/>
  <c r="N59" i="51" s="1"/>
  <c r="N60" i="51" s="1"/>
  <c r="N61" i="51" s="1"/>
  <c r="N62" i="51" s="1"/>
  <c r="N63" i="51" s="1"/>
  <c r="N64" i="51" s="1"/>
  <c r="N65" i="51" s="1"/>
  <c r="J78" i="54"/>
  <c r="C54" i="54"/>
  <c r="I55" i="54" s="1"/>
  <c r="I56" i="54" s="1"/>
  <c r="E54" i="54"/>
  <c r="D93" i="54"/>
  <c r="G18" i="54"/>
  <c r="E18" i="54"/>
  <c r="O51" i="51"/>
  <c r="O52" i="51" s="1"/>
  <c r="I49" i="51" l="1"/>
  <c r="J49" i="51" s="1"/>
  <c r="J48" i="51"/>
  <c r="L163" i="51"/>
  <c r="L164" i="51" s="1"/>
  <c r="L165" i="51" s="1"/>
  <c r="L166" i="51" s="1"/>
  <c r="L167" i="51" s="1"/>
  <c r="L168" i="51" s="1"/>
  <c r="L169" i="51" s="1"/>
  <c r="L170" i="51" s="1"/>
  <c r="L171" i="51" s="1"/>
  <c r="L172" i="51" s="1"/>
  <c r="L173" i="51" s="1"/>
  <c r="L174" i="51" s="1"/>
  <c r="L175" i="51" s="1"/>
  <c r="L176" i="51" s="1"/>
  <c r="L177" i="51" s="1"/>
  <c r="L178" i="51" s="1"/>
  <c r="L179" i="51" s="1"/>
  <c r="L180" i="51" s="1"/>
  <c r="L181" i="51" s="1"/>
  <c r="L182" i="51" s="1"/>
  <c r="L183" i="51" s="1"/>
  <c r="L185" i="51" s="1"/>
  <c r="L186" i="51" s="1"/>
  <c r="L187" i="51" s="1"/>
  <c r="L188" i="51" s="1"/>
  <c r="L189" i="51" s="1"/>
  <c r="L190" i="51" s="1"/>
  <c r="L191" i="51" s="1"/>
  <c r="L192" i="51" s="1"/>
  <c r="L193" i="51" s="1"/>
  <c r="L194" i="51" s="1"/>
  <c r="L195" i="51" s="1"/>
  <c r="L196" i="51" s="1"/>
  <c r="L197" i="51" s="1"/>
  <c r="L198" i="51" s="1"/>
  <c r="L199" i="51" s="1"/>
  <c r="L200" i="51" s="1"/>
  <c r="L201" i="51" s="1"/>
  <c r="L202" i="51" s="1"/>
  <c r="L203" i="51" s="1"/>
  <c r="L204" i="51" s="1"/>
  <c r="L205" i="51" s="1"/>
  <c r="L206" i="51" s="1"/>
  <c r="L208" i="51" s="1"/>
  <c r="N66" i="51"/>
  <c r="N67" i="51" s="1"/>
  <c r="N68" i="51" s="1"/>
  <c r="N70" i="51" s="1"/>
  <c r="O66" i="51"/>
  <c r="O67" i="51" s="1"/>
  <c r="O68" i="51" s="1"/>
  <c r="O70" i="51" s="1"/>
  <c r="O69" i="51" s="1"/>
  <c r="J79" i="54"/>
  <c r="J80" i="54" s="1"/>
  <c r="J81" i="54" s="1"/>
  <c r="J82" i="54" s="1"/>
  <c r="J83" i="54" s="1"/>
  <c r="J84" i="54" s="1"/>
  <c r="J85" i="54" s="1"/>
  <c r="J86" i="54" s="1"/>
  <c r="J87" i="54" s="1"/>
  <c r="J88" i="54" s="1"/>
  <c r="C55" i="54"/>
  <c r="E55" i="54"/>
  <c r="D94" i="54"/>
  <c r="E19" i="54"/>
  <c r="G19" i="54"/>
  <c r="O53" i="51"/>
  <c r="O54" i="51" s="1"/>
  <c r="I50" i="51" l="1"/>
  <c r="J50" i="51" s="1"/>
  <c r="L184" i="51"/>
  <c r="O71" i="51"/>
  <c r="O72" i="51" s="1"/>
  <c r="O73" i="51" s="1"/>
  <c r="O74" i="51" s="1"/>
  <c r="O75" i="51" s="1"/>
  <c r="O76" i="51" s="1"/>
  <c r="O77" i="51" s="1"/>
  <c r="O78" i="51" s="1"/>
  <c r="O79" i="51" s="1"/>
  <c r="O80" i="51" s="1"/>
  <c r="O81" i="51" s="1"/>
  <c r="O82" i="51" s="1"/>
  <c r="O83" i="51" s="1"/>
  <c r="O84" i="51" s="1"/>
  <c r="O85" i="51" s="1"/>
  <c r="O86" i="51" s="1"/>
  <c r="O87" i="51" s="1"/>
  <c r="O88" i="51" s="1"/>
  <c r="N71" i="51"/>
  <c r="N72" i="51" s="1"/>
  <c r="N73" i="51" s="1"/>
  <c r="N74" i="51" s="1"/>
  <c r="N75" i="51" s="1"/>
  <c r="N76" i="51" s="1"/>
  <c r="N77" i="51" s="1"/>
  <c r="N78" i="51" s="1"/>
  <c r="N79" i="51" s="1"/>
  <c r="N80" i="51" s="1"/>
  <c r="N81" i="51" s="1"/>
  <c r="N82" i="51" s="1"/>
  <c r="N83" i="51" s="1"/>
  <c r="N84" i="51" s="1"/>
  <c r="N85" i="51" s="1"/>
  <c r="N86" i="51" s="1"/>
  <c r="N87" i="51" s="1"/>
  <c r="N88" i="51" s="1"/>
  <c r="N69" i="51"/>
  <c r="J99" i="54"/>
  <c r="J100" i="54" s="1"/>
  <c r="J101" i="54" s="1"/>
  <c r="J102" i="54" s="1"/>
  <c r="J103" i="54" s="1"/>
  <c r="J104" i="54" s="1"/>
  <c r="J105" i="54" s="1"/>
  <c r="J106" i="54" s="1"/>
  <c r="J107" i="54" s="1"/>
  <c r="J89" i="54"/>
  <c r="J90" i="54" s="1"/>
  <c r="J91" i="54" s="1"/>
  <c r="J92" i="54" s="1"/>
  <c r="J93" i="54" s="1"/>
  <c r="J94" i="54" s="1"/>
  <c r="J95" i="54" s="1"/>
  <c r="J96" i="54" s="1"/>
  <c r="E56" i="54"/>
  <c r="C56" i="54"/>
  <c r="I57" i="54" s="1"/>
  <c r="I58" i="54" s="1"/>
  <c r="G20" i="54"/>
  <c r="E20" i="54"/>
  <c r="D95" i="54"/>
  <c r="L209" i="51"/>
  <c r="L210" i="51" s="1"/>
  <c r="L211" i="51" s="1"/>
  <c r="L212" i="51" s="1"/>
  <c r="L213" i="51" s="1"/>
  <c r="L214" i="51" s="1"/>
  <c r="L215" i="51" s="1"/>
  <c r="L216" i="51" s="1"/>
  <c r="L217" i="51" s="1"/>
  <c r="L218" i="51" s="1"/>
  <c r="L219" i="51" s="1"/>
  <c r="L220" i="51" s="1"/>
  <c r="L221" i="51" s="1"/>
  <c r="L222" i="51" s="1"/>
  <c r="L223" i="51" s="1"/>
  <c r="L224" i="51" s="1"/>
  <c r="L225" i="51" s="1"/>
  <c r="L226" i="51" s="1"/>
  <c r="L207" i="51"/>
  <c r="O55" i="51"/>
  <c r="O56" i="51" s="1"/>
  <c r="H51" i="51"/>
  <c r="H52" i="51" s="1"/>
  <c r="I51" i="51" l="1"/>
  <c r="J51" i="51" s="1"/>
  <c r="L227" i="51"/>
  <c r="L228" i="51" s="1"/>
  <c r="L229" i="51" s="1"/>
  <c r="L230" i="51" s="1"/>
  <c r="L231" i="51" s="1"/>
  <c r="L233" i="51" s="1"/>
  <c r="N89" i="51"/>
  <c r="N90" i="51" s="1"/>
  <c r="N91" i="51" s="1"/>
  <c r="N93" i="51" s="1"/>
  <c r="O89" i="51"/>
  <c r="O90" i="51" s="1"/>
  <c r="O91" i="51" s="1"/>
  <c r="O93" i="51" s="1"/>
  <c r="C57" i="54"/>
  <c r="E57" i="54"/>
  <c r="D96" i="54"/>
  <c r="G21" i="54"/>
  <c r="E21" i="54"/>
  <c r="E22" i="54" s="1"/>
  <c r="O57" i="51"/>
  <c r="O58" i="51" s="1"/>
  <c r="I52" i="51" l="1"/>
  <c r="J52" i="51" s="1"/>
  <c r="L234" i="51"/>
  <c r="L232" i="51"/>
  <c r="O92" i="51"/>
  <c r="O94" i="51"/>
  <c r="O95" i="51" s="1"/>
  <c r="O96" i="51" s="1"/>
  <c r="O97" i="51" s="1"/>
  <c r="O98" i="51" s="1"/>
  <c r="O99" i="51" s="1"/>
  <c r="O100" i="51" s="1"/>
  <c r="O101" i="51" s="1"/>
  <c r="O102" i="51" s="1"/>
  <c r="O103" i="51" s="1"/>
  <c r="O104" i="51" s="1"/>
  <c r="O105" i="51" s="1"/>
  <c r="O106" i="51" s="1"/>
  <c r="O107" i="51" s="1"/>
  <c r="O108" i="51" s="1"/>
  <c r="O109" i="51" s="1"/>
  <c r="O110" i="51" s="1"/>
  <c r="O111" i="51" s="1"/>
  <c r="N94" i="51"/>
  <c r="N95" i="51" s="1"/>
  <c r="N96" i="51" s="1"/>
  <c r="N97" i="51" s="1"/>
  <c r="N98" i="51" s="1"/>
  <c r="N99" i="51" s="1"/>
  <c r="N100" i="51" s="1"/>
  <c r="N101" i="51" s="1"/>
  <c r="N102" i="51" s="1"/>
  <c r="N103" i="51" s="1"/>
  <c r="N104" i="51" s="1"/>
  <c r="N105" i="51" s="1"/>
  <c r="N106" i="51" s="1"/>
  <c r="N107" i="51" s="1"/>
  <c r="N108" i="51" s="1"/>
  <c r="N109" i="51" s="1"/>
  <c r="N110" i="51" s="1"/>
  <c r="N111" i="51" s="1"/>
  <c r="N92" i="51"/>
  <c r="E58" i="54"/>
  <c r="C58" i="54"/>
  <c r="I59" i="54" s="1"/>
  <c r="I60" i="54" s="1"/>
  <c r="G22" i="54"/>
  <c r="G23" i="54" s="1"/>
  <c r="G24" i="54" s="1"/>
  <c r="G25" i="54" s="1"/>
  <c r="G26" i="54" s="1"/>
  <c r="G27" i="54" s="1"/>
  <c r="G28" i="54" s="1"/>
  <c r="G29" i="54" s="1"/>
  <c r="G30" i="54" s="1"/>
  <c r="G31" i="54" s="1"/>
  <c r="G32" i="54" s="1"/>
  <c r="G33" i="54" s="1"/>
  <c r="G34" i="54" s="1"/>
  <c r="G35" i="54" s="1"/>
  <c r="G36" i="54" s="1"/>
  <c r="E37" i="54" s="1"/>
  <c r="C23" i="54"/>
  <c r="E23" i="54"/>
  <c r="D97" i="54"/>
  <c r="D98" i="54" s="1"/>
  <c r="B98" i="54"/>
  <c r="O59" i="51"/>
  <c r="O60" i="51" s="1"/>
  <c r="H53" i="51"/>
  <c r="H54" i="51" s="1"/>
  <c r="I53" i="51" l="1"/>
  <c r="J53" i="51" s="1"/>
  <c r="O112" i="51"/>
  <c r="O113" i="51" s="1"/>
  <c r="O114" i="51" s="1"/>
  <c r="O116" i="51" s="1"/>
  <c r="N112" i="51"/>
  <c r="N113" i="51" s="1"/>
  <c r="N114" i="51" s="1"/>
  <c r="N116" i="51" s="1"/>
  <c r="C59" i="54"/>
  <c r="E59" i="54"/>
  <c r="E24" i="54"/>
  <c r="C24" i="54"/>
  <c r="O61" i="51"/>
  <c r="O62" i="51" s="1"/>
  <c r="I54" i="51" l="1"/>
  <c r="H55" i="51" s="1"/>
  <c r="H56" i="51" s="1"/>
  <c r="N115" i="51"/>
  <c r="N117" i="51"/>
  <c r="N118" i="51" s="1"/>
  <c r="N119" i="51" s="1"/>
  <c r="N120" i="51" s="1"/>
  <c r="N121" i="51" s="1"/>
  <c r="N122" i="51" s="1"/>
  <c r="N123" i="51" s="1"/>
  <c r="N124" i="51" s="1"/>
  <c r="N125" i="51" s="1"/>
  <c r="N126" i="51" s="1"/>
  <c r="N127" i="51" s="1"/>
  <c r="N128" i="51" s="1"/>
  <c r="N129" i="51" s="1"/>
  <c r="N130" i="51" s="1"/>
  <c r="N131" i="51" s="1"/>
  <c r="N132" i="51" s="1"/>
  <c r="N133" i="51" s="1"/>
  <c r="N134" i="51" s="1"/>
  <c r="O115" i="51"/>
  <c r="O117" i="51"/>
  <c r="O118" i="51" s="1"/>
  <c r="O119" i="51" s="1"/>
  <c r="O120" i="51" s="1"/>
  <c r="O121" i="51" s="1"/>
  <c r="O122" i="51" s="1"/>
  <c r="O123" i="51" s="1"/>
  <c r="O124" i="51" s="1"/>
  <c r="O125" i="51" s="1"/>
  <c r="O126" i="51" s="1"/>
  <c r="O127" i="51" s="1"/>
  <c r="O128" i="51" s="1"/>
  <c r="O129" i="51" s="1"/>
  <c r="O130" i="51" s="1"/>
  <c r="O131" i="51" s="1"/>
  <c r="O132" i="51" s="1"/>
  <c r="O133" i="51" s="1"/>
  <c r="O134" i="51" s="1"/>
  <c r="C60" i="54"/>
  <c r="I61" i="54" s="1"/>
  <c r="I62" i="54" s="1"/>
  <c r="E60" i="54"/>
  <c r="E25" i="54"/>
  <c r="C25" i="54"/>
  <c r="O63" i="51"/>
  <c r="O64" i="51" s="1"/>
  <c r="O65" i="51" s="1"/>
  <c r="I55" i="51" l="1"/>
  <c r="J54" i="51"/>
  <c r="N135" i="51"/>
  <c r="N136" i="51" s="1"/>
  <c r="N137" i="51" s="1"/>
  <c r="N139" i="51" s="1"/>
  <c r="O135" i="51"/>
  <c r="O136" i="51" s="1"/>
  <c r="O137" i="51" s="1"/>
  <c r="O139" i="51" s="1"/>
  <c r="C61" i="54"/>
  <c r="E61" i="54"/>
  <c r="E26" i="54"/>
  <c r="C26" i="54"/>
  <c r="J55" i="51"/>
  <c r="I56" i="51"/>
  <c r="O140" i="51" l="1"/>
  <c r="O141" i="51" s="1"/>
  <c r="O142" i="51" s="1"/>
  <c r="O143" i="51" s="1"/>
  <c r="O144" i="51" s="1"/>
  <c r="O145" i="51" s="1"/>
  <c r="O146" i="51" s="1"/>
  <c r="O147" i="51" s="1"/>
  <c r="O148" i="51" s="1"/>
  <c r="O149" i="51" s="1"/>
  <c r="O150" i="51" s="1"/>
  <c r="O151" i="51" s="1"/>
  <c r="O152" i="51" s="1"/>
  <c r="O153" i="51" s="1"/>
  <c r="O154" i="51" s="1"/>
  <c r="O155" i="51" s="1"/>
  <c r="O156" i="51" s="1"/>
  <c r="O157" i="51" s="1"/>
  <c r="O138" i="51"/>
  <c r="N138" i="51"/>
  <c r="N140" i="51"/>
  <c r="N141" i="51" s="1"/>
  <c r="N142" i="51" s="1"/>
  <c r="N143" i="51" s="1"/>
  <c r="N144" i="51" s="1"/>
  <c r="N145" i="51" s="1"/>
  <c r="N146" i="51" s="1"/>
  <c r="N147" i="51" s="1"/>
  <c r="N148" i="51" s="1"/>
  <c r="N149" i="51" s="1"/>
  <c r="N150" i="51" s="1"/>
  <c r="N151" i="51" s="1"/>
  <c r="N152" i="51" s="1"/>
  <c r="N153" i="51" s="1"/>
  <c r="N154" i="51" s="1"/>
  <c r="N155" i="51" s="1"/>
  <c r="N156" i="51" s="1"/>
  <c r="N157" i="51" s="1"/>
  <c r="E62" i="54"/>
  <c r="C62" i="54"/>
  <c r="I63" i="54" s="1"/>
  <c r="I64" i="54" s="1"/>
  <c r="I65" i="54" s="1"/>
  <c r="I66" i="54" s="1"/>
  <c r="I67" i="54" s="1"/>
  <c r="I68" i="54" s="1"/>
  <c r="I69" i="54" s="1"/>
  <c r="I70" i="54" s="1"/>
  <c r="I71" i="54" s="1"/>
  <c r="I72" i="54" s="1"/>
  <c r="I73" i="54" s="1"/>
  <c r="I74" i="54" s="1"/>
  <c r="I75" i="54" s="1"/>
  <c r="I76" i="54" s="1"/>
  <c r="I77" i="54" s="1"/>
  <c r="I78" i="54" s="1"/>
  <c r="I79" i="54" s="1"/>
  <c r="C27" i="54"/>
  <c r="E27" i="54"/>
  <c r="I57" i="51"/>
  <c r="J56" i="51"/>
  <c r="H57" i="51"/>
  <c r="H58" i="51" s="1"/>
  <c r="O158" i="51" l="1"/>
  <c r="O159" i="51" s="1"/>
  <c r="O160" i="51" s="1"/>
  <c r="O162" i="51" s="1"/>
  <c r="N158" i="51"/>
  <c r="N159" i="51" s="1"/>
  <c r="N160" i="51" s="1"/>
  <c r="N162" i="51" s="1"/>
  <c r="I80" i="54"/>
  <c r="C63" i="54"/>
  <c r="E63" i="54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28" i="54"/>
  <c r="C28" i="54"/>
  <c r="J57" i="51"/>
  <c r="I58" i="51"/>
  <c r="N163" i="51" l="1"/>
  <c r="N164" i="51" s="1"/>
  <c r="N165" i="51" s="1"/>
  <c r="N166" i="51" s="1"/>
  <c r="N167" i="51" s="1"/>
  <c r="N168" i="51" s="1"/>
  <c r="N169" i="51" s="1"/>
  <c r="N170" i="51" s="1"/>
  <c r="N171" i="51" s="1"/>
  <c r="N172" i="51" s="1"/>
  <c r="N173" i="51" s="1"/>
  <c r="N174" i="51" s="1"/>
  <c r="N175" i="51" s="1"/>
  <c r="N176" i="51" s="1"/>
  <c r="N177" i="51" s="1"/>
  <c r="N178" i="51" s="1"/>
  <c r="N179" i="51" s="1"/>
  <c r="N180" i="51" s="1"/>
  <c r="N161" i="51"/>
  <c r="O161" i="51"/>
  <c r="O163" i="51"/>
  <c r="O164" i="51" s="1"/>
  <c r="O165" i="51" s="1"/>
  <c r="O166" i="51" s="1"/>
  <c r="O167" i="51" s="1"/>
  <c r="O168" i="51" s="1"/>
  <c r="O169" i="51" s="1"/>
  <c r="O170" i="51" s="1"/>
  <c r="O171" i="51" s="1"/>
  <c r="O172" i="51" s="1"/>
  <c r="O173" i="51" s="1"/>
  <c r="O174" i="51" s="1"/>
  <c r="O175" i="51" s="1"/>
  <c r="O176" i="51" s="1"/>
  <c r="O177" i="51" s="1"/>
  <c r="O178" i="51" s="1"/>
  <c r="O179" i="51" s="1"/>
  <c r="O180" i="51" s="1"/>
  <c r="E81" i="54"/>
  <c r="I81" i="54"/>
  <c r="E29" i="54"/>
  <c r="C29" i="54"/>
  <c r="H59" i="51"/>
  <c r="H60" i="51" s="1"/>
  <c r="I59" i="51"/>
  <c r="J58" i="51"/>
  <c r="N181" i="51" l="1"/>
  <c r="N182" i="51" s="1"/>
  <c r="N183" i="51" s="1"/>
  <c r="N185" i="51" s="1"/>
  <c r="O181" i="51"/>
  <c r="O182" i="51" s="1"/>
  <c r="O183" i="51" s="1"/>
  <c r="O185" i="51" s="1"/>
  <c r="E82" i="54"/>
  <c r="I82" i="54"/>
  <c r="E30" i="54"/>
  <c r="C30" i="54"/>
  <c r="J59" i="51"/>
  <c r="I60" i="51"/>
  <c r="O186" i="51" l="1"/>
  <c r="O187" i="51" s="1"/>
  <c r="O188" i="51" s="1"/>
  <c r="O189" i="51" s="1"/>
  <c r="O190" i="51" s="1"/>
  <c r="O191" i="51" s="1"/>
  <c r="O192" i="51" s="1"/>
  <c r="O193" i="51" s="1"/>
  <c r="O194" i="51" s="1"/>
  <c r="O195" i="51" s="1"/>
  <c r="O196" i="51" s="1"/>
  <c r="O197" i="51" s="1"/>
  <c r="O198" i="51" s="1"/>
  <c r="O199" i="51" s="1"/>
  <c r="O200" i="51" s="1"/>
  <c r="O201" i="51" s="1"/>
  <c r="O202" i="51" s="1"/>
  <c r="O203" i="51" s="1"/>
  <c r="O184" i="51"/>
  <c r="N186" i="51"/>
  <c r="N187" i="51" s="1"/>
  <c r="N188" i="51" s="1"/>
  <c r="N189" i="51" s="1"/>
  <c r="N190" i="51" s="1"/>
  <c r="N191" i="51" s="1"/>
  <c r="N192" i="51" s="1"/>
  <c r="N193" i="51" s="1"/>
  <c r="N194" i="51" s="1"/>
  <c r="N195" i="51" s="1"/>
  <c r="N196" i="51" s="1"/>
  <c r="N197" i="51" s="1"/>
  <c r="N198" i="51" s="1"/>
  <c r="N199" i="51" s="1"/>
  <c r="N200" i="51" s="1"/>
  <c r="N201" i="51" s="1"/>
  <c r="N202" i="51" s="1"/>
  <c r="N203" i="51" s="1"/>
  <c r="N184" i="51"/>
  <c r="I83" i="54"/>
  <c r="E83" i="54"/>
  <c r="C31" i="54"/>
  <c r="E31" i="54"/>
  <c r="I61" i="51"/>
  <c r="H61" i="51"/>
  <c r="H62" i="51" s="1"/>
  <c r="J60" i="51"/>
  <c r="N204" i="51" l="1"/>
  <c r="N205" i="51" s="1"/>
  <c r="N206" i="51" s="1"/>
  <c r="N208" i="51" s="1"/>
  <c r="O204" i="51"/>
  <c r="O205" i="51" s="1"/>
  <c r="O206" i="51" s="1"/>
  <c r="O208" i="51" s="1"/>
  <c r="E84" i="54"/>
  <c r="I84" i="54"/>
  <c r="E32" i="54"/>
  <c r="C32" i="54"/>
  <c r="J61" i="51"/>
  <c r="I62" i="51"/>
  <c r="O207" i="51" l="1"/>
  <c r="O209" i="51"/>
  <c r="O210" i="51" s="1"/>
  <c r="O211" i="51" s="1"/>
  <c r="O212" i="51" s="1"/>
  <c r="O213" i="51" s="1"/>
  <c r="O214" i="51" s="1"/>
  <c r="O215" i="51" s="1"/>
  <c r="O216" i="51" s="1"/>
  <c r="O217" i="51" s="1"/>
  <c r="O218" i="51" s="1"/>
  <c r="O219" i="51" s="1"/>
  <c r="O220" i="51" s="1"/>
  <c r="O221" i="51" s="1"/>
  <c r="O222" i="51" s="1"/>
  <c r="O223" i="51" s="1"/>
  <c r="O224" i="51" s="1"/>
  <c r="O225" i="51" s="1"/>
  <c r="O226" i="51" s="1"/>
  <c r="N207" i="51"/>
  <c r="N209" i="51"/>
  <c r="N210" i="51" s="1"/>
  <c r="N211" i="51" s="1"/>
  <c r="N212" i="51" s="1"/>
  <c r="N213" i="51" s="1"/>
  <c r="N214" i="51" s="1"/>
  <c r="N215" i="51" s="1"/>
  <c r="N216" i="51" s="1"/>
  <c r="N217" i="51" s="1"/>
  <c r="N218" i="51" s="1"/>
  <c r="N219" i="51" s="1"/>
  <c r="N220" i="51" s="1"/>
  <c r="N221" i="51" s="1"/>
  <c r="N222" i="51" s="1"/>
  <c r="N223" i="51" s="1"/>
  <c r="N224" i="51" s="1"/>
  <c r="N225" i="51" s="1"/>
  <c r="N226" i="51" s="1"/>
  <c r="E85" i="54"/>
  <c r="I85" i="54"/>
  <c r="E33" i="54"/>
  <c r="C33" i="54"/>
  <c r="I63" i="51"/>
  <c r="H63" i="51"/>
  <c r="H64" i="51" s="1"/>
  <c r="J62" i="51"/>
  <c r="N227" i="51" l="1"/>
  <c r="N228" i="51" s="1"/>
  <c r="N229" i="51" s="1"/>
  <c r="N230" i="51" s="1"/>
  <c r="N231" i="51" s="1"/>
  <c r="N233" i="51" s="1"/>
  <c r="O227" i="51"/>
  <c r="O228" i="51" s="1"/>
  <c r="O229" i="51" s="1"/>
  <c r="O230" i="51" s="1"/>
  <c r="O231" i="51" s="1"/>
  <c r="O233" i="51" s="1"/>
  <c r="O232" i="51" s="1"/>
  <c r="I86" i="54"/>
  <c r="E86" i="54"/>
  <c r="E34" i="54"/>
  <c r="C34" i="54"/>
  <c r="J63" i="51"/>
  <c r="I64" i="51"/>
  <c r="N234" i="51" l="1"/>
  <c r="N232" i="51"/>
  <c r="I87" i="54"/>
  <c r="I88" i="54" s="1"/>
  <c r="I89" i="54" s="1"/>
  <c r="I90" i="54" s="1"/>
  <c r="I91" i="54" s="1"/>
  <c r="I92" i="54" s="1"/>
  <c r="I93" i="54" s="1"/>
  <c r="I94" i="54" s="1"/>
  <c r="I95" i="54" s="1"/>
  <c r="I96" i="54" s="1"/>
  <c r="E87" i="54"/>
  <c r="E88" i="54" s="1"/>
  <c r="E35" i="54"/>
  <c r="C35" i="54"/>
  <c r="I65" i="51"/>
  <c r="J64" i="51"/>
  <c r="H65" i="51"/>
  <c r="H66" i="51" s="1"/>
  <c r="H67" i="51" s="1"/>
  <c r="E36" i="54" l="1"/>
  <c r="G37" i="54" s="1"/>
  <c r="G38" i="54" s="1"/>
  <c r="G39" i="54" s="1"/>
  <c r="C36" i="54"/>
  <c r="J65" i="51"/>
  <c r="I66" i="51"/>
  <c r="J66" i="51" l="1"/>
  <c r="I67" i="51"/>
  <c r="I68" i="51" l="1"/>
  <c r="J67" i="51"/>
  <c r="J68" i="51" l="1"/>
  <c r="I70" i="51"/>
  <c r="I69" i="51" l="1"/>
  <c r="J69" i="51" s="1"/>
  <c r="I71" i="51"/>
  <c r="J70" i="51"/>
  <c r="J71" i="51" l="1"/>
  <c r="I72" i="51"/>
  <c r="H72" i="51"/>
  <c r="H73" i="51" s="1"/>
  <c r="J72" i="51" l="1"/>
  <c r="I73" i="51"/>
  <c r="I74" i="51" l="1"/>
  <c r="J73" i="51"/>
  <c r="H74" i="51"/>
  <c r="H75" i="51" s="1"/>
  <c r="J74" i="51" l="1"/>
  <c r="I75" i="51"/>
  <c r="J75" i="51" l="1"/>
  <c r="H76" i="51"/>
  <c r="H77" i="51" s="1"/>
  <c r="I76" i="51"/>
  <c r="J76" i="51" l="1"/>
  <c r="I77" i="51"/>
  <c r="J77" i="51" l="1"/>
  <c r="H78" i="51"/>
  <c r="H79" i="51" s="1"/>
  <c r="I78" i="51"/>
  <c r="J78" i="51" l="1"/>
  <c r="I79" i="51"/>
  <c r="J79" i="51" l="1"/>
  <c r="H80" i="51"/>
  <c r="H81" i="51" s="1"/>
  <c r="I80" i="51"/>
  <c r="J80" i="51" l="1"/>
  <c r="I81" i="51"/>
  <c r="I82" i="51" l="1"/>
  <c r="J81" i="51"/>
  <c r="H82" i="51"/>
  <c r="H83" i="51" s="1"/>
  <c r="I83" i="51" l="1"/>
  <c r="J82" i="51"/>
  <c r="I84" i="51" l="1"/>
  <c r="J83" i="51"/>
  <c r="H84" i="51"/>
  <c r="H85" i="51" s="1"/>
  <c r="I85" i="51" l="1"/>
  <c r="J84" i="51"/>
  <c r="J85" i="51" l="1"/>
  <c r="H86" i="51"/>
  <c r="H87" i="51" s="1"/>
  <c r="I86" i="51"/>
  <c r="I87" i="51" l="1"/>
  <c r="J86" i="51"/>
  <c r="J87" i="51" l="1"/>
  <c r="H88" i="51"/>
  <c r="H89" i="51" s="1"/>
  <c r="H90" i="51" s="1"/>
  <c r="I88" i="51"/>
  <c r="I89" i="51" l="1"/>
  <c r="J88" i="51"/>
  <c r="J89" i="51" l="1"/>
  <c r="I90" i="51"/>
  <c r="I91" i="51" l="1"/>
  <c r="J90" i="51"/>
  <c r="J91" i="51" l="1"/>
  <c r="I93" i="51"/>
  <c r="J93" i="51" l="1"/>
  <c r="I94" i="51"/>
  <c r="I92" i="51"/>
  <c r="J92" i="51" s="1"/>
  <c r="I95" i="51" l="1"/>
  <c r="J94" i="51"/>
  <c r="H95" i="51"/>
  <c r="H96" i="51" s="1"/>
  <c r="I96" i="51" l="1"/>
  <c r="J95" i="51"/>
  <c r="J96" i="51" l="1"/>
  <c r="H97" i="51"/>
  <c r="H98" i="51" s="1"/>
  <c r="I97" i="51"/>
  <c r="I98" i="51" l="1"/>
  <c r="J97" i="51"/>
  <c r="J98" i="51" l="1"/>
  <c r="I99" i="51"/>
  <c r="H99" i="51"/>
  <c r="H100" i="51" s="1"/>
  <c r="J99" i="51" l="1"/>
  <c r="I100" i="51"/>
  <c r="H101" i="51" l="1"/>
  <c r="H102" i="51" s="1"/>
  <c r="J100" i="51"/>
  <c r="I101" i="51"/>
  <c r="I102" i="51" l="1"/>
  <c r="J101" i="51"/>
  <c r="J102" i="51" l="1"/>
  <c r="I103" i="51"/>
  <c r="H103" i="51"/>
  <c r="H104" i="51" s="1"/>
  <c r="J103" i="51" l="1"/>
  <c r="I104" i="51"/>
  <c r="H105" i="51" l="1"/>
  <c r="H106" i="51" s="1"/>
  <c r="J104" i="51"/>
  <c r="I105" i="51"/>
  <c r="J105" i="51" l="1"/>
  <c r="I106" i="51"/>
  <c r="J106" i="51" l="1"/>
  <c r="I107" i="51"/>
  <c r="H107" i="51"/>
  <c r="H108" i="51" s="1"/>
  <c r="J107" i="51" l="1"/>
  <c r="I108" i="51"/>
  <c r="H109" i="51" l="1"/>
  <c r="H110" i="51" s="1"/>
  <c r="I109" i="51"/>
  <c r="J108" i="51"/>
  <c r="J109" i="51" l="1"/>
  <c r="I110" i="51"/>
  <c r="H111" i="51" l="1"/>
  <c r="H112" i="51" s="1"/>
  <c r="H113" i="51" s="1"/>
  <c r="I111" i="51"/>
  <c r="J110" i="51"/>
  <c r="J111" i="51" l="1"/>
  <c r="I112" i="51"/>
  <c r="J112" i="51" l="1"/>
  <c r="I113" i="51"/>
  <c r="J113" i="51" l="1"/>
  <c r="I114" i="51"/>
  <c r="I116" i="51" l="1"/>
  <c r="J114" i="51"/>
  <c r="I115" i="51" l="1"/>
  <c r="J115" i="51" s="1"/>
  <c r="J116" i="51"/>
  <c r="I117" i="51"/>
  <c r="H118" i="51" l="1"/>
  <c r="H119" i="51" s="1"/>
  <c r="I118" i="51"/>
  <c r="J117" i="51"/>
  <c r="J118" i="51" l="1"/>
  <c r="I119" i="51"/>
  <c r="I120" i="51" l="1"/>
  <c r="H120" i="51"/>
  <c r="H121" i="51" s="1"/>
  <c r="J119" i="51"/>
  <c r="I121" i="51" l="1"/>
  <c r="J120" i="51"/>
  <c r="H122" i="51" l="1"/>
  <c r="H123" i="51" s="1"/>
  <c r="J121" i="51"/>
  <c r="I122" i="51"/>
  <c r="J122" i="51" l="1"/>
  <c r="I123" i="51"/>
  <c r="J123" i="51" l="1"/>
  <c r="I124" i="51"/>
  <c r="H124" i="51"/>
  <c r="H125" i="51" s="1"/>
  <c r="J124" i="51" l="1"/>
  <c r="I125" i="51"/>
  <c r="I126" i="51" l="1"/>
  <c r="J125" i="51"/>
  <c r="H126" i="51"/>
  <c r="H127" i="51" s="1"/>
  <c r="J126" i="51" l="1"/>
  <c r="I127" i="51"/>
  <c r="J127" i="51" l="1"/>
  <c r="I128" i="51"/>
  <c r="H128" i="51"/>
  <c r="H129" i="51" s="1"/>
  <c r="J128" i="51" l="1"/>
  <c r="I129" i="51"/>
  <c r="I130" i="51" l="1"/>
  <c r="H130" i="51"/>
  <c r="H131" i="51" s="1"/>
  <c r="J129" i="51"/>
  <c r="J130" i="51" l="1"/>
  <c r="I131" i="51"/>
  <c r="I132" i="51" l="1"/>
  <c r="H132" i="51"/>
  <c r="H133" i="51" s="1"/>
  <c r="J131" i="51"/>
  <c r="J132" i="51" l="1"/>
  <c r="I133" i="51"/>
  <c r="H134" i="51" l="1"/>
  <c r="H135" i="51" s="1"/>
  <c r="H136" i="51" s="1"/>
  <c r="J133" i="51"/>
  <c r="I134" i="51"/>
  <c r="I135" i="51" l="1"/>
  <c r="J134" i="51"/>
  <c r="J135" i="51" l="1"/>
  <c r="I136" i="51"/>
  <c r="J136" i="51" l="1"/>
  <c r="I137" i="51"/>
  <c r="J137" i="51" l="1"/>
  <c r="I139" i="51"/>
  <c r="I140" i="51" l="1"/>
  <c r="I138" i="51"/>
  <c r="J138" i="51" s="1"/>
  <c r="J139" i="51"/>
  <c r="I141" i="51" l="1"/>
  <c r="J140" i="51"/>
  <c r="H141" i="51"/>
  <c r="H142" i="51" s="1"/>
  <c r="J141" i="51" l="1"/>
  <c r="I142" i="51"/>
  <c r="J142" i="51" l="1"/>
  <c r="I143" i="51"/>
  <c r="H143" i="51"/>
  <c r="H144" i="51" s="1"/>
  <c r="J143" i="51" l="1"/>
  <c r="I144" i="51"/>
  <c r="J144" i="51" l="1"/>
  <c r="I145" i="51"/>
  <c r="H145" i="51"/>
  <c r="H146" i="51" s="1"/>
  <c r="J145" i="51" l="1"/>
  <c r="I146" i="51"/>
  <c r="J146" i="51" l="1"/>
  <c r="I147" i="51"/>
  <c r="H147" i="51"/>
  <c r="H148" i="51" s="1"/>
  <c r="J147" i="51" l="1"/>
  <c r="I148" i="51"/>
  <c r="I149" i="51" l="1"/>
  <c r="H149" i="51"/>
  <c r="H150" i="51" s="1"/>
  <c r="J148" i="51"/>
  <c r="J149" i="51" l="1"/>
  <c r="I150" i="51"/>
  <c r="I151" i="51" l="1"/>
  <c r="H151" i="51"/>
  <c r="H152" i="51" s="1"/>
  <c r="J150" i="51"/>
  <c r="J151" i="51" l="1"/>
  <c r="I152" i="51"/>
  <c r="J152" i="51" l="1"/>
  <c r="H153" i="51"/>
  <c r="H154" i="51" s="1"/>
  <c r="I153" i="51"/>
  <c r="J153" i="51" l="1"/>
  <c r="I154" i="51"/>
  <c r="H155" i="51" l="1"/>
  <c r="H156" i="51" s="1"/>
  <c r="I155" i="51"/>
  <c r="J154" i="51"/>
  <c r="J155" i="51" l="1"/>
  <c r="I156" i="51"/>
  <c r="J156" i="51" l="1"/>
  <c r="H157" i="51"/>
  <c r="H158" i="51" s="1"/>
  <c r="H159" i="51" s="1"/>
  <c r="I157" i="51"/>
  <c r="I158" i="51" l="1"/>
  <c r="J157" i="51"/>
  <c r="J158" i="51" l="1"/>
  <c r="I159" i="51"/>
  <c r="I160" i="51" l="1"/>
  <c r="J159" i="51"/>
  <c r="J160" i="51" l="1"/>
  <c r="I162" i="51"/>
  <c r="I163" i="51" l="1"/>
  <c r="J162" i="51"/>
  <c r="I161" i="51"/>
  <c r="J161" i="51" s="1"/>
  <c r="H164" i="51" l="1"/>
  <c r="H165" i="51" s="1"/>
  <c r="J163" i="51"/>
  <c r="I164" i="51"/>
  <c r="I165" i="51" l="1"/>
  <c r="J164" i="51"/>
  <c r="I166" i="51" l="1"/>
  <c r="H166" i="51"/>
  <c r="H167" i="51" s="1"/>
  <c r="J165" i="51"/>
  <c r="J166" i="51" l="1"/>
  <c r="I167" i="51"/>
  <c r="I168" i="51" l="1"/>
  <c r="J167" i="51"/>
  <c r="H168" i="51"/>
  <c r="H169" i="51" s="1"/>
  <c r="J168" i="51" l="1"/>
  <c r="I169" i="51"/>
  <c r="I170" i="51" l="1"/>
  <c r="H170" i="51"/>
  <c r="H171" i="51" s="1"/>
  <c r="J169" i="51"/>
  <c r="I171" i="51" l="1"/>
  <c r="J170" i="51"/>
  <c r="I172" i="51" l="1"/>
  <c r="H172" i="51"/>
  <c r="H173" i="51" s="1"/>
  <c r="J171" i="51"/>
  <c r="J172" i="51" l="1"/>
  <c r="I173" i="51"/>
  <c r="J173" i="51" l="1"/>
  <c r="I174" i="51"/>
  <c r="H174" i="51"/>
  <c r="H175" i="51" s="1"/>
  <c r="J174" i="51" l="1"/>
  <c r="I175" i="51"/>
  <c r="H176" i="51" l="1"/>
  <c r="H177" i="51" s="1"/>
  <c r="I176" i="51"/>
  <c r="J175" i="51"/>
  <c r="I177" i="51" l="1"/>
  <c r="J176" i="51"/>
  <c r="J177" i="51" l="1"/>
  <c r="I178" i="51"/>
  <c r="H178" i="51"/>
  <c r="H179" i="51" s="1"/>
  <c r="J178" i="51" l="1"/>
  <c r="I179" i="51"/>
  <c r="J179" i="51" l="1"/>
  <c r="H180" i="51"/>
  <c r="H181" i="51" s="1"/>
  <c r="H182" i="51" s="1"/>
  <c r="I180" i="51"/>
  <c r="J180" i="51" l="1"/>
  <c r="I181" i="51"/>
  <c r="I182" i="51" l="1"/>
  <c r="J181" i="51"/>
  <c r="I183" i="51" l="1"/>
  <c r="J182" i="51"/>
  <c r="J183" i="51" l="1"/>
  <c r="I185" i="51"/>
  <c r="I184" i="51" l="1"/>
  <c r="J184" i="51" s="1"/>
  <c r="J185" i="51"/>
  <c r="I186" i="51"/>
  <c r="H187" i="51" l="1"/>
  <c r="H188" i="51" s="1"/>
  <c r="I187" i="51"/>
  <c r="J186" i="51"/>
  <c r="J187" i="51" l="1"/>
  <c r="I188" i="51"/>
  <c r="H189" i="51" l="1"/>
  <c r="H190" i="51" s="1"/>
  <c r="J188" i="51"/>
  <c r="I189" i="51"/>
  <c r="J189" i="51" l="1"/>
  <c r="I190" i="51"/>
  <c r="H191" i="51" l="1"/>
  <c r="H192" i="51" s="1"/>
  <c r="J190" i="51"/>
  <c r="I191" i="51"/>
  <c r="J191" i="51" l="1"/>
  <c r="I192" i="51"/>
  <c r="J192" i="51" l="1"/>
  <c r="I193" i="51"/>
  <c r="H193" i="51"/>
  <c r="H194" i="51" s="1"/>
  <c r="J193" i="51" l="1"/>
  <c r="I194" i="51"/>
  <c r="I195" i="51" l="1"/>
  <c r="J194" i="51"/>
  <c r="H195" i="51"/>
  <c r="H196" i="51" s="1"/>
  <c r="J195" i="51" l="1"/>
  <c r="I196" i="51"/>
  <c r="H197" i="51" l="1"/>
  <c r="H198" i="51" s="1"/>
  <c r="J196" i="51"/>
  <c r="I197" i="51"/>
  <c r="I198" i="51" l="1"/>
  <c r="J197" i="51"/>
  <c r="H199" i="51" l="1"/>
  <c r="H200" i="51" s="1"/>
  <c r="J198" i="51"/>
  <c r="I199" i="51"/>
  <c r="J199" i="51" l="1"/>
  <c r="I200" i="51"/>
  <c r="I201" i="51" l="1"/>
  <c r="H201" i="51"/>
  <c r="H202" i="51" s="1"/>
  <c r="J200" i="51"/>
  <c r="I202" i="51" l="1"/>
  <c r="J201" i="51"/>
  <c r="H203" i="51" l="1"/>
  <c r="H204" i="51" s="1"/>
  <c r="H205" i="51" s="1"/>
  <c r="I203" i="51"/>
  <c r="J202" i="51"/>
  <c r="J203" i="51" l="1"/>
  <c r="I204" i="51"/>
  <c r="J204" i="51" l="1"/>
  <c r="I205" i="51"/>
  <c r="J205" i="51" l="1"/>
  <c r="I206" i="51"/>
  <c r="I208" i="51" l="1"/>
  <c r="J206" i="51"/>
  <c r="J208" i="51" l="1"/>
  <c r="I207" i="51"/>
  <c r="J207" i="51" s="1"/>
  <c r="I209" i="51"/>
  <c r="H210" i="51" l="1"/>
  <c r="H211" i="51" s="1"/>
  <c r="I210" i="51"/>
  <c r="J209" i="51"/>
  <c r="J210" i="51" l="1"/>
  <c r="I211" i="51"/>
  <c r="I212" i="51" l="1"/>
  <c r="H212" i="51"/>
  <c r="H213" i="51" s="1"/>
  <c r="J211" i="51"/>
  <c r="J212" i="51" l="1"/>
  <c r="I213" i="51"/>
  <c r="I214" i="51" l="1"/>
  <c r="H214" i="51"/>
  <c r="H215" i="51" s="1"/>
  <c r="J213" i="51"/>
  <c r="J214" i="51" l="1"/>
  <c r="I215" i="51"/>
  <c r="J215" i="51" l="1"/>
  <c r="H216" i="51"/>
  <c r="H217" i="51" s="1"/>
  <c r="I216" i="51"/>
  <c r="J216" i="51" l="1"/>
  <c r="I217" i="51"/>
  <c r="H218" i="51" l="1"/>
  <c r="H219" i="51" s="1"/>
  <c r="J217" i="51"/>
  <c r="I218" i="51"/>
  <c r="J218" i="51" l="1"/>
  <c r="I219" i="51"/>
  <c r="I220" i="51" l="1"/>
  <c r="H220" i="51"/>
  <c r="H221" i="51" s="1"/>
  <c r="J219" i="51"/>
  <c r="I221" i="51" l="1"/>
  <c r="J220" i="51"/>
  <c r="I222" i="51" l="1"/>
  <c r="J221" i="51"/>
  <c r="H222" i="51"/>
  <c r="H223" i="51" s="1"/>
  <c r="J222" i="51" l="1"/>
  <c r="I223" i="51"/>
  <c r="H224" i="51" l="1"/>
  <c r="H225" i="51" s="1"/>
  <c r="J223" i="51"/>
  <c r="I224" i="51"/>
  <c r="J224" i="51" l="1"/>
  <c r="I225" i="51"/>
  <c r="J225" i="51" l="1"/>
  <c r="H226" i="51"/>
  <c r="H227" i="51" s="1"/>
  <c r="H228" i="51" s="1"/>
  <c r="H229" i="51" s="1"/>
  <c r="I226" i="51"/>
  <c r="I227" i="51" s="1"/>
  <c r="I228" i="51" l="1"/>
  <c r="J227" i="51"/>
  <c r="J226" i="51"/>
  <c r="H230" i="51"/>
  <c r="J228" i="51" l="1"/>
  <c r="I229" i="51"/>
  <c r="J229" i="51" s="1"/>
  <c r="I230" i="51" l="1"/>
  <c r="I231" i="51" s="1"/>
  <c r="J230" i="51" l="1"/>
  <c r="I232" i="51"/>
  <c r="J231" i="51"/>
  <c r="J232" i="51" l="1"/>
  <c r="I233" i="51"/>
  <c r="J233" i="51" s="1"/>
  <c r="S24" i="51" l="1"/>
  <c r="S25" i="51" l="1"/>
  <c r="S26" i="51" s="1"/>
  <c r="S27" i="51" s="1"/>
  <c r="S28" i="51" l="1"/>
  <c r="S29" i="51" l="1"/>
  <c r="S30" i="51" s="1"/>
  <c r="S31" i="51" s="1"/>
  <c r="S32" i="51" s="1"/>
  <c r="S33" i="51" s="1"/>
  <c r="S34" i="51" s="1"/>
  <c r="S35" i="51" s="1"/>
  <c r="S36" i="51" s="1"/>
  <c r="S37" i="51" s="1"/>
  <c r="S38" i="51" s="1"/>
  <c r="S39" i="51" s="1"/>
  <c r="S40" i="51" s="1"/>
  <c r="S41" i="51" s="1"/>
  <c r="S42" i="51" s="1"/>
  <c r="S43" i="51" s="1"/>
  <c r="S44" i="51" s="1"/>
  <c r="S45" i="51" s="1"/>
  <c r="S46" i="51" l="1"/>
  <c r="S47" i="51" s="1"/>
  <c r="S48" i="51" s="1"/>
  <c r="S49" i="51" s="1"/>
  <c r="S50" i="51" s="1"/>
  <c r="S51" i="51" s="1"/>
  <c r="S52" i="51" s="1"/>
  <c r="S53" i="51" s="1"/>
  <c r="S54" i="51" s="1"/>
  <c r="S55" i="51" s="1"/>
  <c r="S56" i="51" s="1"/>
  <c r="S57" i="51" s="1"/>
  <c r="S58" i="51" s="1"/>
  <c r="S59" i="51" s="1"/>
  <c r="S60" i="51" s="1"/>
  <c r="S61" i="51" s="1"/>
  <c r="S62" i="51" s="1"/>
  <c r="S63" i="51" s="1"/>
  <c r="S64" i="51" s="1"/>
  <c r="S65" i="51" s="1"/>
  <c r="S66" i="51" s="1"/>
  <c r="S67" i="51" s="1"/>
  <c r="S68" i="51" s="1"/>
  <c r="S69" i="51" s="1"/>
  <c r="S70" i="51" s="1"/>
  <c r="S71" i="51" s="1"/>
  <c r="S72" i="51" s="1"/>
  <c r="S73" i="51" s="1"/>
  <c r="S74" i="51" s="1"/>
  <c r="S75" i="51" s="1"/>
  <c r="S76" i="51" s="1"/>
  <c r="S77" i="51" s="1"/>
  <c r="S78" i="51" s="1"/>
  <c r="S79" i="51" s="1"/>
  <c r="S80" i="51" s="1"/>
  <c r="S81" i="51" s="1"/>
  <c r="S82" i="51" s="1"/>
  <c r="S83" i="51" s="1"/>
  <c r="S84" i="51" s="1"/>
  <c r="S85" i="51" s="1"/>
  <c r="S86" i="51" s="1"/>
  <c r="S87" i="51" s="1"/>
  <c r="S88" i="51" s="1"/>
  <c r="S89" i="51" s="1"/>
  <c r="S90" i="51" s="1"/>
  <c r="S91" i="51" s="1"/>
  <c r="S92" i="51" s="1"/>
  <c r="S93" i="51" s="1"/>
  <c r="S94" i="51" s="1"/>
  <c r="S95" i="51" s="1"/>
  <c r="S96" i="51" s="1"/>
  <c r="S97" i="51" s="1"/>
  <c r="S98" i="51" s="1"/>
  <c r="S99" i="51" s="1"/>
  <c r="S100" i="51" s="1"/>
  <c r="S101" i="51" s="1"/>
  <c r="S102" i="51" s="1"/>
  <c r="S103" i="51" s="1"/>
  <c r="S104" i="51" s="1"/>
  <c r="S105" i="51" s="1"/>
  <c r="S106" i="51" s="1"/>
  <c r="S107" i="51" s="1"/>
  <c r="S108" i="51" s="1"/>
  <c r="S109" i="51" s="1"/>
  <c r="S110" i="51" s="1"/>
  <c r="S111" i="51" s="1"/>
  <c r="S112" i="51" s="1"/>
  <c r="S113" i="51" s="1"/>
  <c r="S114" i="51" s="1"/>
  <c r="S115" i="51" s="1"/>
  <c r="S116" i="51" s="1"/>
  <c r="S117" i="51" s="1"/>
  <c r="S118" i="51" s="1"/>
  <c r="S119" i="51" s="1"/>
  <c r="S120" i="51" s="1"/>
  <c r="S121" i="51" s="1"/>
  <c r="S122" i="51" s="1"/>
  <c r="S123" i="51" s="1"/>
  <c r="S124" i="51" s="1"/>
  <c r="S125" i="51" s="1"/>
  <c r="S126" i="51" s="1"/>
  <c r="S127" i="51" s="1"/>
  <c r="S128" i="51" s="1"/>
  <c r="S129" i="51" s="1"/>
  <c r="S130" i="51" s="1"/>
  <c r="S131" i="51" s="1"/>
  <c r="S132" i="51" s="1"/>
  <c r="S133" i="51" s="1"/>
  <c r="S134" i="51" s="1"/>
  <c r="S135" i="51" s="1"/>
  <c r="S136" i="51" s="1"/>
  <c r="S137" i="51" s="1"/>
  <c r="S138" i="51" s="1"/>
  <c r="S139" i="51" s="1"/>
  <c r="S140" i="51" s="1"/>
  <c r="S141" i="51" s="1"/>
  <c r="S142" i="51" s="1"/>
  <c r="S143" i="51" s="1"/>
  <c r="S144" i="51" s="1"/>
  <c r="S145" i="51" s="1"/>
  <c r="S146" i="51" s="1"/>
  <c r="S147" i="51" s="1"/>
  <c r="S148" i="51" s="1"/>
  <c r="S149" i="51" s="1"/>
  <c r="S150" i="51" s="1"/>
  <c r="S151" i="51" s="1"/>
  <c r="S152" i="51" s="1"/>
  <c r="S153" i="51" s="1"/>
  <c r="S154" i="51" s="1"/>
  <c r="S155" i="51" s="1"/>
  <c r="S156" i="51" s="1"/>
  <c r="S157" i="51" s="1"/>
  <c r="S158" i="51" s="1"/>
  <c r="S159" i="51" s="1"/>
  <c r="S160" i="51" s="1"/>
  <c r="S161" i="51" s="1"/>
  <c r="S162" i="51" s="1"/>
  <c r="S163" i="51" s="1"/>
  <c r="S164" i="51" s="1"/>
  <c r="S165" i="51" s="1"/>
  <c r="S166" i="51" s="1"/>
  <c r="S167" i="51" s="1"/>
  <c r="S168" i="51" s="1"/>
  <c r="S169" i="51" s="1"/>
  <c r="S170" i="51" s="1"/>
  <c r="S171" i="51" s="1"/>
  <c r="S172" i="51" s="1"/>
  <c r="S173" i="51" s="1"/>
  <c r="S174" i="51" s="1"/>
  <c r="S175" i="51" s="1"/>
  <c r="S176" i="51" s="1"/>
  <c r="S177" i="51" s="1"/>
  <c r="S178" i="51" s="1"/>
  <c r="S179" i="51" s="1"/>
  <c r="S180" i="51" s="1"/>
  <c r="S181" i="51" s="1"/>
  <c r="S182" i="51" s="1"/>
  <c r="S183" i="51" s="1"/>
  <c r="S184" i="51" s="1"/>
  <c r="S185" i="51" s="1"/>
  <c r="S186" i="51" s="1"/>
  <c r="S187" i="51" s="1"/>
  <c r="S188" i="51" s="1"/>
  <c r="S189" i="51" s="1"/>
  <c r="S190" i="51" s="1"/>
  <c r="S191" i="51" s="1"/>
  <c r="S192" i="51" s="1"/>
  <c r="S193" i="51" s="1"/>
  <c r="S194" i="51" s="1"/>
  <c r="S195" i="51" s="1"/>
  <c r="S196" i="51" s="1"/>
  <c r="S197" i="51" s="1"/>
  <c r="S198" i="51" s="1"/>
  <c r="S199" i="51" s="1"/>
  <c r="S200" i="51" s="1"/>
  <c r="S201" i="51" s="1"/>
  <c r="S202" i="51" s="1"/>
  <c r="S203" i="51" s="1"/>
  <c r="S204" i="51" s="1"/>
  <c r="S205" i="51" s="1"/>
  <c r="S206" i="51" s="1"/>
  <c r="S207" i="51" s="1"/>
  <c r="S208" i="51" s="1"/>
  <c r="S209" i="51" s="1"/>
  <c r="S210" i="51" s="1"/>
  <c r="S211" i="51" s="1"/>
  <c r="S212" i="51" s="1"/>
  <c r="S213" i="51" s="1"/>
  <c r="S214" i="51" s="1"/>
  <c r="S215" i="51" s="1"/>
  <c r="S216" i="51" s="1"/>
  <c r="S217" i="51" s="1"/>
  <c r="S218" i="51" s="1"/>
  <c r="S219" i="51" s="1"/>
  <c r="S220" i="51" s="1"/>
  <c r="S221" i="51" s="1"/>
  <c r="S222" i="51" s="1"/>
  <c r="S223" i="51" s="1"/>
  <c r="S224" i="51" s="1"/>
  <c r="S225" i="51" s="1"/>
  <c r="S226" i="51" s="1"/>
  <c r="Q46" i="51"/>
  <c r="Q47" i="51" s="1"/>
  <c r="Q48" i="51" s="1"/>
  <c r="Q49" i="51" s="1"/>
  <c r="Q50" i="51" s="1"/>
  <c r="Q51" i="51" s="1"/>
  <c r="Q52" i="51" s="1"/>
  <c r="Q53" i="51" s="1"/>
  <c r="Q54" i="51" s="1"/>
  <c r="Q55" i="51" s="1"/>
  <c r="Q56" i="51" s="1"/>
  <c r="Q57" i="51" s="1"/>
  <c r="Q58" i="51" s="1"/>
  <c r="Q59" i="51" s="1"/>
  <c r="Q60" i="51" s="1"/>
  <c r="Q61" i="51" s="1"/>
  <c r="Q62" i="51" s="1"/>
  <c r="Q63" i="51" s="1"/>
  <c r="Q64" i="51" s="1"/>
  <c r="Q65" i="51" s="1"/>
  <c r="Q66" i="51" s="1"/>
  <c r="Q67" i="51" s="1"/>
  <c r="Q68" i="51" s="1"/>
  <c r="Q69" i="51" s="1"/>
  <c r="Q70" i="51" s="1"/>
  <c r="Q71" i="51" s="1"/>
  <c r="Q72" i="51" s="1"/>
  <c r="Q73" i="51" s="1"/>
  <c r="Q74" i="51" s="1"/>
  <c r="Q75" i="51" s="1"/>
  <c r="Q76" i="51" s="1"/>
  <c r="Q77" i="51" s="1"/>
  <c r="Q78" i="51" s="1"/>
  <c r="Q79" i="51" s="1"/>
  <c r="Q80" i="51" s="1"/>
  <c r="Q81" i="51" s="1"/>
  <c r="Q82" i="51" s="1"/>
  <c r="Q83" i="51" s="1"/>
  <c r="Q84" i="51" s="1"/>
  <c r="Q85" i="51" s="1"/>
  <c r="Q86" i="51" s="1"/>
  <c r="Q87" i="51" s="1"/>
  <c r="Q88" i="51" s="1"/>
  <c r="Q89" i="51" s="1"/>
  <c r="Q90" i="51" s="1"/>
  <c r="Q91" i="51" s="1"/>
  <c r="Q92" i="51" s="1"/>
  <c r="Q93" i="51" s="1"/>
  <c r="Q94" i="51" s="1"/>
  <c r="Q95" i="51" s="1"/>
  <c r="Q96" i="51" s="1"/>
  <c r="Q97" i="51" s="1"/>
  <c r="Q98" i="51" s="1"/>
  <c r="Q99" i="51" s="1"/>
  <c r="Q100" i="51" s="1"/>
  <c r="Q101" i="51" s="1"/>
  <c r="Q102" i="51" s="1"/>
  <c r="Q103" i="51" s="1"/>
  <c r="Q104" i="51" s="1"/>
  <c r="Q105" i="51" s="1"/>
  <c r="Q106" i="51" s="1"/>
  <c r="Q107" i="51" s="1"/>
  <c r="Q108" i="51" s="1"/>
  <c r="Q109" i="51" s="1"/>
  <c r="Q110" i="51" s="1"/>
  <c r="Q111" i="51" s="1"/>
  <c r="Q112" i="51" s="1"/>
  <c r="Q113" i="51" s="1"/>
  <c r="Q114" i="51" s="1"/>
  <c r="Q115" i="51" s="1"/>
  <c r="Q116" i="51" s="1"/>
  <c r="Q117" i="51" s="1"/>
  <c r="Q118" i="51" s="1"/>
  <c r="Q119" i="51" s="1"/>
  <c r="Q120" i="51" s="1"/>
  <c r="Q121" i="51" s="1"/>
  <c r="Q122" i="51" s="1"/>
  <c r="Q123" i="51" s="1"/>
  <c r="Q124" i="51" s="1"/>
  <c r="Q125" i="51" s="1"/>
  <c r="Q126" i="51" s="1"/>
  <c r="Q127" i="51" s="1"/>
  <c r="Q128" i="51" s="1"/>
  <c r="Q129" i="51" s="1"/>
  <c r="Q130" i="51" s="1"/>
  <c r="Q131" i="51" s="1"/>
  <c r="Q132" i="51" s="1"/>
  <c r="Q133" i="51" s="1"/>
  <c r="Q134" i="51" s="1"/>
  <c r="Q135" i="51" s="1"/>
  <c r="Q136" i="51" s="1"/>
  <c r="Q137" i="51" s="1"/>
  <c r="Q138" i="51" s="1"/>
  <c r="Q139" i="51" s="1"/>
  <c r="Q140" i="51" s="1"/>
  <c r="Q141" i="51" s="1"/>
  <c r="Q142" i="51" s="1"/>
  <c r="Q143" i="51" s="1"/>
  <c r="Q144" i="51" s="1"/>
  <c r="Q145" i="51" s="1"/>
  <c r="Q146" i="51" s="1"/>
  <c r="Q147" i="51" s="1"/>
  <c r="Q148" i="51" s="1"/>
  <c r="Q149" i="51" s="1"/>
  <c r="Q150" i="51" s="1"/>
  <c r="Q151" i="51" s="1"/>
  <c r="Q152" i="51" s="1"/>
  <c r="Q153" i="51" s="1"/>
  <c r="Q154" i="51" s="1"/>
  <c r="Q155" i="51" s="1"/>
  <c r="Q156" i="51" s="1"/>
  <c r="Q157" i="51" s="1"/>
  <c r="Q158" i="51" s="1"/>
  <c r="Q159" i="51" s="1"/>
  <c r="Q160" i="51" s="1"/>
  <c r="Q161" i="51" s="1"/>
  <c r="Q162" i="51" s="1"/>
  <c r="Q163" i="51" s="1"/>
  <c r="Q164" i="51" s="1"/>
  <c r="Q165" i="51" s="1"/>
  <c r="Q166" i="51" s="1"/>
  <c r="Q167" i="51" s="1"/>
  <c r="Q168" i="51" s="1"/>
  <c r="Q169" i="51" s="1"/>
  <c r="Q170" i="51" s="1"/>
  <c r="Q171" i="51" s="1"/>
  <c r="Q172" i="51" s="1"/>
  <c r="Q173" i="51" s="1"/>
  <c r="Q174" i="51" s="1"/>
  <c r="Q175" i="51" s="1"/>
  <c r="Q176" i="51" s="1"/>
  <c r="Q177" i="51" s="1"/>
  <c r="Q178" i="51" s="1"/>
  <c r="Q179" i="51" s="1"/>
  <c r="Q180" i="51" s="1"/>
  <c r="Q181" i="51" s="1"/>
  <c r="Q182" i="51" s="1"/>
  <c r="Q183" i="51" s="1"/>
  <c r="Q184" i="51" s="1"/>
  <c r="Q185" i="51" s="1"/>
  <c r="Q186" i="51" s="1"/>
  <c r="Q187" i="51" s="1"/>
  <c r="Q188" i="51" s="1"/>
  <c r="Q189" i="51" s="1"/>
  <c r="Q190" i="51" s="1"/>
  <c r="Q191" i="51" s="1"/>
  <c r="Q192" i="51" s="1"/>
  <c r="Q193" i="51" s="1"/>
  <c r="Q194" i="51" s="1"/>
  <c r="Q195" i="51" s="1"/>
  <c r="Q196" i="51" s="1"/>
  <c r="Q197" i="51" s="1"/>
  <c r="Q198" i="51" s="1"/>
  <c r="Q199" i="51" s="1"/>
  <c r="Q200" i="51" s="1"/>
  <c r="Q201" i="51" s="1"/>
  <c r="Q202" i="51" s="1"/>
  <c r="Q203" i="51" s="1"/>
  <c r="Q204" i="51" s="1"/>
  <c r="Q205" i="51" s="1"/>
  <c r="Q206" i="51" s="1"/>
  <c r="Q207" i="51" s="1"/>
  <c r="Q208" i="51" s="1"/>
  <c r="Q209" i="51" s="1"/>
  <c r="Q210" i="51" s="1"/>
  <c r="Q211" i="51" s="1"/>
  <c r="Q212" i="51" s="1"/>
  <c r="Q213" i="51" s="1"/>
  <c r="Q214" i="51" s="1"/>
  <c r="Q215" i="51" s="1"/>
  <c r="Q216" i="51" s="1"/>
  <c r="Q217" i="51" s="1"/>
  <c r="Q218" i="51" s="1"/>
  <c r="Q219" i="51" s="1"/>
  <c r="Q220" i="51" s="1"/>
  <c r="Q221" i="51" s="1"/>
  <c r="Q222" i="51" s="1"/>
  <c r="Q223" i="51" s="1"/>
  <c r="Q224" i="51" s="1"/>
  <c r="Q225" i="51" s="1"/>
  <c r="Q226" i="51" s="1"/>
  <c r="Q227" i="51" l="1"/>
  <c r="Q228" i="51" s="1"/>
  <c r="S227" i="51"/>
  <c r="S228" i="51" s="1"/>
  <c r="S229" i="51" s="1"/>
  <c r="S230" i="51" s="1"/>
  <c r="S231" i="51" s="1"/>
  <c r="S232" i="51" s="1"/>
  <c r="S233" i="51" s="1"/>
  <c r="Q229" i="51" l="1"/>
  <c r="Q230" i="51" s="1"/>
  <c r="Q231" i="51" s="1"/>
  <c r="Q232" i="51" s="1"/>
  <c r="Q233" i="51" s="1"/>
  <c r="Q234" i="51" s="1"/>
  <c r="Q235" i="51" s="1"/>
  <c r="Q236" i="51" s="1"/>
  <c r="T229" i="51"/>
  <c r="T230" i="51" s="1"/>
  <c r="T231" i="51" s="1"/>
  <c r="T232" i="51" s="1"/>
  <c r="T233" i="51" s="1"/>
  <c r="I234" i="51" l="1"/>
  <c r="I235" i="51" s="1"/>
  <c r="I236" i="51" s="1"/>
  <c r="I237" i="51" s="1"/>
  <c r="Q237" i="51"/>
  <c r="Q238" i="51" s="1"/>
  <c r="Q239" i="51" s="1"/>
  <c r="Q240" i="51" s="1"/>
  <c r="Q241" i="51" s="1"/>
  <c r="Q242" i="51" s="1"/>
  <c r="Q243" i="51" s="1"/>
  <c r="Q244" i="51" l="1"/>
  <c r="L244" i="51"/>
  <c r="I238" i="51"/>
  <c r="I239" i="51" s="1"/>
  <c r="I240" i="51" s="1"/>
  <c r="I241" i="51" s="1"/>
  <c r="I242" i="51" s="1"/>
  <c r="I243" i="51" s="1"/>
  <c r="G40" i="54"/>
  <c r="G41" i="54" s="1"/>
  <c r="G42" i="54" s="1"/>
  <c r="G43" i="54" s="1"/>
  <c r="G44" i="54" s="1"/>
  <c r="G45" i="54" s="1"/>
  <c r="G46" i="54" s="1"/>
  <c r="G47" i="54" s="1"/>
  <c r="G48" i="54" s="1"/>
  <c r="G49" i="54" s="1"/>
  <c r="I244" i="51" l="1"/>
  <c r="G50" i="54"/>
  <c r="G51" i="54" s="1"/>
  <c r="G52" i="54" s="1"/>
  <c r="G53" i="54" s="1"/>
  <c r="G54" i="54" s="1"/>
  <c r="G55" i="54" s="1"/>
  <c r="G56" i="54" s="1"/>
  <c r="G57" i="54" s="1"/>
  <c r="G58" i="54" s="1"/>
  <c r="G59" i="54" s="1"/>
  <c r="G60" i="54" s="1"/>
  <c r="G61" i="54" s="1"/>
  <c r="G62" i="54" s="1"/>
  <c r="G63" i="54" s="1"/>
  <c r="G64" i="54" s="1"/>
  <c r="G65" i="54" s="1"/>
  <c r="G66" i="54" s="1"/>
  <c r="G67" i="54" s="1"/>
  <c r="G68" i="54" s="1"/>
  <c r="G69" i="54" s="1"/>
  <c r="G70" i="54" s="1"/>
  <c r="G71" i="54" s="1"/>
  <c r="G72" i="54" l="1"/>
  <c r="G73" i="54" s="1"/>
  <c r="G74" i="54" s="1"/>
  <c r="G75" i="54" s="1"/>
  <c r="G76" i="54" s="1"/>
  <c r="G77" i="54" s="1"/>
  <c r="G78" i="54" s="1"/>
  <c r="G79" i="54" s="1"/>
  <c r="G80" i="54" s="1"/>
  <c r="G81" i="54" s="1"/>
  <c r="G82" i="54" s="1"/>
  <c r="G83" i="54" s="1"/>
  <c r="G84" i="54" s="1"/>
  <c r="G85" i="54" s="1"/>
  <c r="G86" i="54" s="1"/>
  <c r="G87" i="54" s="1"/>
  <c r="G88" i="54" s="1"/>
  <c r="E99" i="54" s="1"/>
  <c r="G89" i="54" l="1"/>
  <c r="G90" i="54" s="1"/>
  <c r="G91" i="54" s="1"/>
  <c r="G92" i="54" s="1"/>
  <c r="G93" i="54" s="1"/>
  <c r="G94" i="54" s="1"/>
  <c r="G95" i="54" s="1"/>
  <c r="G96" i="54" s="1"/>
  <c r="G99" i="54"/>
  <c r="E89" i="54"/>
  <c r="C89" i="54"/>
  <c r="G100" i="54" l="1"/>
  <c r="E100" i="54"/>
  <c r="C90" i="54"/>
  <c r="E90" i="54"/>
  <c r="E91" i="54" l="1"/>
  <c r="G101" i="54"/>
  <c r="E101" i="54"/>
  <c r="E102" i="54" s="1"/>
  <c r="C91" i="54"/>
  <c r="E92" i="54" l="1"/>
  <c r="C92" i="54"/>
  <c r="C93" i="54" s="1"/>
  <c r="G102" i="54"/>
  <c r="G103" i="54" s="1"/>
  <c r="E93" i="54" l="1"/>
  <c r="C94" i="54" s="1"/>
  <c r="E103" i="54"/>
  <c r="E104" i="54" s="1"/>
  <c r="E94" i="54"/>
  <c r="E95" i="54" l="1"/>
  <c r="G104" i="54"/>
  <c r="G105" i="54" s="1"/>
  <c r="C95" i="54"/>
  <c r="E96" i="54" s="1"/>
  <c r="E105" i="54" l="1"/>
  <c r="E106" i="54" s="1"/>
  <c r="E107" i="54" s="1"/>
  <c r="C96" i="54"/>
  <c r="I97" i="54" s="1"/>
  <c r="I98" i="54" s="1"/>
  <c r="I99" i="54" s="1"/>
  <c r="I100" i="54" s="1"/>
  <c r="I101" i="54" s="1"/>
  <c r="I102" i="54" s="1"/>
  <c r="I103" i="54" s="1"/>
  <c r="I104" i="54" s="1"/>
  <c r="I105" i="54" s="1"/>
  <c r="I106" i="54" s="1"/>
  <c r="I107" i="54" s="1"/>
  <c r="I108" i="54" s="1"/>
  <c r="I109" i="54" s="1"/>
  <c r="I110" i="54" s="1"/>
  <c r="I111" i="54" s="1"/>
  <c r="I112" i="54" s="1"/>
  <c r="I113" i="54" s="1"/>
  <c r="I114" i="54" s="1"/>
  <c r="I115" i="54" s="1"/>
  <c r="I116" i="54" s="1"/>
  <c r="I117" i="54" s="1"/>
  <c r="I118" i="54" s="1"/>
  <c r="I119" i="54" s="1"/>
  <c r="I120" i="54" s="1"/>
  <c r="I121" i="54" s="1"/>
  <c r="I122" i="54" s="1"/>
  <c r="I123" i="54" s="1"/>
  <c r="I124" i="54" s="1"/>
  <c r="I127" i="54" s="1"/>
  <c r="G106" i="54" l="1"/>
  <c r="G107" i="54" s="1"/>
  <c r="C108" i="54" s="1"/>
  <c r="E97" i="54"/>
  <c r="E98" i="54" s="1"/>
  <c r="E108" i="54" l="1"/>
  <c r="G108" i="54"/>
  <c r="G109" i="54" s="1"/>
  <c r="G110" i="54" s="1"/>
  <c r="G111" i="54" s="1"/>
  <c r="G112" i="54" s="1"/>
  <c r="G113" i="54" s="1"/>
  <c r="G114" i="54" s="1"/>
  <c r="G115" i="54" s="1"/>
  <c r="G116" i="54" s="1"/>
  <c r="E109" i="54" l="1"/>
  <c r="C109" i="54"/>
  <c r="C110" i="54" l="1"/>
  <c r="E110" i="54"/>
  <c r="C111" i="54" s="1"/>
  <c r="E111" i="54" l="1"/>
  <c r="C112" i="54" s="1"/>
  <c r="E112" i="54" l="1"/>
  <c r="C113" i="54" s="1"/>
  <c r="E113" i="54" l="1"/>
  <c r="C114" i="54" s="1"/>
  <c r="E114" i="54" l="1"/>
  <c r="C115" i="54" s="1"/>
  <c r="E115" i="54" l="1"/>
  <c r="E117" i="54" s="1"/>
  <c r="C116" i="54"/>
  <c r="B116" i="54" s="1"/>
  <c r="B125" i="54"/>
  <c r="C117" i="54" l="1"/>
  <c r="E116" i="54"/>
  <c r="E118" i="54"/>
  <c r="C118" i="54"/>
  <c r="D126" i="54" a="1"/>
  <c r="D126" i="54" s="1"/>
  <c r="D127" i="54" s="1"/>
  <c r="D128" i="54" s="1"/>
  <c r="D129" i="54" s="1"/>
  <c r="D130" i="54" s="1"/>
  <c r="D131" i="54" s="1"/>
  <c r="D132" i="54" s="1"/>
  <c r="D133" i="54" s="1"/>
  <c r="D134" i="54" s="1"/>
  <c r="D135" i="54" s="1"/>
  <c r="D136" i="54" s="1"/>
  <c r="D137" i="54" s="1"/>
  <c r="D138" i="54" s="1"/>
  <c r="D139" i="54" s="1"/>
  <c r="D140" i="54" s="1"/>
  <c r="D141" i="54" s="1"/>
  <c r="C119" i="54" l="1"/>
  <c r="E119" i="54"/>
  <c r="C120" i="54" l="1"/>
  <c r="E120" i="54"/>
  <c r="C121" i="54" l="1"/>
  <c r="E121" i="54"/>
  <c r="E122" i="54" l="1"/>
  <c r="C122" i="54"/>
  <c r="C123" i="54" l="1"/>
  <c r="E123" i="54"/>
  <c r="C124" i="54" l="1"/>
  <c r="E124" i="54"/>
  <c r="E126" i="54" l="1" a="1"/>
  <c r="E126" i="54" s="1"/>
  <c r="E125" i="54"/>
  <c r="C127" i="54" l="1"/>
  <c r="E127" i="54"/>
  <c r="E128" i="54" l="1"/>
  <c r="C128" i="54"/>
  <c r="I128" i="54"/>
  <c r="I129" i="54" s="1"/>
  <c r="E129" i="54" l="1"/>
  <c r="C129" i="54"/>
  <c r="E130" i="54" l="1"/>
  <c r="I130" i="54"/>
  <c r="I131" i="54" s="1"/>
  <c r="C130" i="54"/>
  <c r="C131" i="54" l="1"/>
  <c r="E131" i="54"/>
  <c r="I132" i="54" l="1"/>
  <c r="I133" i="54" s="1"/>
  <c r="C132" i="54"/>
  <c r="E132" i="54"/>
  <c r="C133" i="54" l="1"/>
  <c r="E133" i="54"/>
  <c r="I134" i="54" l="1"/>
  <c r="I135" i="54" s="1"/>
  <c r="E134" i="54"/>
  <c r="C134" i="54"/>
  <c r="C135" i="54" l="1"/>
  <c r="E135" i="54"/>
  <c r="I136" i="54" l="1"/>
  <c r="I137" i="54" s="1"/>
  <c r="E136" i="54"/>
  <c r="C136" i="54"/>
  <c r="C137" i="54" l="1"/>
  <c r="E137" i="54"/>
  <c r="I138" i="54" l="1"/>
  <c r="I139" i="54" s="1"/>
  <c r="E138" i="54"/>
  <c r="C138" i="54"/>
  <c r="E139" i="54" l="1"/>
  <c r="C139" i="54"/>
  <c r="I140" i="54" l="1"/>
  <c r="G141" i="54" s="1"/>
  <c r="E140" i="54"/>
  <c r="C140" i="54"/>
  <c r="E141" i="5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<sst xmlns="http://schemas.openxmlformats.org/spreadsheetml/2006/main" count="552" uniqueCount="177">
  <si>
    <t>X</t>
  </si>
  <si>
    <t>Y</t>
  </si>
  <si>
    <t>-</t>
  </si>
  <si>
    <t>QL</t>
  </si>
  <si>
    <t>QL--</t>
  </si>
  <si>
    <t>X=0</t>
  </si>
  <si>
    <t>Xdig</t>
  </si>
  <si>
    <t>Ent</t>
  </si>
  <si>
    <t>Xreg</t>
  </si>
  <si>
    <t>Yreg</t>
  </si>
  <si>
    <t>Qreg</t>
  </si>
  <si>
    <t>EnterOP1</t>
  </si>
  <si>
    <t>Xsig</t>
  </si>
  <si>
    <t>Ysig</t>
  </si>
  <si>
    <t>EnterOP2</t>
  </si>
  <si>
    <t>OPMult</t>
  </si>
  <si>
    <t>X=X+Y</t>
  </si>
  <si>
    <t>SHR Q &gt; QL</t>
  </si>
  <si>
    <t>Xdp</t>
  </si>
  <si>
    <t>OPDiv</t>
  </si>
  <si>
    <t>Copy XY</t>
  </si>
  <si>
    <t>X=X-Y</t>
  </si>
  <si>
    <t>LJ X</t>
  </si>
  <si>
    <t>Copy XY, X=0</t>
  </si>
  <si>
    <t>Copy YQ</t>
  </si>
  <si>
    <t>X9</t>
  </si>
  <si>
    <t>If EAC X9++</t>
  </si>
  <si>
    <t>X9=0</t>
  </si>
  <si>
    <t>Copy QX</t>
  </si>
  <si>
    <t>EnterOP1 (Y)</t>
  </si>
  <si>
    <t>EnterOP2 (X)</t>
  </si>
  <si>
    <t>Dint</t>
  </si>
  <si>
    <t>Sint</t>
  </si>
  <si>
    <t xml:space="preserve">    SHR X</t>
  </si>
  <si>
    <t>SHLMeta</t>
  </si>
  <si>
    <t>951/54</t>
  </si>
  <si>
    <t>Y=Divisor</t>
  </si>
  <si>
    <t>Q=Dividend|Quotient</t>
  </si>
  <si>
    <t>Y/X</t>
  </si>
  <si>
    <t>If (Xdp&lt;0) SHR X; XDP++</t>
  </si>
  <si>
    <t>LJ X(1)</t>
  </si>
  <si>
    <t>LJ X(2)</t>
  </si>
  <si>
    <t>LJ X(3)</t>
  </si>
  <si>
    <t>LJ X(4)</t>
  </si>
  <si>
    <t>LJ X(5)</t>
  </si>
  <si>
    <t>LJ X(6)</t>
  </si>
  <si>
    <t>LJ X(7)</t>
  </si>
  <si>
    <t>LJ X(8)</t>
  </si>
  <si>
    <t>Copy XY(1)</t>
  </si>
  <si>
    <t>Copy XY(2)</t>
  </si>
  <si>
    <t>Copy XY(3)</t>
  </si>
  <si>
    <t>Copy XY(4)</t>
  </si>
  <si>
    <t>Copy XY(5)</t>
  </si>
  <si>
    <t>Copy XY(6)</t>
  </si>
  <si>
    <t>Copy XY(7)</t>
  </si>
  <si>
    <t>Copy XY(8)</t>
  </si>
  <si>
    <t>OPAddSub</t>
  </si>
  <si>
    <t>Op</t>
  </si>
  <si>
    <t>If OP=SUB Invert SignY</t>
  </si>
  <si>
    <t>If SignX ExchXY (1)</t>
  </si>
  <si>
    <t>If SignX ExchXY (2)</t>
  </si>
  <si>
    <t>If SignX ExchXY (3)</t>
  </si>
  <si>
    <t>If SignX ExchXY (4)</t>
  </si>
  <si>
    <t>If SignX ExchXY (5)</t>
  </si>
  <si>
    <t>If SignX ExchXY (6)</t>
  </si>
  <si>
    <t>If SignX ExchXY (7)</t>
  </si>
  <si>
    <t>If SignX ExchXY (8)</t>
  </si>
  <si>
    <t>If SignX Exch SignXY</t>
  </si>
  <si>
    <t>+</t>
  </si>
  <si>
    <t>add</t>
  </si>
  <si>
    <t>X+Y</t>
  </si>
  <si>
    <t>X-Y</t>
  </si>
  <si>
    <t>ExchXY</t>
  </si>
  <si>
    <t>if IsNeg InvSignX</t>
  </si>
  <si>
    <t>[ExchXY]</t>
  </si>
  <si>
    <t>CO/X9</t>
  </si>
  <si>
    <t>If SignX=SignY X Add Y(1)</t>
  </si>
  <si>
    <t>If SignX=SignY X Add Y + Co(3)</t>
  </si>
  <si>
    <t>If SignX=SignY X Add Y + Co(2)</t>
  </si>
  <si>
    <t>If SignX=SignY X Add Y + Co(4)</t>
  </si>
  <si>
    <t>If SignX=SignY X Add Y + Co(5)</t>
  </si>
  <si>
    <t>If SignX=SignY X Add Y + Co(6)</t>
  </si>
  <si>
    <t>If SignX=SignY X Add Y + Co(7)</t>
  </si>
  <si>
    <t>If SignX=SignY X Add Y + Co(8)</t>
  </si>
  <si>
    <t>If EAC SHR (X9,X), DP--</t>
  </si>
  <si>
    <t>Copy Xsign Ysign</t>
  </si>
  <si>
    <t>=</t>
  </si>
  <si>
    <t>+/-</t>
  </si>
  <si>
    <t>Sum</t>
  </si>
  <si>
    <t>Difference</t>
  </si>
  <si>
    <t>Addend</t>
  </si>
  <si>
    <t>Minuend</t>
  </si>
  <si>
    <t>Subtrahend</t>
  </si>
  <si>
    <t>X=X+10sComp(Y); Co</t>
  </si>
  <si>
    <t>X=X+10sComp(Y); If EAC PosResut Else NegResut</t>
  </si>
  <si>
    <t>X=10sComp(X); Co</t>
  </si>
  <si>
    <t>DIVLOOP1</t>
  </si>
  <si>
    <t>If X&gt;=0 QL++</t>
  </si>
  <si>
    <t>Add last Y back to X</t>
  </si>
  <si>
    <t>DIVLOOP2</t>
  </si>
  <si>
    <t>DIVLOOP3</t>
  </si>
  <si>
    <t>DIVLOOP4</t>
  </si>
  <si>
    <t>DIVLOOP5</t>
  </si>
  <si>
    <t>DIVLOOP6</t>
  </si>
  <si>
    <t>DIVLOOP7</t>
  </si>
  <si>
    <t>DIVLOOP8</t>
  </si>
  <si>
    <t>SHLX&lt;Q; Q0&lt;QL;QL=0</t>
  </si>
  <si>
    <t>00000000</t>
  </si>
  <si>
    <t>DPAdj  If Dint&lt;0 SHR Y, Dint++;   If Dint&gt;0 SHR X, Dint--, Xdp-- (1)</t>
  </si>
  <si>
    <t>DPAdj  If Dint&lt;0 SHR Y, Dint++;   If Dint&gt;0 SHR X, Dint--, Xdp-- (2)</t>
  </si>
  <si>
    <t>DPAdj  If Dint&lt;0 SHR Y, Dint++;   If Dint&gt;0 SHR X, Dint--, Xdp-- (3)</t>
  </si>
  <si>
    <t>DPAdj  If Dint&lt;0 SHR Y, Dint++;   If Dint&gt;0 SHR X, Dint--, Xdp-- (4)</t>
  </si>
  <si>
    <t>DPAdj  If Dint&lt;0 SHR Y, Dint++;   If Dint&gt;0 SHR X, Dint--, Xdp-- (5)</t>
  </si>
  <si>
    <t>DPAdj  If Dint&lt;0 SHR Y, Dint++;   If Dint&gt;0 SHR X, Dint--, Xdp-- (6)</t>
  </si>
  <si>
    <t>DPAdj  If Dint&lt;0 SHR Y, Dint++;   If Dint&gt;0 SHR X, Dint--, Xdp-- (7)</t>
  </si>
  <si>
    <t>DPAdj  If Dint&lt;0 SHR Y, Dint++;   If Dint&gt;0 SHR X, Dint--, Xdp-- (8)</t>
  </si>
  <si>
    <t>OnesComp(Xdp)</t>
  </si>
  <si>
    <t>If a difference subtracts away the MSD of the second operand a leading 0 results. Bug.</t>
  </si>
  <si>
    <t>-35.6274+127.41928</t>
  </si>
  <si>
    <t>Ones Comp</t>
  </si>
  <si>
    <t xml:space="preserve">    Xdp++</t>
  </si>
  <si>
    <t>If (DP&lt;0) prepend with "0"; XDP++</t>
  </si>
  <si>
    <t>DPFirst</t>
  </si>
  <si>
    <t>Dexp</t>
  </si>
  <si>
    <t>Sexp</t>
  </si>
  <si>
    <t>Load X9&lt;-Xmsd</t>
  </si>
  <si>
    <t>If X9=0 SHL X</t>
  </si>
  <si>
    <t>Exch X&lt;&gt;Y</t>
  </si>
  <si>
    <t>Load X9&lt;-Xmsd    1</t>
  </si>
  <si>
    <t>Load X9&lt;-Xmsd    2</t>
  </si>
  <si>
    <t>Load X9&lt;-Xmsd    3</t>
  </si>
  <si>
    <t>Load X9&lt;-Xmsd    4</t>
  </si>
  <si>
    <t>Load X9&lt;-Xmsd    5</t>
  </si>
  <si>
    <t>Load X9&lt;-Xmsd    6</t>
  </si>
  <si>
    <t>Load X9&lt;-Xmsd    7</t>
  </si>
  <si>
    <t>exp = if (Dpfirst) Then the numbe of leading 0's after DP Else the number of integer digits before DP minus one.</t>
  </si>
  <si>
    <t>IF(L8&lt;1,IFS(L8&gt;=0.1,-1,L8&gt;=0.01,-2,L8&gt;=0.001,-3,L8&gt;=0.0001,-4,L8&gt;=0.00001,-5,L8&gt;=0.000001,-6,L8&gt;=0.0000001,-7),IFS(L8&lt;10,0,L8&lt;100,1,L8&lt;1000,2,L8&lt;10000,3,L8&lt;100000,4,L8&lt;1000000,5,L8&lt;10000000,6,L8&lt;100000000,7))</t>
  </si>
  <si>
    <t>If Xdp&gt;7 SHR X, SHR Y, Xdp-- (1)</t>
  </si>
  <si>
    <t>If Xdp&gt;7 SHR X, SHR Y, Xdp-- (2)</t>
  </si>
  <si>
    <t>If Xdp&gt;7 SHR X, SHR Y, Xdp-- (3)</t>
  </si>
  <si>
    <t>If Xdp&gt;7 SHR X, SHR Y, Xdp-- (4)</t>
  </si>
  <si>
    <t>If Xdp&gt;7 SHR X, SHR Y, Xdp-- (5)</t>
  </si>
  <si>
    <t>If Xdp&gt;7 SHR X, SHR Y, Xdp-- (6)</t>
  </si>
  <si>
    <t>If Xdp&gt;7 SHR X, SHR Y, Xdp-- (7)</t>
  </si>
  <si>
    <t>If Xdp&gt;7 SHR X, SHR Y, Xdp-- (8)</t>
  </si>
  <si>
    <t>DPAdj  If Dint&lt;0 SHR Y, Dint++;   If Dint&gt;0 SHR X, Dint--, Xdp-- (9)</t>
  </si>
  <si>
    <t>DPAdj  If Dint&lt;0 SHR Y, Dint++;   If Dint&gt;0 SHR X, Dint--, Xdp-- (10)</t>
  </si>
  <si>
    <t>DPAdj  If Dint&lt;0 SHR Y, Dint++;   If Dint&gt;0 SHR X, Dint--, Xdp-- (11)</t>
  </si>
  <si>
    <t>DPAdj  If Dint&lt;0 SHR Y, Dint++;   If Dint&gt;0 SHR X, Dint--, Xdp-- (12)</t>
  </si>
  <si>
    <t>DPAdj  If Dint&lt;0 SHR Y, Dint++;   If Dint&gt;0 SHR X, Dint--, Xdp-- (13)</t>
  </si>
  <si>
    <t>DPAdj  If Dint&lt;0 SHR Y, Dint++;   If Dint&gt;0 SHR X, Dint--, Xdp-- (14)</t>
  </si>
  <si>
    <t>DPAdj  If Dint&lt;0 SHR Y, Dint++;   If Dint&gt;0 SHR X, Dint--, Xdp-- (15)</t>
  </si>
  <si>
    <t>DPAdj  If Dint&lt;0 SHR Y, Dint++;   If Dint&gt;0 SHR X, Dint--, Xdp-- (16)</t>
  </si>
  <si>
    <t>ones complement</t>
  </si>
  <si>
    <t>If X9=0 SHL X; Xdp++</t>
  </si>
  <si>
    <t>How about using the Dint to restore the leading zeros in Yreg.  Then just add and DP is already in place.</t>
  </si>
  <si>
    <t>SHLMeta; SHLMeta</t>
  </si>
  <si>
    <t>Count the zeros after Dpfirst in QL (this becomes global OP entry code)</t>
  </si>
  <si>
    <t>If QL&gt;0   QL--; Xdig--</t>
  </si>
  <si>
    <t>If Xdig&gt;0   SHL X&lt;Q; Xdig--</t>
  </si>
  <si>
    <t>Else</t>
  </si>
  <si>
    <t>decr away the inserted leading 0</t>
  </si>
  <si>
    <t>for each leading 0 (QL) decr Xdig</t>
  </si>
  <si>
    <t>build partial dividend with xdig number of Qreg digits</t>
  </si>
  <si>
    <t>If one more Qreg digits is needed then Xdp--</t>
  </si>
  <si>
    <t>(until QL is 0 decrement Xdig)</t>
  </si>
  <si>
    <t xml:space="preserve">If X&lt;0 Then   X=X+Y </t>
  </si>
  <si>
    <t>SHL X&lt;Q; Xdp--</t>
  </si>
  <si>
    <t>must restore X one way or the other</t>
  </si>
  <si>
    <t>If DPFirst   Xdig--</t>
  </si>
  <si>
    <t>If Xmsd&lt;&gt;0   SHR X; SHR Y</t>
  </si>
  <si>
    <t xml:space="preserve">If DP is negative then dp is really at 0 and we count it up to zero adding leading zeros to from the fractional answer.  </t>
  </si>
  <si>
    <t>But if the numbers were all bigger than 1 and DP is 8+ then it is an overflow.</t>
  </si>
  <si>
    <t>If (DP&lt;0) DPFirst=1</t>
  </si>
  <si>
    <t>SUB</t>
  </si>
  <si>
    <r>
      <t xml:space="preserve">Avoid overflow on SHL </t>
    </r>
    <r>
      <rPr>
        <sz val="11"/>
        <color rgb="FFFF0000"/>
        <rFont val="Calibri"/>
        <family val="2"/>
        <scheme val="minor"/>
      </rPr>
      <t>(full divisor issue)</t>
    </r>
  </si>
  <si>
    <t>X9 &gt; SHR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</si>
</sst>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C0D0E"/>
      <name val="Calibri"/>
      <family val="2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0" xfId="0" quotePrefix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0" fillId="0" borderId="0" xfId="0" applyNumberFormat="1"/>
    <xf numFmtId="0" fontId="1" fillId="3" borderId="0" xfId="0" applyFont="1" applyFill="1"/>
    <xf numFmtId="165" fontId="0" fillId="0" borderId="3" xfId="0" applyNumberFormat="1" applyBorder="1"/>
    <xf numFmtId="165" fontId="0" fillId="0" borderId="1" xfId="0" applyNumberFormat="1" applyBorder="1"/>
    <xf numFmtId="0" fontId="0" fillId="4" borderId="0" xfId="0" applyFill="1"/>
    <xf numFmtId="0" fontId="0" fillId="4" borderId="3" xfId="0" applyFill="1" applyBorder="1"/>
    <xf numFmtId="165" fontId="0" fillId="4" borderId="0" xfId="0" applyNumberFormat="1" applyFill="1"/>
    <xf numFmtId="0" fontId="0" fillId="5" borderId="0" xfId="0" applyFill="1"/>
    <xf numFmtId="0" fontId="2" fillId="0" borderId="0" xfId="0" applyFont="1"/>
    <xf numFmtId="0" fontId="0" fillId="6" borderId="0" xfId="0" applyFill="1"/>
    <xf numFmtId="165" fontId="1" fillId="0" borderId="0" xfId="0" applyNumberFormat="1" applyFont="1"/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4" borderId="10" xfId="0" applyFill="1" applyBorder="1" applyAlignment="1">
      <alignment horizontal="center"/>
    </xf>
    <xf numFmtId="0" fontId="0" fillId="0" borderId="11" xfId="0" applyBorder="1"/>
    <xf numFmtId="0" fontId="1" fillId="0" borderId="0" xfId="0" applyFont="1" applyAlignment="1">
      <alignment horizontal="center"/>
    </xf>
    <xf numFmtId="0" fontId="0" fillId="0" borderId="12" xfId="0" applyBorder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1" fillId="4" borderId="0" xfId="0" applyFont="1" applyFill="1"/>
    <xf numFmtId="0" fontId="1" fillId="5" borderId="0" xfId="0" applyFont="1" applyFill="1"/>
    <xf numFmtId="0" fontId="1" fillId="0" borderId="0" xfId="0" quotePrefix="1" applyFont="1" applyAlignment="1">
      <alignment horizontal="center"/>
    </xf>
    <xf numFmtId="0" fontId="0" fillId="8" borderId="0" xfId="0" applyFill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  <xf numFmtId="0" fontId="0" fillId="3" borderId="0" xfId="0" quotePrefix="1" applyFill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/>
    <xf numFmtId="0" fontId="1" fillId="3" borderId="0" xfId="0" applyFont="1" applyFill="1" applyAlignment="1">
      <alignment horizontal="right"/>
    </xf>
    <xf numFmtId="0" fontId="0" fillId="4" borderId="0" xfId="0" quotePrefix="1" applyFill="1" applyAlignment="1">
      <alignment horizontal="right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165" fontId="0" fillId="4" borderId="0" xfId="0" applyNumberFormat="1" applyFill="1" applyAlignment="1">
      <alignment horizontal="right"/>
    </xf>
    <xf numFmtId="165" fontId="0" fillId="0" borderId="0" xfId="0" applyNumberFormat="1" applyAlignment="1">
      <alignment horizontal="right"/>
    </xf>
    <xf numFmtId="165" fontId="0" fillId="7" borderId="0" xfId="0" applyNumberFormat="1" applyFill="1" applyAlignment="1">
      <alignment horizontal="right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37F7-C031-4DE2-BC39-4251D4C540A3}">
  <sheetPr>
    <tabColor rgb="FF92D050"/>
  </sheetPr>
  <dimension ref="A1:T141"/>
  <sheetViews>
    <sheetView topLeftCell="A124" workbookViewId="0">
      <selection activeCell="A126" sqref="A126"/>
    </sheetView>
  </sheetViews>
  <sheetFormatPr defaultRowHeight="14.4" x14ac:dyDescent="0.3"/>
  <cols>
    <col min="1" max="1" width="55.21875" customWidth="1"/>
    <col min="2" max="2" width="4.88671875" customWidth="1"/>
    <col min="3" max="3" width="6" customWidth="1"/>
    <col min="4" max="4" width="4" style="27" customWidth="1"/>
    <col min="5" max="5" width="10" customWidth="1"/>
    <col min="6" max="6" width="4" style="27" customWidth="1"/>
    <col min="8" max="8" width="4.88671875" customWidth="1"/>
    <col min="9" max="9" width="4.77734375" customWidth="1"/>
    <col min="10" max="10" width="4.6640625" customWidth="1"/>
    <col min="11" max="11" width="4.33203125" customWidth="1"/>
    <col min="12" max="12" width="6.21875" customWidth="1"/>
  </cols>
  <sheetData>
    <row r="1" spans="1:18" x14ac:dyDescent="0.3">
      <c r="B1" s="5" t="s">
        <v>57</v>
      </c>
      <c r="C1" s="5" t="s">
        <v>75</v>
      </c>
      <c r="D1" s="26" t="s">
        <v>12</v>
      </c>
      <c r="E1" s="5" t="s">
        <v>8</v>
      </c>
      <c r="F1" s="26" t="s">
        <v>13</v>
      </c>
      <c r="G1" s="5" t="s">
        <v>9</v>
      </c>
      <c r="H1" s="5" t="s">
        <v>6</v>
      </c>
      <c r="I1" s="22" t="s">
        <v>18</v>
      </c>
      <c r="J1" s="5" t="s">
        <v>31</v>
      </c>
      <c r="K1" s="5" t="s">
        <v>32</v>
      </c>
      <c r="L1" s="43" t="s">
        <v>122</v>
      </c>
      <c r="N1" t="s">
        <v>0</v>
      </c>
      <c r="O1" s="36" t="s">
        <v>86</v>
      </c>
      <c r="P1" t="s">
        <v>0</v>
      </c>
      <c r="Q1" s="35" t="s">
        <v>87</v>
      </c>
      <c r="R1" t="s">
        <v>1</v>
      </c>
    </row>
    <row r="2" spans="1:18" x14ac:dyDescent="0.3">
      <c r="A2" s="3" t="s">
        <v>29</v>
      </c>
      <c r="B2" s="3"/>
      <c r="C2" s="3"/>
      <c r="D2" s="33">
        <v>0</v>
      </c>
      <c r="E2" s="3">
        <v>945</v>
      </c>
      <c r="I2" s="17">
        <f>(IF(ISNUMBER(FIND(".",E2)),LEN(E2)-FIND(".",E2),0))</f>
        <v>0</v>
      </c>
      <c r="J2" s="17" cm="1">
        <f t="array" ref="J2">IF(E2&lt;1,_xlfn.IFS(E2&gt;=0.1,-1,E2&gt;=0.01,-2,E2&gt;=0.001,-3,E2&gt;=0.0001,-4,E2&gt;=0.00001,-5,E2&gt;=0.000001,-6,E2&gt;=0.0000001,-7),_xlfn.IFS(E2&lt;10,0,E2&lt;100,1,E2&lt;1000,2,E2&lt;10000,3,E2&lt;100000,4,E2&lt;1000000,5,E2&lt;10000000,6,E2&lt;100000000,7))</f>
        <v>2</v>
      </c>
      <c r="K2" s="17" cm="1">
        <f t="array" ref="K2">IF(E2&lt;1,_xlfn.IFS(E2&gt;=0.1,-1,E2&gt;=0.01,-2,E2&gt;=0.001,-3,E2&gt;=0.0001,-4,E2&gt;=0.00001,-5,E2&gt;=0.000001,-6,E2&gt;=0.0000001,-7),_xlfn.IFS(E2&lt;10,0,E2&lt;100,1,E2&lt;1000,2,E2&lt;10000,3,E2&lt;100000,4,E2&lt;1000000,5,E2&lt;10000000,6,E2&lt;100000000,7))</f>
        <v>2</v>
      </c>
      <c r="L2" s="17">
        <f>IF(LEFT(E2,2)="0.",1,0)</f>
        <v>0</v>
      </c>
      <c r="N2" t="s">
        <v>88</v>
      </c>
      <c r="O2" s="36" t="s">
        <v>86</v>
      </c>
      <c r="P2" t="s">
        <v>90</v>
      </c>
      <c r="Q2" s="35" t="s">
        <v>68</v>
      </c>
      <c r="R2" t="s">
        <v>90</v>
      </c>
    </row>
    <row r="3" spans="1:18" x14ac:dyDescent="0.3">
      <c r="A3" s="3"/>
      <c r="B3" s="3"/>
      <c r="C3" s="3"/>
      <c r="D3" s="28">
        <f>D2</f>
        <v>0</v>
      </c>
      <c r="E3" s="24" t="str">
        <f>SUBSTITUTE(ABS(E2),".","")</f>
        <v>945</v>
      </c>
      <c r="H3" s="17">
        <f>LEN(E3)</f>
        <v>3</v>
      </c>
      <c r="I3">
        <f t="shared" ref="I3:K4" si="0">I2</f>
        <v>0</v>
      </c>
      <c r="J3">
        <f t="shared" si="0"/>
        <v>2</v>
      </c>
      <c r="K3">
        <f t="shared" si="0"/>
        <v>2</v>
      </c>
      <c r="L3">
        <f>L2</f>
        <v>0</v>
      </c>
      <c r="N3" t="s">
        <v>89</v>
      </c>
      <c r="O3" s="36" t="s">
        <v>86</v>
      </c>
      <c r="P3" t="s">
        <v>91</v>
      </c>
      <c r="Q3" s="35" t="s">
        <v>2</v>
      </c>
      <c r="R3" t="s">
        <v>92</v>
      </c>
    </row>
    <row r="4" spans="1:18" x14ac:dyDescent="0.3">
      <c r="A4" s="3" t="s">
        <v>7</v>
      </c>
      <c r="B4" s="3"/>
      <c r="C4" s="3"/>
      <c r="D4" s="27">
        <f>D3</f>
        <v>0</v>
      </c>
      <c r="E4" s="24" t="str">
        <f>E3</f>
        <v>945</v>
      </c>
      <c r="H4">
        <f>H3</f>
        <v>3</v>
      </c>
      <c r="I4">
        <f t="shared" si="0"/>
        <v>0</v>
      </c>
      <c r="J4">
        <f t="shared" si="0"/>
        <v>2</v>
      </c>
      <c r="K4">
        <f t="shared" si="0"/>
        <v>2</v>
      </c>
      <c r="L4">
        <f>L3</f>
        <v>0</v>
      </c>
    </row>
    <row r="5" spans="1:18" x14ac:dyDescent="0.3">
      <c r="B5" s="3"/>
      <c r="C5" s="3"/>
      <c r="D5" s="27">
        <f>D4</f>
        <v>0</v>
      </c>
      <c r="E5" s="24" t="str">
        <f>E4</f>
        <v>945</v>
      </c>
      <c r="H5">
        <f>H4</f>
        <v>3</v>
      </c>
      <c r="I5">
        <f>I4</f>
        <v>0</v>
      </c>
      <c r="J5">
        <f>J4</f>
        <v>2</v>
      </c>
      <c r="K5">
        <f>K4</f>
        <v>2</v>
      </c>
      <c r="L5">
        <f>L4</f>
        <v>0</v>
      </c>
    </row>
    <row r="6" spans="1:18" x14ac:dyDescent="0.3">
      <c r="A6" t="s">
        <v>40</v>
      </c>
      <c r="D6" s="27">
        <f>D5</f>
        <v>0</v>
      </c>
      <c r="E6" s="25" t="str">
        <f>IF(H5&lt;8,E5&amp;"0",E5)</f>
        <v>9450</v>
      </c>
      <c r="H6" s="17">
        <f>IF(H4&lt;8,H4+1,H4)</f>
        <v>4</v>
      </c>
      <c r="I6" s="17">
        <f>IF(H4&lt;8,I4+1,I4)</f>
        <v>1</v>
      </c>
      <c r="J6">
        <f>J5</f>
        <v>2</v>
      </c>
      <c r="K6">
        <f>K5</f>
        <v>2</v>
      </c>
      <c r="L6">
        <f>L5</f>
        <v>0</v>
      </c>
    </row>
    <row r="7" spans="1:18" x14ac:dyDescent="0.3">
      <c r="A7" t="s">
        <v>41</v>
      </c>
      <c r="D7" s="27">
        <f t="shared" ref="D7:D22" si="1">D6</f>
        <v>0</v>
      </c>
      <c r="E7" s="25" t="str">
        <f t="shared" ref="E7:E13" si="2">IF(H6&lt;8,E6&amp;"0",E6)</f>
        <v>94500</v>
      </c>
      <c r="H7" s="17">
        <f t="shared" ref="H7:H13" si="3">IF(H6&lt;8,H6+1,H6)</f>
        <v>5</v>
      </c>
      <c r="I7" s="17">
        <f t="shared" ref="I7:I13" si="4">IF(H6&lt;8,I6+1,I6)</f>
        <v>2</v>
      </c>
      <c r="J7">
        <f t="shared" ref="J7:K13" si="5">J6</f>
        <v>2</v>
      </c>
      <c r="K7">
        <f t="shared" si="5"/>
        <v>2</v>
      </c>
      <c r="L7">
        <f>L6</f>
        <v>0</v>
      </c>
    </row>
    <row r="8" spans="1:18" x14ac:dyDescent="0.3">
      <c r="A8" t="s">
        <v>42</v>
      </c>
      <c r="D8" s="27">
        <f t="shared" si="1"/>
        <v>0</v>
      </c>
      <c r="E8" s="25" t="str">
        <f t="shared" si="2"/>
        <v>945000</v>
      </c>
      <c r="H8" s="17">
        <f t="shared" si="3"/>
        <v>6</v>
      </c>
      <c r="I8" s="17">
        <f t="shared" si="4"/>
        <v>3</v>
      </c>
      <c r="J8">
        <f t="shared" si="5"/>
        <v>2</v>
      </c>
      <c r="K8">
        <f t="shared" si="5"/>
        <v>2</v>
      </c>
    </row>
    <row r="9" spans="1:18" x14ac:dyDescent="0.3">
      <c r="A9" t="s">
        <v>43</v>
      </c>
      <c r="D9" s="27">
        <f t="shared" si="1"/>
        <v>0</v>
      </c>
      <c r="E9" s="25" t="str">
        <f t="shared" si="2"/>
        <v>9450000</v>
      </c>
      <c r="H9" s="17">
        <f t="shared" si="3"/>
        <v>7</v>
      </c>
      <c r="I9" s="17">
        <f t="shared" si="4"/>
        <v>4</v>
      </c>
      <c r="J9">
        <f t="shared" si="5"/>
        <v>2</v>
      </c>
      <c r="K9">
        <f t="shared" si="5"/>
        <v>2</v>
      </c>
    </row>
    <row r="10" spans="1:18" x14ac:dyDescent="0.3">
      <c r="A10" t="s">
        <v>44</v>
      </c>
      <c r="D10" s="27">
        <f t="shared" si="1"/>
        <v>0</v>
      </c>
      <c r="E10" s="25" t="str">
        <f t="shared" si="2"/>
        <v>94500000</v>
      </c>
      <c r="H10" s="17">
        <f t="shared" si="3"/>
        <v>8</v>
      </c>
      <c r="I10" s="17">
        <f t="shared" si="4"/>
        <v>5</v>
      </c>
      <c r="J10">
        <f t="shared" si="5"/>
        <v>2</v>
      </c>
      <c r="K10">
        <f t="shared" si="5"/>
        <v>2</v>
      </c>
    </row>
    <row r="11" spans="1:18" x14ac:dyDescent="0.3">
      <c r="A11" t="s">
        <v>45</v>
      </c>
      <c r="D11" s="27">
        <f t="shared" si="1"/>
        <v>0</v>
      </c>
      <c r="E11" s="25" t="str">
        <f t="shared" si="2"/>
        <v>94500000</v>
      </c>
      <c r="H11" s="17">
        <f t="shared" si="3"/>
        <v>8</v>
      </c>
      <c r="I11" s="17">
        <f t="shared" si="4"/>
        <v>5</v>
      </c>
      <c r="J11">
        <f t="shared" si="5"/>
        <v>2</v>
      </c>
      <c r="K11">
        <f t="shared" si="5"/>
        <v>2</v>
      </c>
    </row>
    <row r="12" spans="1:18" x14ac:dyDescent="0.3">
      <c r="A12" t="s">
        <v>46</v>
      </c>
      <c r="D12" s="27">
        <f t="shared" si="1"/>
        <v>0</v>
      </c>
      <c r="E12" s="25" t="str">
        <f t="shared" si="2"/>
        <v>94500000</v>
      </c>
      <c r="H12" s="17">
        <f t="shared" si="3"/>
        <v>8</v>
      </c>
      <c r="I12" s="17">
        <f t="shared" si="4"/>
        <v>5</v>
      </c>
      <c r="J12">
        <f t="shared" si="5"/>
        <v>2</v>
      </c>
      <c r="K12">
        <f t="shared" si="5"/>
        <v>2</v>
      </c>
    </row>
    <row r="13" spans="1:18" x14ac:dyDescent="0.3">
      <c r="A13" t="s">
        <v>47</v>
      </c>
      <c r="D13" s="27">
        <f t="shared" si="1"/>
        <v>0</v>
      </c>
      <c r="E13" s="25" t="str">
        <f t="shared" si="2"/>
        <v>94500000</v>
      </c>
      <c r="H13" s="17">
        <f t="shared" si="3"/>
        <v>8</v>
      </c>
      <c r="I13" s="17">
        <f t="shared" si="4"/>
        <v>5</v>
      </c>
      <c r="J13">
        <f t="shared" si="5"/>
        <v>2</v>
      </c>
      <c r="K13">
        <f t="shared" si="5"/>
        <v>2</v>
      </c>
    </row>
    <row r="14" spans="1:18" x14ac:dyDescent="0.3">
      <c r="A14" t="s">
        <v>48</v>
      </c>
      <c r="D14" s="27">
        <f>D13</f>
        <v>0</v>
      </c>
      <c r="E14" s="17" t="str">
        <f>RIGHT(E13,1)&amp;LEFT(E13,7)</f>
        <v>09450000</v>
      </c>
      <c r="G14" s="17" t="str">
        <f>RIGHT(E13,1)&amp;LEFT(G13,7)</f>
        <v>0</v>
      </c>
      <c r="H14">
        <f>H13</f>
        <v>8</v>
      </c>
      <c r="I14">
        <f>I13</f>
        <v>5</v>
      </c>
      <c r="J14">
        <f>J13</f>
        <v>2</v>
      </c>
      <c r="K14">
        <f>K13</f>
        <v>2</v>
      </c>
    </row>
    <row r="15" spans="1:18" x14ac:dyDescent="0.3">
      <c r="A15" t="s">
        <v>49</v>
      </c>
      <c r="D15" s="27">
        <f t="shared" si="1"/>
        <v>0</v>
      </c>
      <c r="E15" s="17" t="str">
        <f>RIGHT(E14,1)&amp;LEFT(E14,7)</f>
        <v>00945000</v>
      </c>
      <c r="G15" s="17" t="str">
        <f>RIGHT(E14,1)&amp;LEFT(G14,7)</f>
        <v>00</v>
      </c>
      <c r="H15">
        <f t="shared" ref="H15:K21" si="6">H14</f>
        <v>8</v>
      </c>
      <c r="I15">
        <f t="shared" si="6"/>
        <v>5</v>
      </c>
      <c r="J15">
        <f t="shared" si="6"/>
        <v>2</v>
      </c>
      <c r="K15">
        <f t="shared" si="6"/>
        <v>2</v>
      </c>
    </row>
    <row r="16" spans="1:18" x14ac:dyDescent="0.3">
      <c r="A16" t="s">
        <v>50</v>
      </c>
      <c r="D16" s="27">
        <f t="shared" si="1"/>
        <v>0</v>
      </c>
      <c r="E16" s="17" t="str">
        <f t="shared" ref="E16:E21" si="7">RIGHT(E15,1)&amp;LEFT(E15,7)</f>
        <v>00094500</v>
      </c>
      <c r="G16" s="17" t="str">
        <f t="shared" ref="G16:G21" si="8">RIGHT(E15,1)&amp;LEFT(G15,7)</f>
        <v>000</v>
      </c>
      <c r="H16">
        <f t="shared" si="6"/>
        <v>8</v>
      </c>
      <c r="I16">
        <f t="shared" si="6"/>
        <v>5</v>
      </c>
      <c r="J16">
        <f t="shared" si="6"/>
        <v>2</v>
      </c>
      <c r="K16">
        <f t="shared" si="6"/>
        <v>2</v>
      </c>
    </row>
    <row r="17" spans="1:20" x14ac:dyDescent="0.3">
      <c r="A17" t="s">
        <v>51</v>
      </c>
      <c r="D17" s="27">
        <f t="shared" si="1"/>
        <v>0</v>
      </c>
      <c r="E17" s="17" t="str">
        <f t="shared" si="7"/>
        <v>00009450</v>
      </c>
      <c r="G17" s="17" t="str">
        <f t="shared" si="8"/>
        <v>0000</v>
      </c>
      <c r="H17">
        <f t="shared" si="6"/>
        <v>8</v>
      </c>
      <c r="I17">
        <f t="shared" si="6"/>
        <v>5</v>
      </c>
      <c r="J17">
        <f t="shared" si="6"/>
        <v>2</v>
      </c>
      <c r="K17">
        <f t="shared" si="6"/>
        <v>2</v>
      </c>
    </row>
    <row r="18" spans="1:20" x14ac:dyDescent="0.3">
      <c r="A18" t="s">
        <v>52</v>
      </c>
      <c r="D18" s="27">
        <f t="shared" si="1"/>
        <v>0</v>
      </c>
      <c r="E18" s="17" t="str">
        <f t="shared" si="7"/>
        <v>00000945</v>
      </c>
      <c r="G18" s="17" t="str">
        <f t="shared" si="8"/>
        <v>00000</v>
      </c>
      <c r="H18">
        <f t="shared" si="6"/>
        <v>8</v>
      </c>
      <c r="I18">
        <f t="shared" si="6"/>
        <v>5</v>
      </c>
      <c r="J18">
        <f t="shared" si="6"/>
        <v>2</v>
      </c>
      <c r="K18">
        <f t="shared" si="6"/>
        <v>2</v>
      </c>
    </row>
    <row r="19" spans="1:20" x14ac:dyDescent="0.3">
      <c r="A19" t="s">
        <v>53</v>
      </c>
      <c r="D19" s="27">
        <f t="shared" si="1"/>
        <v>0</v>
      </c>
      <c r="E19" s="17" t="str">
        <f t="shared" si="7"/>
        <v>50000094</v>
      </c>
      <c r="G19" s="17" t="str">
        <f t="shared" si="8"/>
        <v>500000</v>
      </c>
      <c r="H19">
        <f t="shared" si="6"/>
        <v>8</v>
      </c>
      <c r="I19">
        <f t="shared" si="6"/>
        <v>5</v>
      </c>
      <c r="J19">
        <f t="shared" si="6"/>
        <v>2</v>
      </c>
      <c r="K19">
        <f t="shared" si="6"/>
        <v>2</v>
      </c>
    </row>
    <row r="20" spans="1:20" x14ac:dyDescent="0.3">
      <c r="A20" t="s">
        <v>54</v>
      </c>
      <c r="D20" s="27">
        <f t="shared" si="1"/>
        <v>0</v>
      </c>
      <c r="E20" s="17" t="str">
        <f t="shared" si="7"/>
        <v>45000009</v>
      </c>
      <c r="G20" s="17" t="str">
        <f t="shared" si="8"/>
        <v>4500000</v>
      </c>
      <c r="H20">
        <f t="shared" si="6"/>
        <v>8</v>
      </c>
      <c r="I20">
        <f t="shared" si="6"/>
        <v>5</v>
      </c>
      <c r="J20">
        <f t="shared" si="6"/>
        <v>2</v>
      </c>
      <c r="K20">
        <f t="shared" si="6"/>
        <v>2</v>
      </c>
    </row>
    <row r="21" spans="1:20" x14ac:dyDescent="0.3">
      <c r="A21" t="s">
        <v>55</v>
      </c>
      <c r="D21" s="27">
        <f t="shared" si="1"/>
        <v>0</v>
      </c>
      <c r="E21" s="17" t="str">
        <f t="shared" si="7"/>
        <v>94500000</v>
      </c>
      <c r="G21" s="17" t="str">
        <f t="shared" si="8"/>
        <v>94500000</v>
      </c>
      <c r="H21">
        <f t="shared" si="6"/>
        <v>8</v>
      </c>
      <c r="I21">
        <f t="shared" si="6"/>
        <v>5</v>
      </c>
      <c r="J21">
        <f t="shared" si="6"/>
        <v>2</v>
      </c>
      <c r="K21">
        <f t="shared" si="6"/>
        <v>2</v>
      </c>
    </row>
    <row r="22" spans="1:20" x14ac:dyDescent="0.3">
      <c r="A22" t="s">
        <v>85</v>
      </c>
      <c r="D22" s="27">
        <f t="shared" si="1"/>
        <v>0</v>
      </c>
      <c r="E22" t="str">
        <f>E21</f>
        <v>94500000</v>
      </c>
      <c r="F22" s="28">
        <f>D21</f>
        <v>0</v>
      </c>
      <c r="G22" t="str">
        <f t="shared" ref="G22:K23" si="9">G21</f>
        <v>94500000</v>
      </c>
      <c r="H22">
        <f t="shared" si="9"/>
        <v>8</v>
      </c>
      <c r="I22">
        <f t="shared" si="9"/>
        <v>5</v>
      </c>
      <c r="J22">
        <f t="shared" si="9"/>
        <v>2</v>
      </c>
      <c r="K22">
        <f t="shared" si="9"/>
        <v>2</v>
      </c>
    </row>
    <row r="23" spans="1:20" x14ac:dyDescent="0.3">
      <c r="A23" t="s">
        <v>128</v>
      </c>
      <c r="C23" s="27">
        <f>LEFT(E22,1)*1</f>
        <v>9</v>
      </c>
      <c r="D23" s="27">
        <f>D22</f>
        <v>0</v>
      </c>
      <c r="E23" t="str">
        <f>E22</f>
        <v>94500000</v>
      </c>
      <c r="F23" s="27">
        <f>F22</f>
        <v>0</v>
      </c>
      <c r="G23" t="str">
        <f t="shared" si="9"/>
        <v>94500000</v>
      </c>
      <c r="H23">
        <f t="shared" si="9"/>
        <v>8</v>
      </c>
      <c r="I23">
        <f t="shared" si="9"/>
        <v>5</v>
      </c>
      <c r="J23">
        <f t="shared" si="9"/>
        <v>2</v>
      </c>
      <c r="K23">
        <f t="shared" si="9"/>
        <v>2</v>
      </c>
    </row>
    <row r="24" spans="1:20" x14ac:dyDescent="0.3">
      <c r="A24" t="s">
        <v>126</v>
      </c>
      <c r="C24" s="27">
        <f>C23</f>
        <v>9</v>
      </c>
      <c r="D24" s="27">
        <f t="shared" ref="D24:D37" si="10">D23</f>
        <v>0</v>
      </c>
      <c r="E24" t="str">
        <f>IF(C23=0,RIGHT(E23,7)&amp;"0",E23)</f>
        <v>94500000</v>
      </c>
      <c r="F24" s="27">
        <f t="shared" ref="F24:F37" si="11">F23</f>
        <v>0</v>
      </c>
      <c r="G24" t="str">
        <f t="shared" ref="G24:G36" si="12">G23</f>
        <v>94500000</v>
      </c>
      <c r="H24">
        <f t="shared" ref="H24:H36" si="13">H23</f>
        <v>8</v>
      </c>
      <c r="I24">
        <f t="shared" ref="I24:I36" si="14">I23</f>
        <v>5</v>
      </c>
      <c r="J24">
        <f t="shared" ref="J24:J36" si="15">J23</f>
        <v>2</v>
      </c>
      <c r="K24">
        <f t="shared" ref="K24:K36" si="16">K23</f>
        <v>2</v>
      </c>
    </row>
    <row r="25" spans="1:20" x14ac:dyDescent="0.3">
      <c r="A25" t="s">
        <v>129</v>
      </c>
      <c r="C25" s="27">
        <f>LEFT(E24,1)*1</f>
        <v>9</v>
      </c>
      <c r="D25" s="27">
        <f t="shared" si="10"/>
        <v>0</v>
      </c>
      <c r="E25" t="str">
        <f>E24</f>
        <v>94500000</v>
      </c>
      <c r="F25" s="27">
        <f t="shared" si="11"/>
        <v>0</v>
      </c>
      <c r="G25" t="str">
        <f t="shared" si="12"/>
        <v>94500000</v>
      </c>
      <c r="H25">
        <f t="shared" si="13"/>
        <v>8</v>
      </c>
      <c r="I25">
        <f t="shared" si="14"/>
        <v>5</v>
      </c>
      <c r="J25">
        <f t="shared" si="15"/>
        <v>2</v>
      </c>
      <c r="K25">
        <f t="shared" si="16"/>
        <v>2</v>
      </c>
      <c r="O25" t="s">
        <v>0</v>
      </c>
      <c r="P25" t="s">
        <v>1</v>
      </c>
    </row>
    <row r="26" spans="1:20" x14ac:dyDescent="0.3">
      <c r="A26" t="s">
        <v>126</v>
      </c>
      <c r="C26" s="27">
        <f>C25</f>
        <v>9</v>
      </c>
      <c r="D26" s="27">
        <f t="shared" si="10"/>
        <v>0</v>
      </c>
      <c r="E26" t="str">
        <f>IF(C25=0,RIGHT(E25,7)&amp;"0",E25)</f>
        <v>94500000</v>
      </c>
      <c r="F26" s="27">
        <f t="shared" si="11"/>
        <v>0</v>
      </c>
      <c r="G26" t="str">
        <f t="shared" si="12"/>
        <v>94500000</v>
      </c>
      <c r="H26">
        <f t="shared" si="13"/>
        <v>8</v>
      </c>
      <c r="I26">
        <f t="shared" si="14"/>
        <v>5</v>
      </c>
      <c r="J26">
        <f t="shared" si="15"/>
        <v>2</v>
      </c>
      <c r="K26">
        <f t="shared" si="16"/>
        <v>2</v>
      </c>
      <c r="O26" s="2" t="s">
        <v>68</v>
      </c>
      <c r="P26" s="2" t="s">
        <v>68</v>
      </c>
      <c r="Q26" t="s">
        <v>69</v>
      </c>
      <c r="R26" t="s">
        <v>70</v>
      </c>
    </row>
    <row r="27" spans="1:20" x14ac:dyDescent="0.3">
      <c r="A27" t="s">
        <v>130</v>
      </c>
      <c r="C27" s="27">
        <f>LEFT(E26,1)*1</f>
        <v>9</v>
      </c>
      <c r="D27" s="27">
        <f t="shared" si="10"/>
        <v>0</v>
      </c>
      <c r="E27" t="str">
        <f>E26</f>
        <v>94500000</v>
      </c>
      <c r="F27" s="27">
        <f t="shared" si="11"/>
        <v>0</v>
      </c>
      <c r="G27" t="str">
        <f t="shared" si="12"/>
        <v>94500000</v>
      </c>
      <c r="H27">
        <f t="shared" si="13"/>
        <v>8</v>
      </c>
      <c r="I27">
        <f t="shared" si="14"/>
        <v>5</v>
      </c>
      <c r="J27">
        <f t="shared" si="15"/>
        <v>2</v>
      </c>
      <c r="K27">
        <f t="shared" si="16"/>
        <v>2</v>
      </c>
      <c r="O27" s="2" t="s">
        <v>68</v>
      </c>
      <c r="P27" s="2" t="s">
        <v>2</v>
      </c>
      <c r="Q27" t="s">
        <v>69</v>
      </c>
      <c r="R27" t="s">
        <v>71</v>
      </c>
      <c r="S27" t="s">
        <v>73</v>
      </c>
    </row>
    <row r="28" spans="1:20" x14ac:dyDescent="0.3">
      <c r="A28" t="s">
        <v>126</v>
      </c>
      <c r="C28" s="27">
        <f>C27</f>
        <v>9</v>
      </c>
      <c r="D28" s="27">
        <f t="shared" si="10"/>
        <v>0</v>
      </c>
      <c r="E28" t="str">
        <f>IF(C27=0,RIGHT(E27,7)&amp;"0",E27)</f>
        <v>94500000</v>
      </c>
      <c r="F28" s="27">
        <f t="shared" si="11"/>
        <v>0</v>
      </c>
      <c r="G28" t="str">
        <f t="shared" si="12"/>
        <v>94500000</v>
      </c>
      <c r="H28">
        <f t="shared" si="13"/>
        <v>8</v>
      </c>
      <c r="I28">
        <f t="shared" si="14"/>
        <v>5</v>
      </c>
      <c r="J28">
        <f t="shared" si="15"/>
        <v>2</v>
      </c>
      <c r="K28">
        <f t="shared" si="16"/>
        <v>2</v>
      </c>
      <c r="O28" s="2" t="s">
        <v>2</v>
      </c>
      <c r="P28" s="2" t="s">
        <v>68</v>
      </c>
      <c r="Q28" t="s">
        <v>69</v>
      </c>
      <c r="R28" t="s">
        <v>72</v>
      </c>
      <c r="S28" t="s">
        <v>71</v>
      </c>
      <c r="T28" t="s">
        <v>73</v>
      </c>
    </row>
    <row r="29" spans="1:20" x14ac:dyDescent="0.3">
      <c r="A29" t="s">
        <v>131</v>
      </c>
      <c r="C29" s="27">
        <f>LEFT(E28,1)*1</f>
        <v>9</v>
      </c>
      <c r="D29" s="27">
        <f t="shared" si="10"/>
        <v>0</v>
      </c>
      <c r="E29" t="str">
        <f>E28</f>
        <v>94500000</v>
      </c>
      <c r="F29" s="27">
        <f t="shared" si="11"/>
        <v>0</v>
      </c>
      <c r="G29" t="str">
        <f t="shared" si="12"/>
        <v>94500000</v>
      </c>
      <c r="H29">
        <f t="shared" si="13"/>
        <v>8</v>
      </c>
      <c r="I29">
        <f t="shared" si="14"/>
        <v>5</v>
      </c>
      <c r="J29">
        <f t="shared" si="15"/>
        <v>2</v>
      </c>
      <c r="K29">
        <f t="shared" si="16"/>
        <v>2</v>
      </c>
      <c r="O29" s="2" t="s">
        <v>2</v>
      </c>
      <c r="P29" s="2" t="s">
        <v>2</v>
      </c>
      <c r="Q29" t="s">
        <v>69</v>
      </c>
      <c r="R29" t="s">
        <v>74</v>
      </c>
      <c r="S29" t="s">
        <v>70</v>
      </c>
    </row>
    <row r="30" spans="1:20" x14ac:dyDescent="0.3">
      <c r="A30" t="s">
        <v>126</v>
      </c>
      <c r="C30" s="27">
        <f>C29</f>
        <v>9</v>
      </c>
      <c r="D30" s="27">
        <f t="shared" si="10"/>
        <v>0</v>
      </c>
      <c r="E30" t="str">
        <f>IF(C29=0,RIGHT(E29,7)&amp;"0",E29)</f>
        <v>94500000</v>
      </c>
      <c r="F30" s="27">
        <f t="shared" si="11"/>
        <v>0</v>
      </c>
      <c r="G30" t="str">
        <f t="shared" si="12"/>
        <v>94500000</v>
      </c>
      <c r="H30">
        <f t="shared" si="13"/>
        <v>8</v>
      </c>
      <c r="I30">
        <f t="shared" si="14"/>
        <v>5</v>
      </c>
      <c r="J30">
        <f t="shared" si="15"/>
        <v>2</v>
      </c>
      <c r="K30">
        <f t="shared" si="16"/>
        <v>2</v>
      </c>
    </row>
    <row r="31" spans="1:20" x14ac:dyDescent="0.3">
      <c r="A31" t="s">
        <v>132</v>
      </c>
      <c r="C31" s="27">
        <f>LEFT(E30,1)*1</f>
        <v>9</v>
      </c>
      <c r="D31" s="27">
        <f t="shared" si="10"/>
        <v>0</v>
      </c>
      <c r="E31" t="str">
        <f>E30</f>
        <v>94500000</v>
      </c>
      <c r="F31" s="27">
        <f t="shared" si="11"/>
        <v>0</v>
      </c>
      <c r="G31" t="str">
        <f t="shared" si="12"/>
        <v>94500000</v>
      </c>
      <c r="H31">
        <f t="shared" si="13"/>
        <v>8</v>
      </c>
      <c r="I31">
        <f t="shared" si="14"/>
        <v>5</v>
      </c>
      <c r="J31">
        <f t="shared" si="15"/>
        <v>2</v>
      </c>
      <c r="K31">
        <f t="shared" si="16"/>
        <v>2</v>
      </c>
    </row>
    <row r="32" spans="1:20" x14ac:dyDescent="0.3">
      <c r="A32" t="s">
        <v>126</v>
      </c>
      <c r="C32" s="27">
        <f>C31</f>
        <v>9</v>
      </c>
      <c r="D32" s="27">
        <f t="shared" si="10"/>
        <v>0</v>
      </c>
      <c r="E32" t="str">
        <f>IF(C31=0,RIGHT(E31,7)&amp;"0",E31)</f>
        <v>94500000</v>
      </c>
      <c r="F32" s="27">
        <f t="shared" si="11"/>
        <v>0</v>
      </c>
      <c r="G32" t="str">
        <f t="shared" si="12"/>
        <v>94500000</v>
      </c>
      <c r="H32">
        <f t="shared" si="13"/>
        <v>8</v>
      </c>
      <c r="I32">
        <f t="shared" si="14"/>
        <v>5</v>
      </c>
      <c r="J32">
        <f t="shared" si="15"/>
        <v>2</v>
      </c>
      <c r="K32">
        <f t="shared" si="16"/>
        <v>2</v>
      </c>
    </row>
    <row r="33" spans="1:12" x14ac:dyDescent="0.3">
      <c r="A33" t="s">
        <v>133</v>
      </c>
      <c r="C33" s="27">
        <f>LEFT(E32,1)*1</f>
        <v>9</v>
      </c>
      <c r="D33" s="27">
        <f t="shared" si="10"/>
        <v>0</v>
      </c>
      <c r="E33" t="str">
        <f>E32</f>
        <v>94500000</v>
      </c>
      <c r="F33" s="27">
        <f t="shared" si="11"/>
        <v>0</v>
      </c>
      <c r="G33" t="str">
        <f t="shared" si="12"/>
        <v>94500000</v>
      </c>
      <c r="H33">
        <f t="shared" si="13"/>
        <v>8</v>
      </c>
      <c r="I33">
        <f t="shared" si="14"/>
        <v>5</v>
      </c>
      <c r="J33">
        <f t="shared" si="15"/>
        <v>2</v>
      </c>
      <c r="K33">
        <f t="shared" si="16"/>
        <v>2</v>
      </c>
    </row>
    <row r="34" spans="1:12" x14ac:dyDescent="0.3">
      <c r="A34" t="s">
        <v>126</v>
      </c>
      <c r="C34" s="27">
        <f>C33</f>
        <v>9</v>
      </c>
      <c r="D34" s="27">
        <f t="shared" si="10"/>
        <v>0</v>
      </c>
      <c r="E34" t="str">
        <f>IF(C33=0,RIGHT(E33,7)&amp;"0",E33)</f>
        <v>94500000</v>
      </c>
      <c r="F34" s="27">
        <f t="shared" si="11"/>
        <v>0</v>
      </c>
      <c r="G34" t="str">
        <f t="shared" si="12"/>
        <v>94500000</v>
      </c>
      <c r="H34">
        <f t="shared" si="13"/>
        <v>8</v>
      </c>
      <c r="I34">
        <f t="shared" si="14"/>
        <v>5</v>
      </c>
      <c r="J34">
        <f t="shared" si="15"/>
        <v>2</v>
      </c>
      <c r="K34">
        <f t="shared" si="16"/>
        <v>2</v>
      </c>
    </row>
    <row r="35" spans="1:12" x14ac:dyDescent="0.3">
      <c r="A35" t="s">
        <v>134</v>
      </c>
      <c r="C35" s="27">
        <f>LEFT(E34,1)*1</f>
        <v>9</v>
      </c>
      <c r="D35" s="27">
        <f t="shared" si="10"/>
        <v>0</v>
      </c>
      <c r="E35" t="str">
        <f>E34</f>
        <v>94500000</v>
      </c>
      <c r="F35" s="27">
        <f t="shared" si="11"/>
        <v>0</v>
      </c>
      <c r="G35" t="str">
        <f t="shared" si="12"/>
        <v>94500000</v>
      </c>
      <c r="H35">
        <f t="shared" si="13"/>
        <v>8</v>
      </c>
      <c r="I35">
        <f t="shared" si="14"/>
        <v>5</v>
      </c>
      <c r="J35">
        <f t="shared" si="15"/>
        <v>2</v>
      </c>
      <c r="K35">
        <f t="shared" si="16"/>
        <v>2</v>
      </c>
    </row>
    <row r="36" spans="1:12" x14ac:dyDescent="0.3">
      <c r="A36" t="s">
        <v>126</v>
      </c>
      <c r="C36" s="27">
        <f>C35</f>
        <v>9</v>
      </c>
      <c r="D36" s="27">
        <f t="shared" si="10"/>
        <v>0</v>
      </c>
      <c r="E36" t="str">
        <f>IF(C35=0,RIGHT(E35,7)&amp;"0",E35)</f>
        <v>94500000</v>
      </c>
      <c r="F36" s="27">
        <f t="shared" si="11"/>
        <v>0</v>
      </c>
      <c r="G36" t="str">
        <f t="shared" si="12"/>
        <v>94500000</v>
      </c>
      <c r="H36">
        <f t="shared" si="13"/>
        <v>8</v>
      </c>
      <c r="I36">
        <f t="shared" si="14"/>
        <v>5</v>
      </c>
      <c r="J36">
        <f t="shared" si="15"/>
        <v>2</v>
      </c>
      <c r="K36">
        <f t="shared" si="16"/>
        <v>2</v>
      </c>
    </row>
    <row r="37" spans="1:12" x14ac:dyDescent="0.3">
      <c r="A37" t="s">
        <v>127</v>
      </c>
      <c r="D37" s="27">
        <f t="shared" si="10"/>
        <v>0</v>
      </c>
      <c r="E37" t="str">
        <f>G36</f>
        <v>94500000</v>
      </c>
      <c r="F37" s="27">
        <f t="shared" si="11"/>
        <v>0</v>
      </c>
      <c r="G37" t="str">
        <f>E36</f>
        <v>94500000</v>
      </c>
      <c r="H37">
        <f>H36</f>
        <v>8</v>
      </c>
      <c r="I37">
        <f>I36</f>
        <v>5</v>
      </c>
      <c r="J37">
        <f>J36</f>
        <v>2</v>
      </c>
      <c r="K37">
        <f>K36</f>
        <v>2</v>
      </c>
    </row>
    <row r="38" spans="1:12" x14ac:dyDescent="0.3">
      <c r="A38" s="3" t="s">
        <v>30</v>
      </c>
      <c r="B38" s="3"/>
      <c r="C38" s="3"/>
      <c r="D38" s="33">
        <v>0</v>
      </c>
      <c r="E38" s="3">
        <v>587</v>
      </c>
      <c r="F38" s="27">
        <f>F22</f>
        <v>0</v>
      </c>
      <c r="G38" t="str">
        <f t="shared" ref="G38:G50" si="17">G37</f>
        <v>94500000</v>
      </c>
      <c r="I38" s="17">
        <f>(IF(ISNUMBER(FIND(".",E38)),LEN(E38)-FIND(".",E38),0))</f>
        <v>0</v>
      </c>
      <c r="J38" s="17" cm="1">
        <f t="array" ref="J38">J37-IF(E38&lt;1,_xlfn.IFS(E38&gt;=0.1,-1,E38&gt;=0.01,-2,E38&gt;=0.001,-3,E38&gt;=0.0001,-4,E38&gt;=0.00001,-5,E38&gt;=0.000001,-6,E38&gt;=0.0000001,-7),_xlfn.IFS(E38&lt;10,0,E38&lt;100,1,E38&lt;1000,2,E38&lt;10000,3,E38&lt;100000,4,E38&lt;1000000,5,E38&lt;10000000,6,E38&lt;100000000,7))</f>
        <v>0</v>
      </c>
      <c r="K38" s="17" cm="1">
        <f t="array" ref="K38">K37+IF(E38&lt;1,_xlfn.IFS(E38&gt;=0.1,-1,E38&gt;=0.01,-2,E38&gt;=0.001,-3,E38&gt;=0.0001,-4,E38&gt;=0.00001,-5,E38&gt;=0.000001,-6,E38&gt;=0.0000001,-7),_xlfn.IFS(E38&lt;10,0,E38&lt;100,1,E38&lt;1000,2,E38&lt;10000,3,E38&lt;100000,4,E38&lt;1000000,5,E38&lt;10000000,6,E38&lt;100000000,7))</f>
        <v>4</v>
      </c>
      <c r="L38" s="17">
        <f>IF(LEFT(E38,2)="0.",1,0)</f>
        <v>0</v>
      </c>
    </row>
    <row r="39" spans="1:12" x14ac:dyDescent="0.3">
      <c r="A39" s="3"/>
      <c r="B39" s="3"/>
      <c r="C39" s="3"/>
      <c r="D39" s="28">
        <f>D38</f>
        <v>0</v>
      </c>
      <c r="E39" s="24" t="str">
        <f>SUBSTITUTE(ABS(E38),".","")</f>
        <v>587</v>
      </c>
      <c r="F39" s="27">
        <f t="shared" ref="F39:F50" si="18">F38</f>
        <v>0</v>
      </c>
      <c r="G39" t="str">
        <f t="shared" si="17"/>
        <v>94500000</v>
      </c>
      <c r="H39" s="17">
        <f>LEN(E39)</f>
        <v>3</v>
      </c>
      <c r="I39">
        <f t="shared" ref="I39:K40" si="19">I38</f>
        <v>0</v>
      </c>
      <c r="J39">
        <f t="shared" si="19"/>
        <v>0</v>
      </c>
      <c r="K39">
        <f t="shared" si="19"/>
        <v>4</v>
      </c>
      <c r="L39">
        <f>L38</f>
        <v>0</v>
      </c>
    </row>
    <row r="40" spans="1:12" x14ac:dyDescent="0.3">
      <c r="A40" s="3" t="s">
        <v>56</v>
      </c>
      <c r="B40" s="3" t="s">
        <v>174</v>
      </c>
      <c r="C40" s="3"/>
      <c r="D40" s="27">
        <f>D39</f>
        <v>0</v>
      </c>
      <c r="E40" t="str">
        <f>E39</f>
        <v>587</v>
      </c>
      <c r="F40" s="27">
        <f t="shared" si="18"/>
        <v>0</v>
      </c>
      <c r="G40" t="str">
        <f t="shared" si="17"/>
        <v>94500000</v>
      </c>
      <c r="H40">
        <f>H39</f>
        <v>3</v>
      </c>
      <c r="I40">
        <f t="shared" si="19"/>
        <v>0</v>
      </c>
      <c r="J40">
        <f t="shared" si="19"/>
        <v>0</v>
      </c>
      <c r="K40">
        <f t="shared" si="19"/>
        <v>4</v>
      </c>
      <c r="L40">
        <f>L39</f>
        <v>0</v>
      </c>
    </row>
    <row r="41" spans="1:12" x14ac:dyDescent="0.3">
      <c r="B41" t="str">
        <f>B40</f>
        <v>SUB</v>
      </c>
      <c r="C41" s="3"/>
      <c r="D41" s="27">
        <f>D40</f>
        <v>0</v>
      </c>
      <c r="E41" t="str">
        <f>E40</f>
        <v>587</v>
      </c>
      <c r="F41" s="27">
        <f t="shared" si="18"/>
        <v>0</v>
      </c>
      <c r="G41" t="str">
        <f t="shared" si="17"/>
        <v>94500000</v>
      </c>
      <c r="H41">
        <f>H40</f>
        <v>3</v>
      </c>
      <c r="I41">
        <f>I40</f>
        <v>0</v>
      </c>
      <c r="J41">
        <f>J40</f>
        <v>0</v>
      </c>
      <c r="K41">
        <f>K40</f>
        <v>4</v>
      </c>
      <c r="L41">
        <f>L40</f>
        <v>0</v>
      </c>
    </row>
    <row r="42" spans="1:12" x14ac:dyDescent="0.3">
      <c r="A42" t="s">
        <v>40</v>
      </c>
      <c r="B42" t="str">
        <f>B41</f>
        <v>SUB</v>
      </c>
      <c r="D42" s="27">
        <f>D41</f>
        <v>0</v>
      </c>
      <c r="E42" s="25" t="str">
        <f>IF(H41&lt;8,E41&amp;"0",E41)</f>
        <v>5870</v>
      </c>
      <c r="F42" s="27">
        <f t="shared" si="18"/>
        <v>0</v>
      </c>
      <c r="G42" t="str">
        <f t="shared" si="17"/>
        <v>94500000</v>
      </c>
      <c r="H42" s="17">
        <f>IF(H40&lt;8,H40+1,H40)</f>
        <v>4</v>
      </c>
      <c r="I42" s="17">
        <f>IF(H40&lt;8,I40+1,I40)</f>
        <v>1</v>
      </c>
      <c r="J42">
        <f>J41</f>
        <v>0</v>
      </c>
      <c r="K42">
        <f>K41</f>
        <v>4</v>
      </c>
      <c r="L42">
        <f>L41</f>
        <v>0</v>
      </c>
    </row>
    <row r="43" spans="1:12" x14ac:dyDescent="0.3">
      <c r="A43" t="s">
        <v>41</v>
      </c>
      <c r="B43" t="str">
        <f t="shared" ref="B43:B88" si="20">B42</f>
        <v>SUB</v>
      </c>
      <c r="D43" s="27">
        <f t="shared" ref="D43:D79" si="21">D42</f>
        <v>0</v>
      </c>
      <c r="E43" s="25" t="str">
        <f t="shared" ref="E43:E49" si="22">IF(H42&lt;8,E42&amp;"0",E42)</f>
        <v>58700</v>
      </c>
      <c r="F43" s="27">
        <f t="shared" si="18"/>
        <v>0</v>
      </c>
      <c r="G43" t="str">
        <f t="shared" si="17"/>
        <v>94500000</v>
      </c>
      <c r="H43" s="17">
        <f t="shared" ref="H43:H49" si="23">IF(H42&lt;8,H42+1,H42)</f>
        <v>5</v>
      </c>
      <c r="I43" s="17">
        <f t="shared" ref="I43:I49" si="24">IF(H42&lt;8,I42+1,I42)</f>
        <v>2</v>
      </c>
      <c r="J43">
        <f t="shared" ref="J43:K49" si="25">J42</f>
        <v>0</v>
      </c>
      <c r="K43">
        <f t="shared" si="25"/>
        <v>4</v>
      </c>
      <c r="L43">
        <f>L42</f>
        <v>0</v>
      </c>
    </row>
    <row r="44" spans="1:12" x14ac:dyDescent="0.3">
      <c r="A44" t="s">
        <v>42</v>
      </c>
      <c r="B44" t="str">
        <f t="shared" si="20"/>
        <v>SUB</v>
      </c>
      <c r="D44" s="27">
        <f t="shared" si="21"/>
        <v>0</v>
      </c>
      <c r="E44" s="25" t="str">
        <f t="shared" si="22"/>
        <v>587000</v>
      </c>
      <c r="F44" s="27">
        <f t="shared" si="18"/>
        <v>0</v>
      </c>
      <c r="G44" t="str">
        <f t="shared" si="17"/>
        <v>94500000</v>
      </c>
      <c r="H44" s="17">
        <f t="shared" si="23"/>
        <v>6</v>
      </c>
      <c r="I44" s="17">
        <f t="shared" si="24"/>
        <v>3</v>
      </c>
      <c r="J44">
        <f t="shared" si="25"/>
        <v>0</v>
      </c>
      <c r="K44">
        <f t="shared" si="25"/>
        <v>4</v>
      </c>
    </row>
    <row r="45" spans="1:12" x14ac:dyDescent="0.3">
      <c r="A45" t="s">
        <v>43</v>
      </c>
      <c r="B45" t="str">
        <f t="shared" si="20"/>
        <v>SUB</v>
      </c>
      <c r="D45" s="27">
        <f t="shared" si="21"/>
        <v>0</v>
      </c>
      <c r="E45" s="25" t="str">
        <f t="shared" si="22"/>
        <v>5870000</v>
      </c>
      <c r="F45" s="27">
        <f t="shared" si="18"/>
        <v>0</v>
      </c>
      <c r="G45" t="str">
        <f t="shared" si="17"/>
        <v>94500000</v>
      </c>
      <c r="H45" s="17">
        <f t="shared" si="23"/>
        <v>7</v>
      </c>
      <c r="I45" s="17">
        <f t="shared" si="24"/>
        <v>4</v>
      </c>
      <c r="J45">
        <f t="shared" si="25"/>
        <v>0</v>
      </c>
      <c r="K45">
        <f t="shared" si="25"/>
        <v>4</v>
      </c>
    </row>
    <row r="46" spans="1:12" x14ac:dyDescent="0.3">
      <c r="A46" t="s">
        <v>44</v>
      </c>
      <c r="B46" t="str">
        <f t="shared" si="20"/>
        <v>SUB</v>
      </c>
      <c r="D46" s="27">
        <f t="shared" si="21"/>
        <v>0</v>
      </c>
      <c r="E46" s="25" t="str">
        <f t="shared" si="22"/>
        <v>58700000</v>
      </c>
      <c r="F46" s="27">
        <f t="shared" si="18"/>
        <v>0</v>
      </c>
      <c r="G46" t="str">
        <f t="shared" si="17"/>
        <v>94500000</v>
      </c>
      <c r="H46" s="17">
        <f t="shared" si="23"/>
        <v>8</v>
      </c>
      <c r="I46" s="17">
        <f t="shared" si="24"/>
        <v>5</v>
      </c>
      <c r="J46">
        <f t="shared" si="25"/>
        <v>0</v>
      </c>
      <c r="K46">
        <f t="shared" si="25"/>
        <v>4</v>
      </c>
    </row>
    <row r="47" spans="1:12" x14ac:dyDescent="0.3">
      <c r="A47" t="s">
        <v>45</v>
      </c>
      <c r="B47" t="str">
        <f t="shared" si="20"/>
        <v>SUB</v>
      </c>
      <c r="D47" s="27">
        <f t="shared" si="21"/>
        <v>0</v>
      </c>
      <c r="E47" s="25" t="str">
        <f t="shared" si="22"/>
        <v>58700000</v>
      </c>
      <c r="F47" s="27">
        <f t="shared" si="18"/>
        <v>0</v>
      </c>
      <c r="G47" t="str">
        <f t="shared" si="17"/>
        <v>94500000</v>
      </c>
      <c r="H47" s="17">
        <f t="shared" si="23"/>
        <v>8</v>
      </c>
      <c r="I47" s="17">
        <f t="shared" si="24"/>
        <v>5</v>
      </c>
      <c r="J47">
        <f t="shared" si="25"/>
        <v>0</v>
      </c>
      <c r="K47">
        <f t="shared" si="25"/>
        <v>4</v>
      </c>
    </row>
    <row r="48" spans="1:12" x14ac:dyDescent="0.3">
      <c r="A48" t="s">
        <v>46</v>
      </c>
      <c r="B48" t="str">
        <f t="shared" si="20"/>
        <v>SUB</v>
      </c>
      <c r="D48" s="27">
        <f t="shared" si="21"/>
        <v>0</v>
      </c>
      <c r="E48" s="25" t="str">
        <f t="shared" si="22"/>
        <v>58700000</v>
      </c>
      <c r="F48" s="27">
        <f t="shared" si="18"/>
        <v>0</v>
      </c>
      <c r="G48" t="str">
        <f t="shared" si="17"/>
        <v>94500000</v>
      </c>
      <c r="H48" s="17">
        <f t="shared" si="23"/>
        <v>8</v>
      </c>
      <c r="I48" s="17">
        <f t="shared" si="24"/>
        <v>5</v>
      </c>
      <c r="J48">
        <f t="shared" si="25"/>
        <v>0</v>
      </c>
      <c r="K48">
        <f t="shared" si="25"/>
        <v>4</v>
      </c>
    </row>
    <row r="49" spans="1:16" x14ac:dyDescent="0.3">
      <c r="A49" t="s">
        <v>47</v>
      </c>
      <c r="B49" t="str">
        <f t="shared" si="20"/>
        <v>SUB</v>
      </c>
      <c r="D49" s="27">
        <f t="shared" si="21"/>
        <v>0</v>
      </c>
      <c r="E49" s="25" t="str">
        <f t="shared" si="22"/>
        <v>58700000</v>
      </c>
      <c r="F49" s="27">
        <f t="shared" si="18"/>
        <v>0</v>
      </c>
      <c r="G49" t="str">
        <f t="shared" si="17"/>
        <v>94500000</v>
      </c>
      <c r="H49" s="17">
        <f t="shared" si="23"/>
        <v>8</v>
      </c>
      <c r="I49" s="17">
        <f t="shared" si="24"/>
        <v>5</v>
      </c>
      <c r="J49">
        <f t="shared" si="25"/>
        <v>0</v>
      </c>
      <c r="K49">
        <f t="shared" si="25"/>
        <v>4</v>
      </c>
      <c r="M49" t="s">
        <v>155</v>
      </c>
    </row>
    <row r="50" spans="1:16" x14ac:dyDescent="0.3">
      <c r="A50" t="s">
        <v>128</v>
      </c>
      <c r="B50" t="str">
        <f t="shared" si="20"/>
        <v>SUB</v>
      </c>
      <c r="C50" s="28">
        <f>LEFT(E49,1)*1</f>
        <v>5</v>
      </c>
      <c r="D50" s="27">
        <f>D49</f>
        <v>0</v>
      </c>
      <c r="E50" t="str">
        <f>E49</f>
        <v>58700000</v>
      </c>
      <c r="F50" s="27">
        <f t="shared" si="18"/>
        <v>0</v>
      </c>
      <c r="G50" t="str">
        <f t="shared" si="17"/>
        <v>94500000</v>
      </c>
      <c r="H50">
        <f>H49</f>
        <v>8</v>
      </c>
      <c r="I50">
        <f>I49</f>
        <v>5</v>
      </c>
      <c r="J50">
        <f>J49</f>
        <v>0</v>
      </c>
      <c r="K50">
        <f>K49</f>
        <v>4</v>
      </c>
    </row>
    <row r="51" spans="1:16" x14ac:dyDescent="0.3">
      <c r="A51" t="s">
        <v>154</v>
      </c>
      <c r="B51" t="str">
        <f t="shared" si="20"/>
        <v>SUB</v>
      </c>
      <c r="C51" s="27">
        <f>C50</f>
        <v>5</v>
      </c>
      <c r="D51" s="27">
        <f t="shared" ref="D51:D63" si="26">D50</f>
        <v>0</v>
      </c>
      <c r="E51" s="17" t="str">
        <f>IF(C50=0,RIGHT(E50,7)&amp;"0",E50)</f>
        <v>58700000</v>
      </c>
      <c r="F51" s="27">
        <f t="shared" ref="F51:F63" si="27">F50</f>
        <v>0</v>
      </c>
      <c r="G51" t="str">
        <f t="shared" ref="G51:G63" si="28">G50</f>
        <v>94500000</v>
      </c>
      <c r="H51">
        <f t="shared" ref="H51:H64" si="29">H50</f>
        <v>8</v>
      </c>
      <c r="I51" s="17">
        <f>IF(C50=0,I50+1,I50)</f>
        <v>5</v>
      </c>
      <c r="J51">
        <f t="shared" ref="J51:J63" si="30">J50</f>
        <v>0</v>
      </c>
      <c r="K51">
        <f t="shared" ref="K51:K63" si="31">K50</f>
        <v>4</v>
      </c>
    </row>
    <row r="52" spans="1:16" x14ac:dyDescent="0.3">
      <c r="A52" t="s">
        <v>129</v>
      </c>
      <c r="B52" t="str">
        <f t="shared" si="20"/>
        <v>SUB</v>
      </c>
      <c r="C52" s="28">
        <f>LEFT(E51,1)*1</f>
        <v>5</v>
      </c>
      <c r="D52" s="27">
        <f t="shared" si="26"/>
        <v>0</v>
      </c>
      <c r="E52" t="str">
        <f>E51</f>
        <v>58700000</v>
      </c>
      <c r="F52" s="27">
        <f t="shared" si="27"/>
        <v>0</v>
      </c>
      <c r="G52" t="str">
        <f t="shared" si="28"/>
        <v>94500000</v>
      </c>
      <c r="H52">
        <f t="shared" si="29"/>
        <v>8</v>
      </c>
      <c r="I52">
        <f t="shared" ref="I52:I62" si="32">I51</f>
        <v>5</v>
      </c>
      <c r="J52">
        <f t="shared" si="30"/>
        <v>0</v>
      </c>
      <c r="K52">
        <f t="shared" si="31"/>
        <v>4</v>
      </c>
    </row>
    <row r="53" spans="1:16" x14ac:dyDescent="0.3">
      <c r="A53" t="s">
        <v>154</v>
      </c>
      <c r="B53" t="str">
        <f t="shared" si="20"/>
        <v>SUB</v>
      </c>
      <c r="C53" s="27">
        <f>C52</f>
        <v>5</v>
      </c>
      <c r="D53" s="27">
        <f t="shared" si="26"/>
        <v>0</v>
      </c>
      <c r="E53" s="17" t="str">
        <f>IF(C52=0,RIGHT(E52,7)&amp;"0",E52)</f>
        <v>58700000</v>
      </c>
      <c r="F53" s="27">
        <f t="shared" si="27"/>
        <v>0</v>
      </c>
      <c r="G53" t="str">
        <f t="shared" si="28"/>
        <v>94500000</v>
      </c>
      <c r="H53">
        <f t="shared" si="29"/>
        <v>8</v>
      </c>
      <c r="I53" s="17">
        <f>IF(C52=0,I52+1,I52)</f>
        <v>5</v>
      </c>
      <c r="J53">
        <f t="shared" si="30"/>
        <v>0</v>
      </c>
      <c r="K53">
        <f t="shared" si="31"/>
        <v>4</v>
      </c>
      <c r="O53" s="2"/>
      <c r="P53" s="2"/>
    </row>
    <row r="54" spans="1:16" x14ac:dyDescent="0.3">
      <c r="A54" t="s">
        <v>130</v>
      </c>
      <c r="B54" t="str">
        <f t="shared" si="20"/>
        <v>SUB</v>
      </c>
      <c r="C54" s="28">
        <f>LEFT(E53,1)*1</f>
        <v>5</v>
      </c>
      <c r="D54" s="27">
        <f t="shared" si="26"/>
        <v>0</v>
      </c>
      <c r="E54" t="str">
        <f>E53</f>
        <v>58700000</v>
      </c>
      <c r="F54" s="27">
        <f t="shared" si="27"/>
        <v>0</v>
      </c>
      <c r="G54" t="str">
        <f t="shared" si="28"/>
        <v>94500000</v>
      </c>
      <c r="H54">
        <f t="shared" si="29"/>
        <v>8</v>
      </c>
      <c r="I54">
        <f t="shared" si="32"/>
        <v>5</v>
      </c>
      <c r="J54">
        <f t="shared" si="30"/>
        <v>0</v>
      </c>
      <c r="K54">
        <f t="shared" si="31"/>
        <v>4</v>
      </c>
      <c r="O54" s="2"/>
      <c r="P54" s="2"/>
    </row>
    <row r="55" spans="1:16" x14ac:dyDescent="0.3">
      <c r="A55" t="s">
        <v>154</v>
      </c>
      <c r="B55" t="str">
        <f t="shared" si="20"/>
        <v>SUB</v>
      </c>
      <c r="C55" s="27">
        <f>C54</f>
        <v>5</v>
      </c>
      <c r="D55" s="27">
        <f t="shared" si="26"/>
        <v>0</v>
      </c>
      <c r="E55" s="17" t="str">
        <f>IF(C54=0,RIGHT(E54,7)&amp;"0",E54)</f>
        <v>58700000</v>
      </c>
      <c r="F55" s="27">
        <f t="shared" si="27"/>
        <v>0</v>
      </c>
      <c r="G55" t="str">
        <f t="shared" si="28"/>
        <v>94500000</v>
      </c>
      <c r="H55">
        <f t="shared" si="29"/>
        <v>8</v>
      </c>
      <c r="I55" s="17">
        <f>IF(C54=0,I54+1,I54)</f>
        <v>5</v>
      </c>
      <c r="J55">
        <f t="shared" si="30"/>
        <v>0</v>
      </c>
      <c r="K55">
        <f t="shared" si="31"/>
        <v>4</v>
      </c>
      <c r="O55" s="2"/>
      <c r="P55" s="2"/>
    </row>
    <row r="56" spans="1:16" x14ac:dyDescent="0.3">
      <c r="A56" t="s">
        <v>131</v>
      </c>
      <c r="B56" t="str">
        <f t="shared" si="20"/>
        <v>SUB</v>
      </c>
      <c r="C56" s="28">
        <f>LEFT(E55,1)*1</f>
        <v>5</v>
      </c>
      <c r="D56" s="27">
        <f t="shared" si="26"/>
        <v>0</v>
      </c>
      <c r="E56" t="str">
        <f>E55</f>
        <v>58700000</v>
      </c>
      <c r="F56" s="27">
        <f t="shared" si="27"/>
        <v>0</v>
      </c>
      <c r="G56" t="str">
        <f t="shared" si="28"/>
        <v>94500000</v>
      </c>
      <c r="H56">
        <f t="shared" si="29"/>
        <v>8</v>
      </c>
      <c r="I56">
        <f t="shared" si="32"/>
        <v>5</v>
      </c>
      <c r="J56">
        <f t="shared" si="30"/>
        <v>0</v>
      </c>
      <c r="K56">
        <f t="shared" si="31"/>
        <v>4</v>
      </c>
      <c r="O56" s="2"/>
      <c r="P56" s="2"/>
    </row>
    <row r="57" spans="1:16" x14ac:dyDescent="0.3">
      <c r="A57" t="s">
        <v>154</v>
      </c>
      <c r="B57" t="str">
        <f t="shared" si="20"/>
        <v>SUB</v>
      </c>
      <c r="C57" s="27">
        <f>C56</f>
        <v>5</v>
      </c>
      <c r="D57" s="27">
        <f t="shared" si="26"/>
        <v>0</v>
      </c>
      <c r="E57" s="17" t="str">
        <f>IF(C56=0,RIGHT(E56,7)&amp;"0",E56)</f>
        <v>58700000</v>
      </c>
      <c r="F57" s="27">
        <f t="shared" si="27"/>
        <v>0</v>
      </c>
      <c r="G57" t="str">
        <f t="shared" si="28"/>
        <v>94500000</v>
      </c>
      <c r="H57">
        <f t="shared" si="29"/>
        <v>8</v>
      </c>
      <c r="I57" s="17">
        <f>IF(C56=0,I56+1,I56)</f>
        <v>5</v>
      </c>
      <c r="J57">
        <f t="shared" si="30"/>
        <v>0</v>
      </c>
      <c r="K57">
        <f t="shared" si="31"/>
        <v>4</v>
      </c>
      <c r="O57" s="2"/>
      <c r="P57" s="2"/>
    </row>
    <row r="58" spans="1:16" x14ac:dyDescent="0.3">
      <c r="A58" t="s">
        <v>132</v>
      </c>
      <c r="B58" t="str">
        <f t="shared" si="20"/>
        <v>SUB</v>
      </c>
      <c r="C58" s="28">
        <f>LEFT(E57,1)*1</f>
        <v>5</v>
      </c>
      <c r="D58" s="27">
        <f t="shared" si="26"/>
        <v>0</v>
      </c>
      <c r="E58" t="str">
        <f>E57</f>
        <v>58700000</v>
      </c>
      <c r="F58" s="27">
        <f t="shared" si="27"/>
        <v>0</v>
      </c>
      <c r="G58" t="str">
        <f t="shared" si="28"/>
        <v>94500000</v>
      </c>
      <c r="H58">
        <f t="shared" si="29"/>
        <v>8</v>
      </c>
      <c r="I58">
        <f t="shared" si="32"/>
        <v>5</v>
      </c>
      <c r="J58">
        <f t="shared" si="30"/>
        <v>0</v>
      </c>
      <c r="K58">
        <f t="shared" si="31"/>
        <v>4</v>
      </c>
      <c r="O58" s="2"/>
      <c r="P58" s="2"/>
    </row>
    <row r="59" spans="1:16" x14ac:dyDescent="0.3">
      <c r="A59" t="s">
        <v>154</v>
      </c>
      <c r="B59" t="str">
        <f t="shared" si="20"/>
        <v>SUB</v>
      </c>
      <c r="C59" s="27">
        <f>C58</f>
        <v>5</v>
      </c>
      <c r="D59" s="27">
        <f t="shared" si="26"/>
        <v>0</v>
      </c>
      <c r="E59" s="17" t="str">
        <f>IF(C58=0,RIGHT(E58,7)&amp;"0",E58)</f>
        <v>58700000</v>
      </c>
      <c r="F59" s="27">
        <f t="shared" si="27"/>
        <v>0</v>
      </c>
      <c r="G59" t="str">
        <f t="shared" si="28"/>
        <v>94500000</v>
      </c>
      <c r="H59">
        <f t="shared" si="29"/>
        <v>8</v>
      </c>
      <c r="I59" s="17">
        <f>IF(C58=0,I58+1,I58)</f>
        <v>5</v>
      </c>
      <c r="J59">
        <f t="shared" si="30"/>
        <v>0</v>
      </c>
      <c r="K59">
        <f t="shared" si="31"/>
        <v>4</v>
      </c>
      <c r="O59" s="2"/>
      <c r="P59" s="2"/>
    </row>
    <row r="60" spans="1:16" x14ac:dyDescent="0.3">
      <c r="A60" t="s">
        <v>133</v>
      </c>
      <c r="B60" t="str">
        <f t="shared" si="20"/>
        <v>SUB</v>
      </c>
      <c r="C60" s="28">
        <f>LEFT(E59,1)*1</f>
        <v>5</v>
      </c>
      <c r="D60" s="27">
        <f t="shared" si="26"/>
        <v>0</v>
      </c>
      <c r="E60" t="str">
        <f>E59</f>
        <v>58700000</v>
      </c>
      <c r="F60" s="27">
        <f t="shared" si="27"/>
        <v>0</v>
      </c>
      <c r="G60" t="str">
        <f t="shared" si="28"/>
        <v>94500000</v>
      </c>
      <c r="H60">
        <f t="shared" si="29"/>
        <v>8</v>
      </c>
      <c r="I60">
        <f t="shared" si="32"/>
        <v>5</v>
      </c>
      <c r="J60">
        <f t="shared" si="30"/>
        <v>0</v>
      </c>
      <c r="K60">
        <f t="shared" si="31"/>
        <v>4</v>
      </c>
      <c r="O60" s="2"/>
      <c r="P60" s="2"/>
    </row>
    <row r="61" spans="1:16" x14ac:dyDescent="0.3">
      <c r="A61" t="s">
        <v>154</v>
      </c>
      <c r="B61" t="str">
        <f t="shared" si="20"/>
        <v>SUB</v>
      </c>
      <c r="C61" s="27">
        <f>C60</f>
        <v>5</v>
      </c>
      <c r="D61" s="27">
        <f t="shared" si="26"/>
        <v>0</v>
      </c>
      <c r="E61" s="17" t="str">
        <f>IF(C60=0,RIGHT(E60,7)&amp;"0",E60)</f>
        <v>58700000</v>
      </c>
      <c r="F61" s="27">
        <f t="shared" si="27"/>
        <v>0</v>
      </c>
      <c r="G61" t="str">
        <f t="shared" si="28"/>
        <v>94500000</v>
      </c>
      <c r="H61">
        <f t="shared" si="29"/>
        <v>8</v>
      </c>
      <c r="I61" s="17">
        <f>IF(C60=0,I60+1,I60)</f>
        <v>5</v>
      </c>
      <c r="J61">
        <f t="shared" si="30"/>
        <v>0</v>
      </c>
      <c r="K61">
        <f t="shared" si="31"/>
        <v>4</v>
      </c>
      <c r="O61" s="2"/>
      <c r="P61" s="2"/>
    </row>
    <row r="62" spans="1:16" x14ac:dyDescent="0.3">
      <c r="A62" t="s">
        <v>134</v>
      </c>
      <c r="B62" t="str">
        <f t="shared" si="20"/>
        <v>SUB</v>
      </c>
      <c r="C62" s="28">
        <f>LEFT(E61,1)*1</f>
        <v>5</v>
      </c>
      <c r="D62" s="27">
        <f t="shared" si="26"/>
        <v>0</v>
      </c>
      <c r="E62" t="str">
        <f>E61</f>
        <v>58700000</v>
      </c>
      <c r="F62" s="27">
        <f t="shared" si="27"/>
        <v>0</v>
      </c>
      <c r="G62" t="str">
        <f t="shared" si="28"/>
        <v>94500000</v>
      </c>
      <c r="H62">
        <f t="shared" si="29"/>
        <v>8</v>
      </c>
      <c r="I62">
        <f t="shared" si="32"/>
        <v>5</v>
      </c>
      <c r="J62">
        <f t="shared" si="30"/>
        <v>0</v>
      </c>
      <c r="K62">
        <f t="shared" si="31"/>
        <v>4</v>
      </c>
      <c r="O62" s="2"/>
      <c r="P62" s="2"/>
    </row>
    <row r="63" spans="1:16" x14ac:dyDescent="0.3">
      <c r="A63" t="s">
        <v>154</v>
      </c>
      <c r="B63" t="str">
        <f t="shared" si="20"/>
        <v>SUB</v>
      </c>
      <c r="C63" s="27">
        <f>C62</f>
        <v>5</v>
      </c>
      <c r="D63" s="27">
        <f t="shared" si="26"/>
        <v>0</v>
      </c>
      <c r="E63" s="17" t="str">
        <f>IF(C62=0,RIGHT(E62,7)&amp;"0",E62)</f>
        <v>58700000</v>
      </c>
      <c r="F63" s="27">
        <f t="shared" si="27"/>
        <v>0</v>
      </c>
      <c r="G63" t="str">
        <f t="shared" si="28"/>
        <v>94500000</v>
      </c>
      <c r="H63">
        <f t="shared" si="29"/>
        <v>8</v>
      </c>
      <c r="I63" s="17">
        <f>IF(C62=0,I62+1,I62)</f>
        <v>5</v>
      </c>
      <c r="J63">
        <f t="shared" si="30"/>
        <v>0</v>
      </c>
      <c r="K63">
        <f t="shared" si="31"/>
        <v>4</v>
      </c>
      <c r="O63" s="2"/>
      <c r="P63" s="2"/>
    </row>
    <row r="64" spans="1:16" x14ac:dyDescent="0.3">
      <c r="A64" t="s">
        <v>108</v>
      </c>
      <c r="B64" t="str">
        <f>B63</f>
        <v>SUB</v>
      </c>
      <c r="D64" s="27">
        <f>D63</f>
        <v>0</v>
      </c>
      <c r="E64" s="17" t="str">
        <f>IF(J63&gt;0,"0"&amp;LEFT(E63,7), E63)</f>
        <v>58700000</v>
      </c>
      <c r="F64" s="27">
        <f t="shared" ref="F64:F80" si="33">F63</f>
        <v>0</v>
      </c>
      <c r="G64" s="17" t="str">
        <f>IF(J63&lt;0,"0"&amp;LEFT(G63,7),G63)</f>
        <v>94500000</v>
      </c>
      <c r="H64">
        <f t="shared" si="29"/>
        <v>8</v>
      </c>
      <c r="I64" s="20">
        <f>IF(J63&lt;0,I63,IF(J63&gt;0,I63-1,I63))</f>
        <v>5</v>
      </c>
      <c r="J64" s="20">
        <f>IF(J63&lt;0,J63+1,IF(J63&gt;0,J63-1,J63))</f>
        <v>0</v>
      </c>
      <c r="K64">
        <f>K63</f>
        <v>4</v>
      </c>
    </row>
    <row r="65" spans="1:11" x14ac:dyDescent="0.3">
      <c r="A65" t="s">
        <v>109</v>
      </c>
      <c r="B65" t="str">
        <f t="shared" si="20"/>
        <v>SUB</v>
      </c>
      <c r="D65" s="27">
        <f t="shared" si="21"/>
        <v>0</v>
      </c>
      <c r="E65" s="17" t="str">
        <f t="shared" ref="E65:E71" si="34">IF(J64&gt;0,"0"&amp;LEFT(E64,7), E64)</f>
        <v>58700000</v>
      </c>
      <c r="F65" s="27">
        <f t="shared" si="33"/>
        <v>0</v>
      </c>
      <c r="G65" s="17" t="str">
        <f t="shared" ref="G65:G71" si="35">IF(J64&lt;0,"0"&amp;LEFT(G64,7),G64)</f>
        <v>94500000</v>
      </c>
      <c r="H65">
        <f t="shared" ref="H65:H79" si="36">H64</f>
        <v>8</v>
      </c>
      <c r="I65" s="20">
        <f t="shared" ref="I65:I71" si="37">IF(J64&lt;0,I64,IF(J64&gt;0,I64-1,I64))</f>
        <v>5</v>
      </c>
      <c r="J65" s="20">
        <f t="shared" ref="J65:J79" si="38">IF(J64&lt;0,J64+1,IF(J64&gt;0,J64-1,J64))</f>
        <v>0</v>
      </c>
      <c r="K65">
        <f t="shared" ref="K65:K96" si="39">K64</f>
        <v>4</v>
      </c>
    </row>
    <row r="66" spans="1:11" x14ac:dyDescent="0.3">
      <c r="A66" t="s">
        <v>110</v>
      </c>
      <c r="B66" t="str">
        <f t="shared" si="20"/>
        <v>SUB</v>
      </c>
      <c r="D66" s="27">
        <f t="shared" si="21"/>
        <v>0</v>
      </c>
      <c r="E66" s="17" t="str">
        <f t="shared" si="34"/>
        <v>58700000</v>
      </c>
      <c r="F66" s="27">
        <f t="shared" si="33"/>
        <v>0</v>
      </c>
      <c r="G66" s="17" t="str">
        <f t="shared" si="35"/>
        <v>94500000</v>
      </c>
      <c r="H66">
        <f t="shared" si="36"/>
        <v>8</v>
      </c>
      <c r="I66" s="20">
        <f t="shared" si="37"/>
        <v>5</v>
      </c>
      <c r="J66" s="20">
        <f t="shared" si="38"/>
        <v>0</v>
      </c>
      <c r="K66">
        <f t="shared" si="39"/>
        <v>4</v>
      </c>
    </row>
    <row r="67" spans="1:11" x14ac:dyDescent="0.3">
      <c r="A67" t="s">
        <v>111</v>
      </c>
      <c r="B67" t="str">
        <f t="shared" si="20"/>
        <v>SUB</v>
      </c>
      <c r="D67" s="27">
        <f t="shared" si="21"/>
        <v>0</v>
      </c>
      <c r="E67" s="17" t="str">
        <f t="shared" si="34"/>
        <v>58700000</v>
      </c>
      <c r="F67" s="27">
        <f t="shared" si="33"/>
        <v>0</v>
      </c>
      <c r="G67" s="17" t="str">
        <f t="shared" si="35"/>
        <v>94500000</v>
      </c>
      <c r="H67">
        <f t="shared" si="36"/>
        <v>8</v>
      </c>
      <c r="I67" s="20">
        <f t="shared" si="37"/>
        <v>5</v>
      </c>
      <c r="J67" s="20">
        <f t="shared" si="38"/>
        <v>0</v>
      </c>
      <c r="K67">
        <f t="shared" si="39"/>
        <v>4</v>
      </c>
    </row>
    <row r="68" spans="1:11" x14ac:dyDescent="0.3">
      <c r="A68" t="s">
        <v>112</v>
      </c>
      <c r="B68" t="str">
        <f t="shared" si="20"/>
        <v>SUB</v>
      </c>
      <c r="D68" s="27">
        <f t="shared" si="21"/>
        <v>0</v>
      </c>
      <c r="E68" s="17" t="str">
        <f t="shared" si="34"/>
        <v>58700000</v>
      </c>
      <c r="F68" s="27">
        <f t="shared" si="33"/>
        <v>0</v>
      </c>
      <c r="G68" s="17" t="str">
        <f t="shared" si="35"/>
        <v>94500000</v>
      </c>
      <c r="H68">
        <f t="shared" si="36"/>
        <v>8</v>
      </c>
      <c r="I68" s="20">
        <f t="shared" si="37"/>
        <v>5</v>
      </c>
      <c r="J68" s="20">
        <f t="shared" si="38"/>
        <v>0</v>
      </c>
      <c r="K68">
        <f t="shared" si="39"/>
        <v>4</v>
      </c>
    </row>
    <row r="69" spans="1:11" x14ac:dyDescent="0.3">
      <c r="A69" t="s">
        <v>113</v>
      </c>
      <c r="B69" t="str">
        <f t="shared" si="20"/>
        <v>SUB</v>
      </c>
      <c r="D69" s="27">
        <f t="shared" si="21"/>
        <v>0</v>
      </c>
      <c r="E69" s="17" t="str">
        <f t="shared" si="34"/>
        <v>58700000</v>
      </c>
      <c r="F69" s="27">
        <f t="shared" si="33"/>
        <v>0</v>
      </c>
      <c r="G69" s="17" t="str">
        <f t="shared" si="35"/>
        <v>94500000</v>
      </c>
      <c r="H69">
        <f t="shared" si="36"/>
        <v>8</v>
      </c>
      <c r="I69" s="20">
        <f t="shared" si="37"/>
        <v>5</v>
      </c>
      <c r="J69" s="20">
        <f t="shared" si="38"/>
        <v>0</v>
      </c>
      <c r="K69">
        <f t="shared" si="39"/>
        <v>4</v>
      </c>
    </row>
    <row r="70" spans="1:11" x14ac:dyDescent="0.3">
      <c r="A70" t="s">
        <v>114</v>
      </c>
      <c r="B70" t="str">
        <f t="shared" si="20"/>
        <v>SUB</v>
      </c>
      <c r="D70" s="27">
        <f t="shared" si="21"/>
        <v>0</v>
      </c>
      <c r="E70" s="17" t="str">
        <f t="shared" si="34"/>
        <v>58700000</v>
      </c>
      <c r="F70" s="27">
        <f t="shared" si="33"/>
        <v>0</v>
      </c>
      <c r="G70" s="17" t="str">
        <f t="shared" si="35"/>
        <v>94500000</v>
      </c>
      <c r="H70">
        <f t="shared" si="36"/>
        <v>8</v>
      </c>
      <c r="I70" s="20">
        <f t="shared" si="37"/>
        <v>5</v>
      </c>
      <c r="J70" s="20">
        <f t="shared" si="38"/>
        <v>0</v>
      </c>
      <c r="K70">
        <f t="shared" si="39"/>
        <v>4</v>
      </c>
    </row>
    <row r="71" spans="1:11" x14ac:dyDescent="0.3">
      <c r="A71" t="s">
        <v>115</v>
      </c>
      <c r="B71" t="str">
        <f t="shared" si="20"/>
        <v>SUB</v>
      </c>
      <c r="D71" s="27">
        <f t="shared" si="21"/>
        <v>0</v>
      </c>
      <c r="E71" s="17" t="str">
        <f t="shared" si="34"/>
        <v>58700000</v>
      </c>
      <c r="F71" s="27">
        <f t="shared" si="33"/>
        <v>0</v>
      </c>
      <c r="G71" s="17" t="str">
        <f t="shared" si="35"/>
        <v>94500000</v>
      </c>
      <c r="H71">
        <f t="shared" si="36"/>
        <v>8</v>
      </c>
      <c r="I71" s="20">
        <f t="shared" si="37"/>
        <v>5</v>
      </c>
      <c r="J71" s="20">
        <f t="shared" si="38"/>
        <v>0</v>
      </c>
      <c r="K71">
        <f t="shared" si="39"/>
        <v>4</v>
      </c>
    </row>
    <row r="72" spans="1:11" x14ac:dyDescent="0.3">
      <c r="A72" t="s">
        <v>145</v>
      </c>
      <c r="B72" t="str">
        <f>B71</f>
        <v>SUB</v>
      </c>
      <c r="D72" s="27">
        <f>D71</f>
        <v>0</v>
      </c>
      <c r="E72" s="17" t="str">
        <f>IF(J71&gt;0,"0"&amp;LEFT(E71,7), E71)</f>
        <v>58700000</v>
      </c>
      <c r="F72" s="27">
        <f t="shared" si="33"/>
        <v>0</v>
      </c>
      <c r="G72" s="17" t="str">
        <f>IF(J71&lt;0,"0"&amp;LEFT(G71,7),G71)</f>
        <v>94500000</v>
      </c>
      <c r="H72">
        <f>H71</f>
        <v>8</v>
      </c>
      <c r="I72" s="20">
        <f>IF(J71&lt;0,I71,IF(J71&gt;0,I71-1,I71))</f>
        <v>5</v>
      </c>
      <c r="J72" s="20">
        <f>IF(J71&lt;0,J71+1,IF(J71&gt;0,J71-1,J71))</f>
        <v>0</v>
      </c>
      <c r="K72">
        <f>K71</f>
        <v>4</v>
      </c>
    </row>
    <row r="73" spans="1:11" x14ac:dyDescent="0.3">
      <c r="A73" t="s">
        <v>146</v>
      </c>
      <c r="B73" t="str">
        <f t="shared" si="20"/>
        <v>SUB</v>
      </c>
      <c r="D73" s="27">
        <f t="shared" si="21"/>
        <v>0</v>
      </c>
      <c r="E73" s="17" t="str">
        <f t="shared" ref="E73:E79" si="40">IF(J72&gt;0,"0"&amp;LEFT(E72,7), E72)</f>
        <v>58700000</v>
      </c>
      <c r="F73" s="27">
        <f t="shared" si="33"/>
        <v>0</v>
      </c>
      <c r="G73" s="17" t="str">
        <f t="shared" ref="G73:G79" si="41">IF(J72&lt;0,"0"&amp;LEFT(G72,7),G72)</f>
        <v>94500000</v>
      </c>
      <c r="H73">
        <f t="shared" si="36"/>
        <v>8</v>
      </c>
      <c r="I73" s="20">
        <f t="shared" ref="I73:I79" si="42">IF(J72&lt;0,I72,IF(J72&gt;0,I72-1,I72))</f>
        <v>5</v>
      </c>
      <c r="J73" s="20">
        <f t="shared" si="38"/>
        <v>0</v>
      </c>
      <c r="K73">
        <f t="shared" si="39"/>
        <v>4</v>
      </c>
    </row>
    <row r="74" spans="1:11" x14ac:dyDescent="0.3">
      <c r="A74" t="s">
        <v>147</v>
      </c>
      <c r="B74" t="str">
        <f t="shared" si="20"/>
        <v>SUB</v>
      </c>
      <c r="D74" s="27">
        <f t="shared" si="21"/>
        <v>0</v>
      </c>
      <c r="E74" s="17" t="str">
        <f t="shared" si="40"/>
        <v>58700000</v>
      </c>
      <c r="F74" s="27">
        <f t="shared" si="33"/>
        <v>0</v>
      </c>
      <c r="G74" s="17" t="str">
        <f t="shared" si="41"/>
        <v>94500000</v>
      </c>
      <c r="H74">
        <f t="shared" si="36"/>
        <v>8</v>
      </c>
      <c r="I74" s="20">
        <f t="shared" si="42"/>
        <v>5</v>
      </c>
      <c r="J74" s="20">
        <f t="shared" si="38"/>
        <v>0</v>
      </c>
      <c r="K74">
        <f t="shared" si="39"/>
        <v>4</v>
      </c>
    </row>
    <row r="75" spans="1:11" x14ac:dyDescent="0.3">
      <c r="A75" t="s">
        <v>148</v>
      </c>
      <c r="B75" t="str">
        <f t="shared" si="20"/>
        <v>SUB</v>
      </c>
      <c r="D75" s="27">
        <f t="shared" si="21"/>
        <v>0</v>
      </c>
      <c r="E75" s="17" t="str">
        <f t="shared" si="40"/>
        <v>58700000</v>
      </c>
      <c r="F75" s="27">
        <f t="shared" si="33"/>
        <v>0</v>
      </c>
      <c r="G75" s="17" t="str">
        <f t="shared" si="41"/>
        <v>94500000</v>
      </c>
      <c r="H75">
        <f t="shared" si="36"/>
        <v>8</v>
      </c>
      <c r="I75" s="20">
        <f t="shared" si="42"/>
        <v>5</v>
      </c>
      <c r="J75" s="20">
        <f t="shared" si="38"/>
        <v>0</v>
      </c>
      <c r="K75">
        <f t="shared" si="39"/>
        <v>4</v>
      </c>
    </row>
    <row r="76" spans="1:11" x14ac:dyDescent="0.3">
      <c r="A76" t="s">
        <v>149</v>
      </c>
      <c r="B76" t="str">
        <f t="shared" si="20"/>
        <v>SUB</v>
      </c>
      <c r="D76" s="27">
        <f t="shared" si="21"/>
        <v>0</v>
      </c>
      <c r="E76" s="17" t="str">
        <f t="shared" si="40"/>
        <v>58700000</v>
      </c>
      <c r="F76" s="27">
        <f t="shared" si="33"/>
        <v>0</v>
      </c>
      <c r="G76" s="17" t="str">
        <f t="shared" si="41"/>
        <v>94500000</v>
      </c>
      <c r="H76">
        <f t="shared" si="36"/>
        <v>8</v>
      </c>
      <c r="I76" s="20">
        <f t="shared" si="42"/>
        <v>5</v>
      </c>
      <c r="J76" s="20">
        <f t="shared" si="38"/>
        <v>0</v>
      </c>
      <c r="K76">
        <f t="shared" si="39"/>
        <v>4</v>
      </c>
    </row>
    <row r="77" spans="1:11" x14ac:dyDescent="0.3">
      <c r="A77" t="s">
        <v>150</v>
      </c>
      <c r="B77" t="str">
        <f t="shared" si="20"/>
        <v>SUB</v>
      </c>
      <c r="D77" s="27">
        <f t="shared" si="21"/>
        <v>0</v>
      </c>
      <c r="E77" s="17" t="str">
        <f t="shared" si="40"/>
        <v>58700000</v>
      </c>
      <c r="F77" s="27">
        <f t="shared" si="33"/>
        <v>0</v>
      </c>
      <c r="G77" s="17" t="str">
        <f t="shared" si="41"/>
        <v>94500000</v>
      </c>
      <c r="H77">
        <f t="shared" si="36"/>
        <v>8</v>
      </c>
      <c r="I77" s="20">
        <f t="shared" si="42"/>
        <v>5</v>
      </c>
      <c r="J77" s="20">
        <f t="shared" si="38"/>
        <v>0</v>
      </c>
      <c r="K77">
        <f t="shared" si="39"/>
        <v>4</v>
      </c>
    </row>
    <row r="78" spans="1:11" x14ac:dyDescent="0.3">
      <c r="A78" t="s">
        <v>151</v>
      </c>
      <c r="B78" t="str">
        <f t="shared" si="20"/>
        <v>SUB</v>
      </c>
      <c r="D78" s="27">
        <f t="shared" si="21"/>
        <v>0</v>
      </c>
      <c r="E78" s="17" t="str">
        <f t="shared" si="40"/>
        <v>58700000</v>
      </c>
      <c r="F78" s="27">
        <f t="shared" si="33"/>
        <v>0</v>
      </c>
      <c r="G78" s="17" t="str">
        <f t="shared" si="41"/>
        <v>94500000</v>
      </c>
      <c r="H78">
        <f t="shared" si="36"/>
        <v>8</v>
      </c>
      <c r="I78" s="20">
        <f t="shared" si="42"/>
        <v>5</v>
      </c>
      <c r="J78" s="20">
        <f t="shared" si="38"/>
        <v>0</v>
      </c>
      <c r="K78">
        <f t="shared" si="39"/>
        <v>4</v>
      </c>
    </row>
    <row r="79" spans="1:11" x14ac:dyDescent="0.3">
      <c r="A79" t="s">
        <v>152</v>
      </c>
      <c r="B79" t="str">
        <f t="shared" si="20"/>
        <v>SUB</v>
      </c>
      <c r="D79" s="27">
        <f t="shared" si="21"/>
        <v>0</v>
      </c>
      <c r="E79" s="17" t="str">
        <f t="shared" si="40"/>
        <v>58700000</v>
      </c>
      <c r="F79" s="27">
        <f t="shared" si="33"/>
        <v>0</v>
      </c>
      <c r="G79" s="17" t="str">
        <f t="shared" si="41"/>
        <v>94500000</v>
      </c>
      <c r="H79">
        <f t="shared" si="36"/>
        <v>8</v>
      </c>
      <c r="I79" s="20">
        <f t="shared" si="42"/>
        <v>5</v>
      </c>
      <c r="J79" s="20">
        <f t="shared" si="38"/>
        <v>0</v>
      </c>
      <c r="K79">
        <f t="shared" si="39"/>
        <v>4</v>
      </c>
    </row>
    <row r="80" spans="1:11" x14ac:dyDescent="0.3">
      <c r="A80" t="s">
        <v>137</v>
      </c>
      <c r="B80" t="str">
        <f>B79</f>
        <v>SUB</v>
      </c>
      <c r="D80" s="27">
        <f>D79</f>
        <v>0</v>
      </c>
      <c r="E80" s="17" t="str">
        <f>IF(I79&gt;7,"0"&amp;LEFT(E79,7),E79)</f>
        <v>58700000</v>
      </c>
      <c r="F80" s="27">
        <f t="shared" si="33"/>
        <v>0</v>
      </c>
      <c r="G80" s="17" t="str">
        <f>IF(I79&gt;7,"0"&amp;LEFT(G79,7),G79)</f>
        <v>94500000</v>
      </c>
      <c r="H80" s="24">
        <f>H79</f>
        <v>8</v>
      </c>
      <c r="I80" s="20">
        <f>IF(I79&gt;7,I79-1,I79)</f>
        <v>5</v>
      </c>
      <c r="J80" s="24">
        <f>J79</f>
        <v>0</v>
      </c>
      <c r="K80" s="24">
        <f>K79</f>
        <v>4</v>
      </c>
    </row>
    <row r="81" spans="1:11" x14ac:dyDescent="0.3">
      <c r="A81" t="s">
        <v>138</v>
      </c>
      <c r="B81" t="str">
        <f t="shared" si="20"/>
        <v>SUB</v>
      </c>
      <c r="D81" s="27">
        <f t="shared" ref="D81:D87" si="43">D80</f>
        <v>0</v>
      </c>
      <c r="E81" s="17" t="str">
        <f t="shared" ref="E81:E87" si="44">IF(I80&gt;7,"0"&amp;LEFT(E80,7),E80)</f>
        <v>58700000</v>
      </c>
      <c r="F81" s="27">
        <f t="shared" ref="F81:F87" si="45">F80</f>
        <v>0</v>
      </c>
      <c r="G81" s="17" t="str">
        <f t="shared" ref="G81:G87" si="46">IF(I80&gt;7,"0"&amp;LEFT(G80,7),G80)</f>
        <v>94500000</v>
      </c>
      <c r="H81" s="24">
        <f t="shared" ref="H81:H87" si="47">H80</f>
        <v>8</v>
      </c>
      <c r="I81" s="20">
        <f t="shared" ref="I81:I87" si="48">IF(I80&gt;7,I80-1,I80)</f>
        <v>5</v>
      </c>
      <c r="J81" s="24">
        <f t="shared" ref="J81:J87" si="49">J80</f>
        <v>0</v>
      </c>
      <c r="K81" s="24">
        <f t="shared" ref="K81:K87" si="50">K80</f>
        <v>4</v>
      </c>
    </row>
    <row r="82" spans="1:11" x14ac:dyDescent="0.3">
      <c r="A82" t="s">
        <v>139</v>
      </c>
      <c r="B82" t="str">
        <f t="shared" si="20"/>
        <v>SUB</v>
      </c>
      <c r="D82" s="27">
        <f t="shared" si="43"/>
        <v>0</v>
      </c>
      <c r="E82" s="17" t="str">
        <f t="shared" si="44"/>
        <v>58700000</v>
      </c>
      <c r="F82" s="27">
        <f t="shared" si="45"/>
        <v>0</v>
      </c>
      <c r="G82" s="17" t="str">
        <f t="shared" si="46"/>
        <v>94500000</v>
      </c>
      <c r="H82" s="24">
        <f t="shared" si="47"/>
        <v>8</v>
      </c>
      <c r="I82" s="20">
        <f t="shared" si="48"/>
        <v>5</v>
      </c>
      <c r="J82" s="24">
        <f t="shared" si="49"/>
        <v>0</v>
      </c>
      <c r="K82" s="24">
        <f t="shared" si="50"/>
        <v>4</v>
      </c>
    </row>
    <row r="83" spans="1:11" x14ac:dyDescent="0.3">
      <c r="A83" t="s">
        <v>140</v>
      </c>
      <c r="B83" t="str">
        <f t="shared" si="20"/>
        <v>SUB</v>
      </c>
      <c r="D83" s="27">
        <f t="shared" si="43"/>
        <v>0</v>
      </c>
      <c r="E83" s="17" t="str">
        <f t="shared" si="44"/>
        <v>58700000</v>
      </c>
      <c r="F83" s="27">
        <f t="shared" si="45"/>
        <v>0</v>
      </c>
      <c r="G83" s="17" t="str">
        <f t="shared" si="46"/>
        <v>94500000</v>
      </c>
      <c r="H83" s="24">
        <f t="shared" si="47"/>
        <v>8</v>
      </c>
      <c r="I83" s="20">
        <f t="shared" si="48"/>
        <v>5</v>
      </c>
      <c r="J83" s="24">
        <f t="shared" si="49"/>
        <v>0</v>
      </c>
      <c r="K83" s="24">
        <f t="shared" si="50"/>
        <v>4</v>
      </c>
    </row>
    <row r="84" spans="1:11" x14ac:dyDescent="0.3">
      <c r="A84" t="s">
        <v>141</v>
      </c>
      <c r="B84" t="str">
        <f t="shared" si="20"/>
        <v>SUB</v>
      </c>
      <c r="D84" s="27">
        <f t="shared" si="43"/>
        <v>0</v>
      </c>
      <c r="E84" s="17" t="str">
        <f t="shared" si="44"/>
        <v>58700000</v>
      </c>
      <c r="F84" s="27">
        <f t="shared" si="45"/>
        <v>0</v>
      </c>
      <c r="G84" s="17" t="str">
        <f t="shared" si="46"/>
        <v>94500000</v>
      </c>
      <c r="H84" s="24">
        <f t="shared" si="47"/>
        <v>8</v>
      </c>
      <c r="I84" s="20">
        <f t="shared" si="48"/>
        <v>5</v>
      </c>
      <c r="J84" s="24">
        <f t="shared" si="49"/>
        <v>0</v>
      </c>
      <c r="K84" s="24">
        <f t="shared" si="50"/>
        <v>4</v>
      </c>
    </row>
    <row r="85" spans="1:11" x14ac:dyDescent="0.3">
      <c r="A85" t="s">
        <v>142</v>
      </c>
      <c r="B85" t="str">
        <f t="shared" si="20"/>
        <v>SUB</v>
      </c>
      <c r="D85" s="27">
        <f t="shared" si="43"/>
        <v>0</v>
      </c>
      <c r="E85" s="17" t="str">
        <f t="shared" si="44"/>
        <v>58700000</v>
      </c>
      <c r="F85" s="27">
        <f t="shared" si="45"/>
        <v>0</v>
      </c>
      <c r="G85" s="17" t="str">
        <f t="shared" si="46"/>
        <v>94500000</v>
      </c>
      <c r="H85" s="24">
        <f t="shared" si="47"/>
        <v>8</v>
      </c>
      <c r="I85" s="20">
        <f t="shared" si="48"/>
        <v>5</v>
      </c>
      <c r="J85" s="24">
        <f t="shared" si="49"/>
        <v>0</v>
      </c>
      <c r="K85" s="24">
        <f t="shared" si="50"/>
        <v>4</v>
      </c>
    </row>
    <row r="86" spans="1:11" x14ac:dyDescent="0.3">
      <c r="A86" t="s">
        <v>143</v>
      </c>
      <c r="B86" t="str">
        <f t="shared" si="20"/>
        <v>SUB</v>
      </c>
      <c r="D86" s="27">
        <f t="shared" si="43"/>
        <v>0</v>
      </c>
      <c r="E86" s="17" t="str">
        <f t="shared" si="44"/>
        <v>58700000</v>
      </c>
      <c r="F86" s="27">
        <f t="shared" si="45"/>
        <v>0</v>
      </c>
      <c r="G86" s="17" t="str">
        <f t="shared" si="46"/>
        <v>94500000</v>
      </c>
      <c r="H86" s="24">
        <f t="shared" si="47"/>
        <v>8</v>
      </c>
      <c r="I86" s="20">
        <f t="shared" si="48"/>
        <v>5</v>
      </c>
      <c r="J86" s="24">
        <f t="shared" si="49"/>
        <v>0</v>
      </c>
      <c r="K86" s="24">
        <f t="shared" si="50"/>
        <v>4</v>
      </c>
    </row>
    <row r="87" spans="1:11" ht="15" thickBot="1" x14ac:dyDescent="0.35">
      <c r="A87" t="s">
        <v>144</v>
      </c>
      <c r="B87" t="str">
        <f t="shared" si="20"/>
        <v>SUB</v>
      </c>
      <c r="D87" s="27">
        <f t="shared" si="43"/>
        <v>0</v>
      </c>
      <c r="E87" s="17" t="str">
        <f t="shared" si="44"/>
        <v>58700000</v>
      </c>
      <c r="F87" s="27">
        <f t="shared" si="45"/>
        <v>0</v>
      </c>
      <c r="G87" s="17" t="str">
        <f t="shared" si="46"/>
        <v>94500000</v>
      </c>
      <c r="H87" s="24">
        <f t="shared" si="47"/>
        <v>8</v>
      </c>
      <c r="I87" s="20">
        <f t="shared" si="48"/>
        <v>5</v>
      </c>
      <c r="J87" s="24">
        <f t="shared" si="49"/>
        <v>0</v>
      </c>
      <c r="K87" s="24">
        <f t="shared" si="50"/>
        <v>4</v>
      </c>
    </row>
    <row r="88" spans="1:11" ht="15" thickBot="1" x14ac:dyDescent="0.35">
      <c r="A88" s="7" t="s">
        <v>58</v>
      </c>
      <c r="B88" t="str">
        <f t="shared" si="20"/>
        <v>SUB</v>
      </c>
      <c r="C88" s="3"/>
      <c r="D88" s="29">
        <f>D87</f>
        <v>0</v>
      </c>
      <c r="E88" s="30" t="str">
        <f>E87</f>
        <v>58700000</v>
      </c>
      <c r="F88" s="31">
        <f>IF(B87="SUB",IF(F87=0,1,0),F87)</f>
        <v>1</v>
      </c>
      <c r="G88" s="32" t="str">
        <f>G87</f>
        <v>94500000</v>
      </c>
      <c r="H88">
        <f>H87</f>
        <v>8</v>
      </c>
      <c r="I88">
        <f>I87</f>
        <v>5</v>
      </c>
      <c r="J88">
        <f>J87</f>
        <v>0</v>
      </c>
      <c r="K88">
        <f>K87</f>
        <v>4</v>
      </c>
    </row>
    <row r="89" spans="1:11" x14ac:dyDescent="0.3">
      <c r="A89" t="s">
        <v>76</v>
      </c>
      <c r="C89" t="b">
        <f>IF(D88=F88,IF(RIGHT(E88,1)+RIGHT(G88,1)&gt;9,1,0))</f>
        <v>0</v>
      </c>
      <c r="D89" s="27">
        <f>D107</f>
        <v>0</v>
      </c>
      <c r="E89" s="17" t="str">
        <f>IF(D88=F88,RIGHT((RIGHT(E88,1)+RIGHT(G88,1)),1)&amp;LEFT(E88,7),E88)</f>
        <v>58700000</v>
      </c>
      <c r="F89" s="27">
        <f>F107</f>
        <v>1</v>
      </c>
      <c r="G89" s="17" t="str">
        <f>IF(D88=F88,"0"&amp;LEFT(G88,7),G88)</f>
        <v>94500000</v>
      </c>
      <c r="H89">
        <f>H88</f>
        <v>8</v>
      </c>
      <c r="I89">
        <f>I88</f>
        <v>5</v>
      </c>
      <c r="J89">
        <f>J88</f>
        <v>0</v>
      </c>
      <c r="K89">
        <f>K88</f>
        <v>4</v>
      </c>
    </row>
    <row r="90" spans="1:11" x14ac:dyDescent="0.3">
      <c r="A90" t="s">
        <v>78</v>
      </c>
      <c r="C90" t="b">
        <f>IF(D89=F89,IF(RIGHT(E89,1)+RIGHT(G89,1)+C89&gt;9,1,0))</f>
        <v>0</v>
      </c>
      <c r="D90" s="27">
        <f t="shared" ref="D90:D96" si="51">D89</f>
        <v>0</v>
      </c>
      <c r="E90" s="17" t="str">
        <f>IF(D89=F89,RIGHT((RIGHT(E89,1)+RIGHT(G89,1)+C89),1)&amp;LEFT(E89,7),E89)</f>
        <v>58700000</v>
      </c>
      <c r="F90" s="27">
        <f t="shared" ref="F90:F96" si="52">F89</f>
        <v>1</v>
      </c>
      <c r="G90" s="17" t="str">
        <f t="shared" ref="G90:G96" si="53">IF(D89=F89,"0"&amp;LEFT(G89,7),G89)</f>
        <v>94500000</v>
      </c>
      <c r="H90">
        <f t="shared" ref="H90:J96" si="54">H89</f>
        <v>8</v>
      </c>
      <c r="I90">
        <f t="shared" si="54"/>
        <v>5</v>
      </c>
      <c r="J90">
        <f t="shared" si="54"/>
        <v>0</v>
      </c>
      <c r="K90">
        <f t="shared" si="39"/>
        <v>4</v>
      </c>
    </row>
    <row r="91" spans="1:11" x14ac:dyDescent="0.3">
      <c r="A91" t="s">
        <v>77</v>
      </c>
      <c r="C91" t="b">
        <f t="shared" ref="C91:C96" si="55">IF(D90=F90,IF(RIGHT(E90,1)+RIGHT(G90,1)+C90&gt;9,1,0))</f>
        <v>0</v>
      </c>
      <c r="D91" s="27">
        <f t="shared" si="51"/>
        <v>0</v>
      </c>
      <c r="E91" s="17" t="str">
        <f t="shared" ref="E91:E96" si="56">IF(D90=F90,RIGHT((RIGHT(E90,1)+RIGHT(G90,1)+C90),1)&amp;LEFT(E90,7),E90)</f>
        <v>58700000</v>
      </c>
      <c r="F91" s="27">
        <f t="shared" si="52"/>
        <v>1</v>
      </c>
      <c r="G91" s="17" t="str">
        <f t="shared" si="53"/>
        <v>94500000</v>
      </c>
      <c r="H91">
        <f t="shared" si="54"/>
        <v>8</v>
      </c>
      <c r="I91">
        <f t="shared" si="54"/>
        <v>5</v>
      </c>
      <c r="J91">
        <f t="shared" si="54"/>
        <v>0</v>
      </c>
      <c r="K91">
        <f t="shared" si="39"/>
        <v>4</v>
      </c>
    </row>
    <row r="92" spans="1:11" x14ac:dyDescent="0.3">
      <c r="A92" t="s">
        <v>79</v>
      </c>
      <c r="C92" t="b">
        <f t="shared" si="55"/>
        <v>0</v>
      </c>
      <c r="D92" s="27">
        <f t="shared" si="51"/>
        <v>0</v>
      </c>
      <c r="E92" s="17" t="str">
        <f t="shared" si="56"/>
        <v>58700000</v>
      </c>
      <c r="F92" s="27">
        <f t="shared" si="52"/>
        <v>1</v>
      </c>
      <c r="G92" s="17" t="str">
        <f t="shared" si="53"/>
        <v>94500000</v>
      </c>
      <c r="H92">
        <f t="shared" si="54"/>
        <v>8</v>
      </c>
      <c r="I92">
        <f t="shared" si="54"/>
        <v>5</v>
      </c>
      <c r="J92">
        <f t="shared" si="54"/>
        <v>0</v>
      </c>
      <c r="K92">
        <f t="shared" si="39"/>
        <v>4</v>
      </c>
    </row>
    <row r="93" spans="1:11" x14ac:dyDescent="0.3">
      <c r="A93" t="s">
        <v>80</v>
      </c>
      <c r="C93" t="b">
        <f t="shared" si="55"/>
        <v>0</v>
      </c>
      <c r="D93" s="27">
        <f t="shared" si="51"/>
        <v>0</v>
      </c>
      <c r="E93" s="17" t="str">
        <f t="shared" si="56"/>
        <v>58700000</v>
      </c>
      <c r="F93" s="27">
        <f t="shared" si="52"/>
        <v>1</v>
      </c>
      <c r="G93" s="17" t="str">
        <f t="shared" si="53"/>
        <v>94500000</v>
      </c>
      <c r="H93">
        <f t="shared" si="54"/>
        <v>8</v>
      </c>
      <c r="I93">
        <f t="shared" si="54"/>
        <v>5</v>
      </c>
      <c r="J93">
        <f t="shared" si="54"/>
        <v>0</v>
      </c>
      <c r="K93">
        <f t="shared" si="39"/>
        <v>4</v>
      </c>
    </row>
    <row r="94" spans="1:11" x14ac:dyDescent="0.3">
      <c r="A94" t="s">
        <v>81</v>
      </c>
      <c r="C94" t="b">
        <f t="shared" si="55"/>
        <v>0</v>
      </c>
      <c r="D94" s="27">
        <f t="shared" si="51"/>
        <v>0</v>
      </c>
      <c r="E94" s="17" t="str">
        <f t="shared" si="56"/>
        <v>58700000</v>
      </c>
      <c r="F94" s="27">
        <f t="shared" si="52"/>
        <v>1</v>
      </c>
      <c r="G94" s="17" t="str">
        <f t="shared" si="53"/>
        <v>94500000</v>
      </c>
      <c r="H94">
        <f t="shared" si="54"/>
        <v>8</v>
      </c>
      <c r="I94">
        <f t="shared" si="54"/>
        <v>5</v>
      </c>
      <c r="J94">
        <f t="shared" si="54"/>
        <v>0</v>
      </c>
      <c r="K94">
        <f t="shared" si="39"/>
        <v>4</v>
      </c>
    </row>
    <row r="95" spans="1:11" x14ac:dyDescent="0.3">
      <c r="A95" t="s">
        <v>82</v>
      </c>
      <c r="C95" t="b">
        <f t="shared" si="55"/>
        <v>0</v>
      </c>
      <c r="D95" s="27">
        <f t="shared" si="51"/>
        <v>0</v>
      </c>
      <c r="E95" s="17" t="str">
        <f t="shared" si="56"/>
        <v>58700000</v>
      </c>
      <c r="F95" s="27">
        <f t="shared" si="52"/>
        <v>1</v>
      </c>
      <c r="G95" s="17" t="str">
        <f t="shared" si="53"/>
        <v>94500000</v>
      </c>
      <c r="H95">
        <f t="shared" si="54"/>
        <v>8</v>
      </c>
      <c r="I95">
        <f t="shared" si="54"/>
        <v>5</v>
      </c>
      <c r="J95">
        <f t="shared" si="54"/>
        <v>0</v>
      </c>
      <c r="K95">
        <f t="shared" si="39"/>
        <v>4</v>
      </c>
    </row>
    <row r="96" spans="1:11" x14ac:dyDescent="0.3">
      <c r="A96" t="s">
        <v>83</v>
      </c>
      <c r="C96" t="b">
        <f t="shared" si="55"/>
        <v>0</v>
      </c>
      <c r="D96" s="40">
        <f t="shared" si="51"/>
        <v>0</v>
      </c>
      <c r="E96" s="17" t="str">
        <f t="shared" si="56"/>
        <v>58700000</v>
      </c>
      <c r="F96" s="40">
        <f t="shared" si="52"/>
        <v>1</v>
      </c>
      <c r="G96" s="17" t="str">
        <f t="shared" si="53"/>
        <v>94500000</v>
      </c>
      <c r="H96">
        <f t="shared" si="54"/>
        <v>8</v>
      </c>
      <c r="I96">
        <f t="shared" si="54"/>
        <v>5</v>
      </c>
      <c r="J96">
        <f t="shared" si="54"/>
        <v>0</v>
      </c>
      <c r="K96">
        <f t="shared" si="39"/>
        <v>4</v>
      </c>
    </row>
    <row r="97" spans="1:11" x14ac:dyDescent="0.3">
      <c r="A97" t="s">
        <v>84</v>
      </c>
      <c r="C97" s="3"/>
      <c r="D97" s="27">
        <f>D96</f>
        <v>0</v>
      </c>
      <c r="E97" s="17" t="str">
        <f>IF(C96=1,C96&amp;LEFT(E96,7),E96)</f>
        <v>58700000</v>
      </c>
      <c r="I97" s="4">
        <f>IF(C96=1,I96-1,I96)</f>
        <v>5</v>
      </c>
    </row>
    <row r="98" spans="1:11" ht="15" customHeight="1" x14ac:dyDescent="0.35">
      <c r="B98" s="34" t="str">
        <f>IF(NOT(_xlfn.XOR(D96,F96)),"X","")</f>
        <v/>
      </c>
      <c r="D98" s="45" t="str">
        <f>IF(D97=1,"-","+")</f>
        <v>+</v>
      </c>
      <c r="E98" s="3" t="str">
        <f>REPLACE(E97, 8-(I97-1),0,".")</f>
        <v>587.00000</v>
      </c>
      <c r="I98">
        <f>I97</f>
        <v>5</v>
      </c>
    </row>
    <row r="99" spans="1:11" x14ac:dyDescent="0.3">
      <c r="A99" t="s">
        <v>59</v>
      </c>
      <c r="C99" s="3"/>
      <c r="D99" s="27">
        <f>D88</f>
        <v>0</v>
      </c>
      <c r="E99" s="17" t="str">
        <f>IF(D88=1,RIGHT(G88,1)&amp;LEFT(E88,7),E88)</f>
        <v>58700000</v>
      </c>
      <c r="F99" s="27">
        <f>F88</f>
        <v>1</v>
      </c>
      <c r="G99" s="17" t="str">
        <f>IF(D88=1,RIGHT(E88,1)&amp;LEFT(G88,7),G88)</f>
        <v>94500000</v>
      </c>
      <c r="H99">
        <f>H88</f>
        <v>8</v>
      </c>
      <c r="I99">
        <f>I98</f>
        <v>5</v>
      </c>
      <c r="J99">
        <f>J88</f>
        <v>0</v>
      </c>
      <c r="K99">
        <f>K88</f>
        <v>4</v>
      </c>
    </row>
    <row r="100" spans="1:11" x14ac:dyDescent="0.3">
      <c r="A100" t="s">
        <v>60</v>
      </c>
      <c r="C100" s="3"/>
      <c r="D100" s="27">
        <f t="shared" ref="D100:D106" si="57">D99</f>
        <v>0</v>
      </c>
      <c r="E100" s="17" t="str">
        <f t="shared" ref="E100:E106" si="58">IF(D100=1,RIGHT(G99,1)&amp;LEFT(E99,7),E99)</f>
        <v>58700000</v>
      </c>
      <c r="F100" s="27">
        <f t="shared" ref="F100:F106" si="59">F99</f>
        <v>1</v>
      </c>
      <c r="G100" s="17" t="str">
        <f t="shared" ref="G100:G106" si="60">IF(D99=1,RIGHT(E99,1)&amp;LEFT(G99,7),G99)</f>
        <v>94500000</v>
      </c>
      <c r="H100">
        <f t="shared" ref="H100:K115" si="61">H99</f>
        <v>8</v>
      </c>
      <c r="I100">
        <f t="shared" si="61"/>
        <v>5</v>
      </c>
      <c r="J100">
        <f t="shared" si="61"/>
        <v>0</v>
      </c>
      <c r="K100">
        <f t="shared" si="61"/>
        <v>4</v>
      </c>
    </row>
    <row r="101" spans="1:11" x14ac:dyDescent="0.3">
      <c r="A101" t="s">
        <v>61</v>
      </c>
      <c r="C101" s="3"/>
      <c r="D101" s="27">
        <f t="shared" si="57"/>
        <v>0</v>
      </c>
      <c r="E101" s="17" t="str">
        <f t="shared" si="58"/>
        <v>58700000</v>
      </c>
      <c r="F101" s="27">
        <f t="shared" si="59"/>
        <v>1</v>
      </c>
      <c r="G101" s="17" t="str">
        <f t="shared" si="60"/>
        <v>94500000</v>
      </c>
      <c r="H101">
        <f t="shared" si="61"/>
        <v>8</v>
      </c>
      <c r="I101">
        <f t="shared" si="61"/>
        <v>5</v>
      </c>
      <c r="J101">
        <f t="shared" si="61"/>
        <v>0</v>
      </c>
      <c r="K101">
        <f t="shared" si="61"/>
        <v>4</v>
      </c>
    </row>
    <row r="102" spans="1:11" x14ac:dyDescent="0.3">
      <c r="A102" t="s">
        <v>62</v>
      </c>
      <c r="C102" s="3"/>
      <c r="D102" s="27">
        <f t="shared" si="57"/>
        <v>0</v>
      </c>
      <c r="E102" s="17" t="str">
        <f t="shared" si="58"/>
        <v>58700000</v>
      </c>
      <c r="F102" s="27">
        <f t="shared" si="59"/>
        <v>1</v>
      </c>
      <c r="G102" s="17" t="str">
        <f t="shared" si="60"/>
        <v>94500000</v>
      </c>
      <c r="H102">
        <f t="shared" si="61"/>
        <v>8</v>
      </c>
      <c r="I102">
        <f t="shared" si="61"/>
        <v>5</v>
      </c>
      <c r="J102">
        <f t="shared" si="61"/>
        <v>0</v>
      </c>
      <c r="K102">
        <f t="shared" si="61"/>
        <v>4</v>
      </c>
    </row>
    <row r="103" spans="1:11" x14ac:dyDescent="0.3">
      <c r="A103" t="s">
        <v>63</v>
      </c>
      <c r="C103" s="3"/>
      <c r="D103" s="27">
        <f t="shared" si="57"/>
        <v>0</v>
      </c>
      <c r="E103" s="17" t="str">
        <f t="shared" si="58"/>
        <v>58700000</v>
      </c>
      <c r="F103" s="27">
        <f t="shared" si="59"/>
        <v>1</v>
      </c>
      <c r="G103" s="17" t="str">
        <f t="shared" si="60"/>
        <v>94500000</v>
      </c>
      <c r="H103">
        <f t="shared" si="61"/>
        <v>8</v>
      </c>
      <c r="I103">
        <f t="shared" si="61"/>
        <v>5</v>
      </c>
      <c r="J103">
        <f t="shared" si="61"/>
        <v>0</v>
      </c>
      <c r="K103">
        <f t="shared" si="61"/>
        <v>4</v>
      </c>
    </row>
    <row r="104" spans="1:11" x14ac:dyDescent="0.3">
      <c r="A104" t="s">
        <v>64</v>
      </c>
      <c r="C104" s="3"/>
      <c r="D104" s="27">
        <f t="shared" si="57"/>
        <v>0</v>
      </c>
      <c r="E104" s="17" t="str">
        <f t="shared" si="58"/>
        <v>58700000</v>
      </c>
      <c r="F104" s="27">
        <f t="shared" si="59"/>
        <v>1</v>
      </c>
      <c r="G104" s="17" t="str">
        <f t="shared" si="60"/>
        <v>94500000</v>
      </c>
      <c r="H104">
        <f t="shared" si="61"/>
        <v>8</v>
      </c>
      <c r="I104">
        <f t="shared" si="61"/>
        <v>5</v>
      </c>
      <c r="J104">
        <f t="shared" si="61"/>
        <v>0</v>
      </c>
      <c r="K104">
        <f t="shared" si="61"/>
        <v>4</v>
      </c>
    </row>
    <row r="105" spans="1:11" x14ac:dyDescent="0.3">
      <c r="A105" t="s">
        <v>65</v>
      </c>
      <c r="C105" s="3"/>
      <c r="D105" s="27">
        <f t="shared" si="57"/>
        <v>0</v>
      </c>
      <c r="E105" s="17" t="str">
        <f t="shared" si="58"/>
        <v>58700000</v>
      </c>
      <c r="F105" s="27">
        <f t="shared" si="59"/>
        <v>1</v>
      </c>
      <c r="G105" s="17" t="str">
        <f t="shared" si="60"/>
        <v>94500000</v>
      </c>
      <c r="H105">
        <f t="shared" si="61"/>
        <v>8</v>
      </c>
      <c r="I105">
        <f t="shared" si="61"/>
        <v>5</v>
      </c>
      <c r="J105">
        <f t="shared" si="61"/>
        <v>0</v>
      </c>
      <c r="K105">
        <f t="shared" si="61"/>
        <v>4</v>
      </c>
    </row>
    <row r="106" spans="1:11" x14ac:dyDescent="0.3">
      <c r="A106" t="s">
        <v>66</v>
      </c>
      <c r="C106" s="3"/>
      <c r="D106" s="27">
        <f t="shared" si="57"/>
        <v>0</v>
      </c>
      <c r="E106" s="17" t="str">
        <f t="shared" si="58"/>
        <v>58700000</v>
      </c>
      <c r="F106" s="27">
        <f t="shared" si="59"/>
        <v>1</v>
      </c>
      <c r="G106" s="17" t="str">
        <f t="shared" si="60"/>
        <v>94500000</v>
      </c>
      <c r="H106">
        <f t="shared" si="61"/>
        <v>8</v>
      </c>
      <c r="I106">
        <f t="shared" si="61"/>
        <v>5</v>
      </c>
      <c r="J106">
        <f t="shared" si="61"/>
        <v>0</v>
      </c>
      <c r="K106">
        <f t="shared" si="61"/>
        <v>4</v>
      </c>
    </row>
    <row r="107" spans="1:11" x14ac:dyDescent="0.3">
      <c r="A107" t="s">
        <v>67</v>
      </c>
      <c r="C107" s="3"/>
      <c r="D107" s="28">
        <f>IF(D106=1,F106,D106)</f>
        <v>0</v>
      </c>
      <c r="E107" t="str">
        <f>E106</f>
        <v>58700000</v>
      </c>
      <c r="F107" s="28">
        <f>IF(D106=1,D106,F106)</f>
        <v>1</v>
      </c>
      <c r="G107" t="str">
        <f>G106</f>
        <v>94500000</v>
      </c>
      <c r="H107">
        <f t="shared" si="61"/>
        <v>8</v>
      </c>
      <c r="I107">
        <f t="shared" si="61"/>
        <v>5</v>
      </c>
      <c r="J107">
        <f t="shared" si="61"/>
        <v>0</v>
      </c>
      <c r="K107">
        <f t="shared" si="61"/>
        <v>4</v>
      </c>
    </row>
    <row r="108" spans="1:11" x14ac:dyDescent="0.3">
      <c r="A108" t="s">
        <v>93</v>
      </c>
      <c r="C108" s="17">
        <f>IF(10-RIGHT(G107,1)+RIGHT(E107,1)&gt;9,1,0)</f>
        <v>1</v>
      </c>
      <c r="E108" s="17" t="str">
        <f>RIGHT(10-RIGHT(G107,1)+RIGHT(E107,1),1)&amp;LEFT(E107,7)</f>
        <v>05870000</v>
      </c>
      <c r="G108" s="17" t="str">
        <f t="shared" ref="G108:G115" si="62">"0"&amp;LEFT(G107,7)</f>
        <v>09450000</v>
      </c>
      <c r="I108">
        <f t="shared" si="61"/>
        <v>5</v>
      </c>
    </row>
    <row r="109" spans="1:11" x14ac:dyDescent="0.3">
      <c r="A109" t="s">
        <v>93</v>
      </c>
      <c r="C109" s="17">
        <f>IF(C108+9-RIGHT(G108,1)+RIGHT(E108,1)&gt;9,1,0)</f>
        <v>1</v>
      </c>
      <c r="E109" s="17" t="str">
        <f>RIGHT(C108+9-RIGHT(G108,1)+RIGHT(E108,1),1)&amp;LEFT(E108,7)</f>
        <v>00587000</v>
      </c>
      <c r="G109" s="17" t="str">
        <f t="shared" si="62"/>
        <v>00945000</v>
      </c>
      <c r="I109">
        <f t="shared" si="61"/>
        <v>5</v>
      </c>
    </row>
    <row r="110" spans="1:11" x14ac:dyDescent="0.3">
      <c r="A110" t="s">
        <v>93</v>
      </c>
      <c r="C110" s="17">
        <f t="shared" ref="C110:C115" si="63">IF(C109+9-RIGHT(G109,1)+RIGHT(E109,1)&gt;9,1,0)</f>
        <v>1</v>
      </c>
      <c r="E110" s="17" t="str">
        <f t="shared" ref="E110:E115" si="64">RIGHT(C109+9-RIGHT(G109,1)+RIGHT(E109,1),1)&amp;LEFT(E109,7)</f>
        <v>00058700</v>
      </c>
      <c r="G110" s="17" t="str">
        <f t="shared" si="62"/>
        <v>00094500</v>
      </c>
      <c r="I110">
        <f t="shared" si="61"/>
        <v>5</v>
      </c>
    </row>
    <row r="111" spans="1:11" x14ac:dyDescent="0.3">
      <c r="A111" t="s">
        <v>93</v>
      </c>
      <c r="C111" s="17">
        <f t="shared" si="63"/>
        <v>1</v>
      </c>
      <c r="E111" s="17" t="str">
        <f t="shared" si="64"/>
        <v>00005870</v>
      </c>
      <c r="G111" s="17" t="str">
        <f t="shared" si="62"/>
        <v>00009450</v>
      </c>
      <c r="I111">
        <f t="shared" si="61"/>
        <v>5</v>
      </c>
    </row>
    <row r="112" spans="1:11" x14ac:dyDescent="0.3">
      <c r="A112" t="s">
        <v>93</v>
      </c>
      <c r="C112" s="17">
        <f t="shared" si="63"/>
        <v>1</v>
      </c>
      <c r="E112" s="17" t="str">
        <f t="shared" si="64"/>
        <v>00000587</v>
      </c>
      <c r="G112" s="17" t="str">
        <f t="shared" si="62"/>
        <v>00000945</v>
      </c>
      <c r="I112">
        <f t="shared" si="61"/>
        <v>5</v>
      </c>
    </row>
    <row r="113" spans="1:14" x14ac:dyDescent="0.3">
      <c r="A113" t="s">
        <v>93</v>
      </c>
      <c r="C113" s="17">
        <f t="shared" si="63"/>
        <v>1</v>
      </c>
      <c r="E113" s="17" t="str">
        <f t="shared" si="64"/>
        <v>20000058</v>
      </c>
      <c r="G113" s="17" t="str">
        <f t="shared" si="62"/>
        <v>00000094</v>
      </c>
      <c r="I113">
        <f t="shared" si="61"/>
        <v>5</v>
      </c>
    </row>
    <row r="114" spans="1:14" x14ac:dyDescent="0.3">
      <c r="A114" t="s">
        <v>93</v>
      </c>
      <c r="C114" s="17">
        <f t="shared" si="63"/>
        <v>1</v>
      </c>
      <c r="E114" s="17" t="str">
        <f t="shared" si="64"/>
        <v>42000005</v>
      </c>
      <c r="G114" s="17" t="str">
        <f t="shared" si="62"/>
        <v>00000009</v>
      </c>
      <c r="I114">
        <f t="shared" si="61"/>
        <v>5</v>
      </c>
    </row>
    <row r="115" spans="1:14" x14ac:dyDescent="0.3">
      <c r="A115" t="s">
        <v>94</v>
      </c>
      <c r="C115" s="38">
        <f t="shared" si="63"/>
        <v>0</v>
      </c>
      <c r="D115" s="39"/>
      <c r="E115" s="37" t="str">
        <f t="shared" si="64"/>
        <v>64200000</v>
      </c>
      <c r="G115" s="17" t="str">
        <f t="shared" si="62"/>
        <v>00000000</v>
      </c>
      <c r="I115">
        <f t="shared" si="61"/>
        <v>5</v>
      </c>
      <c r="N115" s="2" t="s">
        <v>118</v>
      </c>
    </row>
    <row r="116" spans="1:14" ht="18" x14ac:dyDescent="0.35">
      <c r="B116" s="34" t="str">
        <f>IF(_xlfn.XOR(D$96,F$96),IF(C116=1,"X",""),"")</f>
        <v/>
      </c>
      <c r="C116" s="37">
        <f>C115</f>
        <v>0</v>
      </c>
      <c r="D116" s="46" t="s">
        <v>68</v>
      </c>
      <c r="E116" s="37" t="str">
        <f>REPLACE(E115, 8-(I115-1),0,".")</f>
        <v>642.00000</v>
      </c>
      <c r="G116" s="17" t="str">
        <f>G115</f>
        <v>00000000</v>
      </c>
      <c r="I116">
        <f>I115</f>
        <v>5</v>
      </c>
      <c r="M116" t="s">
        <v>117</v>
      </c>
    </row>
    <row r="117" spans="1:14" x14ac:dyDescent="0.3">
      <c r="A117" t="s">
        <v>95</v>
      </c>
      <c r="C117" s="17">
        <f>IF(10-RIGHT(E115,1)&gt;9,1,0)</f>
        <v>1</v>
      </c>
      <c r="E117" s="17" t="str">
        <f>RIGHT(10-RIGHT(E115,1),1)&amp;LEFT(E115,7)</f>
        <v>06420000</v>
      </c>
      <c r="I117">
        <f>I116</f>
        <v>5</v>
      </c>
    </row>
    <row r="118" spans="1:14" x14ac:dyDescent="0.3">
      <c r="A118" t="s">
        <v>95</v>
      </c>
      <c r="C118" s="17">
        <f>IF(C117+9-RIGHT(E117,1)&gt;9,1,0)</f>
        <v>1</v>
      </c>
      <c r="E118" s="17" t="str">
        <f>RIGHT(C117+9-RIGHT(E117,1),1)&amp;LEFT(E117,7)</f>
        <v>00642000</v>
      </c>
      <c r="I118">
        <f t="shared" ref="I118:I124" si="65">I117</f>
        <v>5</v>
      </c>
    </row>
    <row r="119" spans="1:14" x14ac:dyDescent="0.3">
      <c r="A119" t="s">
        <v>95</v>
      </c>
      <c r="C119" s="17">
        <f t="shared" ref="C119:C124" si="66">IF(C118+9-RIGHT(E118,1)&gt;9,1,0)</f>
        <v>1</v>
      </c>
      <c r="E119" s="17" t="str">
        <f t="shared" ref="E119:E124" si="67">RIGHT(C118+9-RIGHT(E118,1),1)&amp;LEFT(E118,7)</f>
        <v>00064200</v>
      </c>
      <c r="I119">
        <f t="shared" si="65"/>
        <v>5</v>
      </c>
    </row>
    <row r="120" spans="1:14" x14ac:dyDescent="0.3">
      <c r="A120" t="s">
        <v>95</v>
      </c>
      <c r="C120" s="17">
        <f t="shared" si="66"/>
        <v>1</v>
      </c>
      <c r="E120" s="17" t="str">
        <f t="shared" si="67"/>
        <v>00006420</v>
      </c>
      <c r="I120">
        <f t="shared" si="65"/>
        <v>5</v>
      </c>
    </row>
    <row r="121" spans="1:14" x14ac:dyDescent="0.3">
      <c r="A121" t="s">
        <v>95</v>
      </c>
      <c r="C121" s="17">
        <f t="shared" si="66"/>
        <v>1</v>
      </c>
      <c r="E121" s="17" t="str">
        <f t="shared" si="67"/>
        <v>00000642</v>
      </c>
      <c r="I121">
        <f t="shared" si="65"/>
        <v>5</v>
      </c>
    </row>
    <row r="122" spans="1:14" x14ac:dyDescent="0.3">
      <c r="A122" t="s">
        <v>95</v>
      </c>
      <c r="C122" s="17">
        <f t="shared" si="66"/>
        <v>0</v>
      </c>
      <c r="E122" s="17" t="str">
        <f t="shared" si="67"/>
        <v>80000064</v>
      </c>
      <c r="I122">
        <f t="shared" si="65"/>
        <v>5</v>
      </c>
    </row>
    <row r="123" spans="1:14" x14ac:dyDescent="0.3">
      <c r="A123" t="s">
        <v>95</v>
      </c>
      <c r="C123" s="17">
        <f t="shared" si="66"/>
        <v>0</v>
      </c>
      <c r="E123" s="17" t="str">
        <f t="shared" si="67"/>
        <v>58000006</v>
      </c>
      <c r="I123">
        <f t="shared" si="65"/>
        <v>5</v>
      </c>
    </row>
    <row r="124" spans="1:14" x14ac:dyDescent="0.3">
      <c r="A124" t="s">
        <v>95</v>
      </c>
      <c r="C124" s="17">
        <f t="shared" si="66"/>
        <v>0</v>
      </c>
      <c r="E124" s="17" t="str">
        <f t="shared" si="67"/>
        <v>35800000</v>
      </c>
      <c r="I124">
        <f t="shared" si="65"/>
        <v>5</v>
      </c>
    </row>
    <row r="125" spans="1:14" ht="13.8" customHeight="1" x14ac:dyDescent="0.35">
      <c r="B125" s="34" t="str">
        <f>IF(_xlfn.XOR(D96,F96),IF(C115=0,"X",""),"")</f>
        <v>X</v>
      </c>
      <c r="D125" s="46" t="s">
        <v>2</v>
      </c>
      <c r="E125" s="37" t="str">
        <f>REPLACE(E124, 8-(I124-1),0,".")</f>
        <v>358.00000</v>
      </c>
    </row>
    <row r="126" spans="1:14" x14ac:dyDescent="0.3">
      <c r="D126" s="33" t="str" cm="1">
        <f t="array" ref="D126">_xlfn.IFS(B98="X",D98,B116="X",D116,B125="X",D125)</f>
        <v>-</v>
      </c>
      <c r="E126" s="33" t="str" cm="1">
        <f t="array" ref="E126">_xlfn.IFS(B98="X",E97,B116="X",E115,B125="X",E124)</f>
        <v>35800000</v>
      </c>
    </row>
    <row r="127" spans="1:14" x14ac:dyDescent="0.3">
      <c r="A127" t="s">
        <v>128</v>
      </c>
      <c r="C127" s="28">
        <f>LEFT(E126,1)*1</f>
        <v>3</v>
      </c>
      <c r="D127" s="27" t="str">
        <f t="shared" ref="D127:D140" si="68">D126</f>
        <v>-</v>
      </c>
      <c r="E127" t="str">
        <f>E126</f>
        <v>35800000</v>
      </c>
      <c r="I127">
        <f>I124</f>
        <v>5</v>
      </c>
    </row>
    <row r="128" spans="1:14" x14ac:dyDescent="0.3">
      <c r="A128" t="s">
        <v>126</v>
      </c>
      <c r="C128" s="27">
        <f>C127</f>
        <v>3</v>
      </c>
      <c r="D128" s="27" t="str">
        <f t="shared" si="68"/>
        <v>-</v>
      </c>
      <c r="E128" s="17" t="str">
        <f>IF(C127=0,RIGHT(E127,7)&amp;"0",E127)</f>
        <v>35800000</v>
      </c>
      <c r="I128" s="17">
        <f>IF(C127=0,I127+1,I127)</f>
        <v>5</v>
      </c>
    </row>
    <row r="129" spans="1:9" x14ac:dyDescent="0.3">
      <c r="A129" t="s">
        <v>129</v>
      </c>
      <c r="C129" s="28">
        <f>LEFT(E128,1)*1</f>
        <v>3</v>
      </c>
      <c r="D129" s="27" t="str">
        <f t="shared" si="68"/>
        <v>-</v>
      </c>
      <c r="E129" t="str">
        <f>E128</f>
        <v>35800000</v>
      </c>
      <c r="I129">
        <f t="shared" ref="I129:I139" si="69">I128</f>
        <v>5</v>
      </c>
    </row>
    <row r="130" spans="1:9" x14ac:dyDescent="0.3">
      <c r="A130" t="s">
        <v>126</v>
      </c>
      <c r="C130" s="27">
        <f>C129</f>
        <v>3</v>
      </c>
      <c r="D130" s="27" t="str">
        <f t="shared" si="68"/>
        <v>-</v>
      </c>
      <c r="E130" s="17" t="str">
        <f>IF(C129=0,RIGHT(E129,7)&amp;"0",E129)</f>
        <v>35800000</v>
      </c>
      <c r="I130" s="17">
        <f>IF(C129=0,I129+1,I129)</f>
        <v>5</v>
      </c>
    </row>
    <row r="131" spans="1:9" x14ac:dyDescent="0.3">
      <c r="A131" t="s">
        <v>130</v>
      </c>
      <c r="C131" s="28">
        <f>LEFT(E130,1)*1</f>
        <v>3</v>
      </c>
      <c r="D131" s="27" t="str">
        <f t="shared" si="68"/>
        <v>-</v>
      </c>
      <c r="E131" t="str">
        <f>E130</f>
        <v>35800000</v>
      </c>
      <c r="I131">
        <f t="shared" si="69"/>
        <v>5</v>
      </c>
    </row>
    <row r="132" spans="1:9" x14ac:dyDescent="0.3">
      <c r="A132" t="s">
        <v>126</v>
      </c>
      <c r="C132" s="27">
        <f>C131</f>
        <v>3</v>
      </c>
      <c r="D132" s="27" t="str">
        <f t="shared" si="68"/>
        <v>-</v>
      </c>
      <c r="E132" s="17" t="str">
        <f>IF(C131=0,RIGHT(E131,7)&amp;"0",E131)</f>
        <v>35800000</v>
      </c>
      <c r="I132" s="17">
        <f>IF(C131=0,I131+1,I131)</f>
        <v>5</v>
      </c>
    </row>
    <row r="133" spans="1:9" x14ac:dyDescent="0.3">
      <c r="A133" t="s">
        <v>131</v>
      </c>
      <c r="C133" s="28">
        <f>LEFT(E132,1)*1</f>
        <v>3</v>
      </c>
      <c r="D133" s="27" t="str">
        <f t="shared" si="68"/>
        <v>-</v>
      </c>
      <c r="E133" t="str">
        <f>E132</f>
        <v>35800000</v>
      </c>
      <c r="I133">
        <f t="shared" si="69"/>
        <v>5</v>
      </c>
    </row>
    <row r="134" spans="1:9" x14ac:dyDescent="0.3">
      <c r="A134" t="s">
        <v>126</v>
      </c>
      <c r="C134" s="27">
        <f>C133</f>
        <v>3</v>
      </c>
      <c r="D134" s="27" t="str">
        <f t="shared" si="68"/>
        <v>-</v>
      </c>
      <c r="E134" s="17" t="str">
        <f>IF(C133=0,RIGHT(E133,7)&amp;"0",E133)</f>
        <v>35800000</v>
      </c>
      <c r="I134" s="17">
        <f>IF(C133=0,I133+1,I133)</f>
        <v>5</v>
      </c>
    </row>
    <row r="135" spans="1:9" x14ac:dyDescent="0.3">
      <c r="A135" t="s">
        <v>132</v>
      </c>
      <c r="C135" s="28">
        <f>LEFT(E134,1)*1</f>
        <v>3</v>
      </c>
      <c r="D135" s="27" t="str">
        <f t="shared" si="68"/>
        <v>-</v>
      </c>
      <c r="E135" t="str">
        <f>E134</f>
        <v>35800000</v>
      </c>
      <c r="I135">
        <f t="shared" si="69"/>
        <v>5</v>
      </c>
    </row>
    <row r="136" spans="1:9" x14ac:dyDescent="0.3">
      <c r="A136" t="s">
        <v>126</v>
      </c>
      <c r="C136" s="27">
        <f>C135</f>
        <v>3</v>
      </c>
      <c r="D136" s="27" t="str">
        <f t="shared" si="68"/>
        <v>-</v>
      </c>
      <c r="E136" s="17" t="str">
        <f>IF(C135=0,RIGHT(E135,7)&amp;"0",E135)</f>
        <v>35800000</v>
      </c>
      <c r="I136" s="17">
        <f>IF(C135=0,I135+1,I135)</f>
        <v>5</v>
      </c>
    </row>
    <row r="137" spans="1:9" x14ac:dyDescent="0.3">
      <c r="A137" t="s">
        <v>133</v>
      </c>
      <c r="C137" s="28">
        <f>LEFT(E136,1)*1</f>
        <v>3</v>
      </c>
      <c r="D137" s="27" t="str">
        <f t="shared" si="68"/>
        <v>-</v>
      </c>
      <c r="E137" t="str">
        <f>E136</f>
        <v>35800000</v>
      </c>
      <c r="I137">
        <f t="shared" si="69"/>
        <v>5</v>
      </c>
    </row>
    <row r="138" spans="1:9" x14ac:dyDescent="0.3">
      <c r="A138" t="s">
        <v>126</v>
      </c>
      <c r="C138" s="27">
        <f>C137</f>
        <v>3</v>
      </c>
      <c r="D138" s="27" t="str">
        <f t="shared" si="68"/>
        <v>-</v>
      </c>
      <c r="E138" s="17" t="str">
        <f>IF(C137=0,RIGHT(E137,7)&amp;"0",E137)</f>
        <v>35800000</v>
      </c>
      <c r="I138" s="17">
        <f>IF(C137=0,I137+1,I137)</f>
        <v>5</v>
      </c>
    </row>
    <row r="139" spans="1:9" x14ac:dyDescent="0.3">
      <c r="A139" t="s">
        <v>134</v>
      </c>
      <c r="C139" s="28">
        <f>LEFT(E138,1)*1</f>
        <v>3</v>
      </c>
      <c r="D139" s="27" t="str">
        <f t="shared" si="68"/>
        <v>-</v>
      </c>
      <c r="E139" t="str">
        <f>E138</f>
        <v>35800000</v>
      </c>
      <c r="I139">
        <f t="shared" si="69"/>
        <v>5</v>
      </c>
    </row>
    <row r="140" spans="1:9" ht="15" thickBot="1" x14ac:dyDescent="0.35">
      <c r="A140" t="s">
        <v>126</v>
      </c>
      <c r="C140" s="27">
        <f>C139</f>
        <v>3</v>
      </c>
      <c r="D140" s="27" t="str">
        <f t="shared" si="68"/>
        <v>-</v>
      </c>
      <c r="E140" s="17" t="str">
        <f>IF(C139=0,RIGHT(E139,7)&amp;"0",E139)</f>
        <v>35800000</v>
      </c>
      <c r="I140" s="17">
        <f>IF(C139=0,I139+1,I139)</f>
        <v>5</v>
      </c>
    </row>
    <row r="141" spans="1:9" ht="15" thickBot="1" x14ac:dyDescent="0.35">
      <c r="D141" s="47" t="str">
        <f>D140</f>
        <v>-</v>
      </c>
      <c r="E141" s="48" t="str">
        <f>REPLACE(E140, 8-(I140-1),0,".")</f>
        <v>358.00000</v>
      </c>
      <c r="G141" s="3" t="str">
        <f>IF(I140&lt;0,"ERROR","")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A045-B8C4-43CB-B3FD-D26E66A3BBC8}">
  <sheetPr>
    <tabColor rgb="FF92D050"/>
  </sheetPr>
  <dimension ref="A1:V244"/>
  <sheetViews>
    <sheetView tabSelected="1" workbookViewId="0">
      <selection activeCell="C71" sqref="C71"/>
    </sheetView>
  </sheetViews>
  <sheetFormatPr defaultRowHeight="14.4" x14ac:dyDescent="0.3"/>
  <cols>
    <col min="1" max="1" width="13.21875" customWidth="1"/>
    <col min="5" max="5" width="3.77734375" customWidth="1"/>
    <col min="7" max="7" width="3.77734375" customWidth="1"/>
    <col min="8" max="8" width="2.5546875" customWidth="1"/>
    <col min="9" max="9" width="10.21875" customWidth="1"/>
    <col min="10" max="11" width="3.77734375" customWidth="1"/>
    <col min="13" max="13" width="4.109375" customWidth="1"/>
    <col min="14" max="14" width="9.109375" customWidth="1"/>
    <col min="15" max="15" width="4.109375" customWidth="1"/>
    <col min="16" max="16" width="6.21875" customWidth="1"/>
    <col min="17" max="17" width="4.109375" customWidth="1"/>
    <col min="18" max="19" width="4.77734375" customWidth="1"/>
    <col min="20" max="20" width="6.6640625" customWidth="1"/>
  </cols>
  <sheetData>
    <row r="1" spans="1:22" x14ac:dyDescent="0.3">
      <c r="A1" s="3"/>
      <c r="G1" s="5" t="s">
        <v>12</v>
      </c>
      <c r="H1" s="5" t="s">
        <v>25</v>
      </c>
      <c r="I1" s="5" t="s">
        <v>8</v>
      </c>
      <c r="J1" s="5"/>
      <c r="K1" s="5" t="s">
        <v>13</v>
      </c>
      <c r="L1" s="5" t="s">
        <v>9</v>
      </c>
      <c r="M1" s="5"/>
      <c r="N1" s="5" t="s">
        <v>10</v>
      </c>
      <c r="O1" s="5" t="s">
        <v>3</v>
      </c>
      <c r="P1" s="5" t="s">
        <v>6</v>
      </c>
      <c r="Q1" s="22" t="s">
        <v>18</v>
      </c>
      <c r="R1" s="5" t="s">
        <v>123</v>
      </c>
      <c r="S1" s="5" t="s">
        <v>124</v>
      </c>
      <c r="T1" s="43" t="s">
        <v>122</v>
      </c>
    </row>
    <row r="2" spans="1:22" x14ac:dyDescent="0.3">
      <c r="A2" s="3" t="s">
        <v>11</v>
      </c>
      <c r="I2" s="3">
        <v>22222222</v>
      </c>
      <c r="P2" s="17">
        <f>IF(ISNUMBER(SEARCH(".",I2)),LEN(I2)-1,LEN(I2))</f>
        <v>8</v>
      </c>
      <c r="Q2" s="17">
        <f>(IF(ISNUMBER(FIND(".",I2)),LEN(I2)-FIND(".",I2),0))</f>
        <v>0</v>
      </c>
      <c r="R2" s="17" cm="1">
        <f t="array" ref="R2">IF(I2&lt;1,_xlfn.IFS(I2=0,0,I2&gt;=0.1,-1,I2&gt;=0.01,-2,I2&gt;=0.001,-3,I2&gt;=0.0001,-4,I2&gt;=0.00001,-5,I2&gt;=0.000001,-6,I2&gt;=0.0000001,-7),_xlfn.IFS(I2&lt;10,0,I2&lt;100,1,I2&lt;1000,2,I2&lt;10000,3,I2&lt;100000,4,I2&lt;1000000,5,I2&lt;10000000,6,I2&lt;100000000,7))</f>
        <v>7</v>
      </c>
      <c r="S2" s="17" cm="1">
        <f t="array" ref="S2">IF(I2&lt;1,_xlfn.IFS(I2=0,0,I2&gt;=0.1,-1,I2&gt;=0.01,-2,I2&gt;=0.001,-3,I2&gt;=0.0001,-4,I2&gt;=0.00001,-5,I2&gt;=0.000001,-6,I2&gt;=0.0000001,-7),_xlfn.IFS(I2&lt;10,0,I2&lt;100,1,I2&lt;1000,2,I2&lt;10000,3,I2&lt;100000,4,I2&lt;1000000,5,I2&lt;10000000,6,I2&lt;100000000,7))</f>
        <v>7</v>
      </c>
      <c r="T2" s="17">
        <f>IF(LEFT(I2,2)="0.",1,0)</f>
        <v>0</v>
      </c>
      <c r="V2" s="44"/>
    </row>
    <row r="3" spans="1:22" x14ac:dyDescent="0.3">
      <c r="A3" s="3"/>
      <c r="I3" s="42" t="str">
        <f>IF(LEFT(I2,2)="0.",SUBSTITUTE(I2,"0.",""),SUBSTITUTE(I2,".",""))</f>
        <v>22222222</v>
      </c>
      <c r="P3">
        <f>P2</f>
        <v>8</v>
      </c>
      <c r="Q3">
        <f t="shared" ref="Q3:T5" si="0">Q2</f>
        <v>0</v>
      </c>
      <c r="R3">
        <f t="shared" si="0"/>
        <v>7</v>
      </c>
      <c r="S3">
        <f t="shared" si="0"/>
        <v>7</v>
      </c>
      <c r="T3">
        <f>T2</f>
        <v>0</v>
      </c>
      <c r="V3" s="44"/>
    </row>
    <row r="4" spans="1:22" x14ac:dyDescent="0.3">
      <c r="A4" s="3" t="s">
        <v>7</v>
      </c>
      <c r="I4" t="str">
        <f>REPT("0",8-LEN(I3))&amp;I3</f>
        <v>22222222</v>
      </c>
      <c r="P4">
        <f>P3</f>
        <v>8</v>
      </c>
      <c r="Q4">
        <f t="shared" si="0"/>
        <v>0</v>
      </c>
      <c r="R4">
        <f t="shared" si="0"/>
        <v>7</v>
      </c>
      <c r="S4">
        <f t="shared" si="0"/>
        <v>7</v>
      </c>
      <c r="T4">
        <f>T3</f>
        <v>0</v>
      </c>
      <c r="U4" s="21"/>
      <c r="V4" t="s">
        <v>135</v>
      </c>
    </row>
    <row r="5" spans="1:22" x14ac:dyDescent="0.3">
      <c r="I5" t="str">
        <f>I4</f>
        <v>22222222</v>
      </c>
      <c r="P5">
        <f>P4</f>
        <v>8</v>
      </c>
      <c r="Q5">
        <f t="shared" si="0"/>
        <v>0</v>
      </c>
      <c r="R5">
        <f t="shared" ref="R5:S7" si="1">R4</f>
        <v>7</v>
      </c>
      <c r="S5">
        <f t="shared" si="1"/>
        <v>7</v>
      </c>
      <c r="T5">
        <f t="shared" si="0"/>
        <v>0</v>
      </c>
      <c r="U5" s="21"/>
    </row>
    <row r="6" spans="1:22" x14ac:dyDescent="0.3">
      <c r="A6" t="s">
        <v>22</v>
      </c>
      <c r="I6" s="17" t="str">
        <f>RIGHT(I5,P5)&amp;REPT("0",8-P5)</f>
        <v>22222222</v>
      </c>
      <c r="P6" s="17">
        <v>8</v>
      </c>
      <c r="Q6" s="17">
        <f>P6-P5+Q5</f>
        <v>0</v>
      </c>
      <c r="R6">
        <f t="shared" si="1"/>
        <v>7</v>
      </c>
      <c r="S6">
        <f t="shared" si="1"/>
        <v>7</v>
      </c>
      <c r="T6">
        <f>T5</f>
        <v>0</v>
      </c>
    </row>
    <row r="7" spans="1:22" x14ac:dyDescent="0.3">
      <c r="A7" t="s">
        <v>20</v>
      </c>
      <c r="I7" t="str">
        <f>I6</f>
        <v>22222222</v>
      </c>
      <c r="L7" s="17" t="str">
        <f>I7</f>
        <v>22222222</v>
      </c>
      <c r="P7">
        <f>P6</f>
        <v>8</v>
      </c>
      <c r="Q7">
        <f>Q6</f>
        <v>0</v>
      </c>
      <c r="R7">
        <f t="shared" si="1"/>
        <v>7</v>
      </c>
      <c r="S7">
        <f t="shared" si="1"/>
        <v>7</v>
      </c>
      <c r="T7">
        <f>T6</f>
        <v>0</v>
      </c>
    </row>
    <row r="8" spans="1:22" x14ac:dyDescent="0.3">
      <c r="A8" t="s">
        <v>125</v>
      </c>
      <c r="C8">
        <v>1</v>
      </c>
      <c r="H8" t="str">
        <f>LEFT(I7,1)</f>
        <v>2</v>
      </c>
      <c r="I8" t="str">
        <f>I7</f>
        <v>22222222</v>
      </c>
      <c r="L8" t="str">
        <f>L7</f>
        <v>22222222</v>
      </c>
      <c r="P8">
        <f t="shared" ref="P8:P22" si="2">P7</f>
        <v>8</v>
      </c>
      <c r="Q8">
        <f t="shared" ref="Q8:Q22" si="3">Q7</f>
        <v>0</v>
      </c>
      <c r="R8">
        <f t="shared" ref="R8:R22" si="4">R7</f>
        <v>7</v>
      </c>
      <c r="S8">
        <f t="shared" ref="S8:S22" si="5">S7</f>
        <v>7</v>
      </c>
      <c r="V8" s="17" t="s">
        <v>136</v>
      </c>
    </row>
    <row r="9" spans="1:22" x14ac:dyDescent="0.3">
      <c r="A9" t="s">
        <v>126</v>
      </c>
      <c r="I9" t="str">
        <f>IF(H8="0",RIGHT(I8,7)&amp;"0",I8)</f>
        <v>22222222</v>
      </c>
      <c r="L9" t="str">
        <f t="shared" ref="L9:L21" si="6">L8</f>
        <v>22222222</v>
      </c>
      <c r="P9">
        <f t="shared" si="2"/>
        <v>8</v>
      </c>
      <c r="Q9">
        <f t="shared" si="3"/>
        <v>0</v>
      </c>
      <c r="R9">
        <f t="shared" si="4"/>
        <v>7</v>
      </c>
      <c r="S9">
        <f t="shared" si="5"/>
        <v>7</v>
      </c>
    </row>
    <row r="10" spans="1:22" x14ac:dyDescent="0.3">
      <c r="A10" t="s">
        <v>125</v>
      </c>
      <c r="C10">
        <v>2</v>
      </c>
      <c r="H10" t="str">
        <f>LEFT(I9,1)</f>
        <v>2</v>
      </c>
      <c r="I10" t="str">
        <f>I9</f>
        <v>22222222</v>
      </c>
      <c r="L10" t="str">
        <f t="shared" si="6"/>
        <v>22222222</v>
      </c>
      <c r="P10">
        <f t="shared" si="2"/>
        <v>8</v>
      </c>
      <c r="Q10">
        <f t="shared" si="3"/>
        <v>0</v>
      </c>
      <c r="R10">
        <f t="shared" si="4"/>
        <v>7</v>
      </c>
      <c r="S10">
        <f t="shared" si="5"/>
        <v>7</v>
      </c>
    </row>
    <row r="11" spans="1:22" x14ac:dyDescent="0.3">
      <c r="A11" t="s">
        <v>126</v>
      </c>
      <c r="I11" t="str">
        <f>IF(H10="0",RIGHT(I10,7)&amp;"0",I10)</f>
        <v>22222222</v>
      </c>
      <c r="L11" t="str">
        <f t="shared" si="6"/>
        <v>22222222</v>
      </c>
      <c r="P11">
        <f t="shared" si="2"/>
        <v>8</v>
      </c>
      <c r="Q11">
        <f t="shared" si="3"/>
        <v>0</v>
      </c>
      <c r="R11">
        <f t="shared" si="4"/>
        <v>7</v>
      </c>
      <c r="S11">
        <f t="shared" si="5"/>
        <v>7</v>
      </c>
    </row>
    <row r="12" spans="1:22" x14ac:dyDescent="0.3">
      <c r="A12" t="s">
        <v>125</v>
      </c>
      <c r="C12">
        <v>3</v>
      </c>
      <c r="H12" t="str">
        <f>LEFT(I11,1)</f>
        <v>2</v>
      </c>
      <c r="I12" t="str">
        <f>I11</f>
        <v>22222222</v>
      </c>
      <c r="L12" t="str">
        <f t="shared" si="6"/>
        <v>22222222</v>
      </c>
      <c r="P12">
        <f t="shared" si="2"/>
        <v>8</v>
      </c>
      <c r="Q12">
        <f t="shared" si="3"/>
        <v>0</v>
      </c>
      <c r="R12">
        <f t="shared" si="4"/>
        <v>7</v>
      </c>
      <c r="S12">
        <f t="shared" si="5"/>
        <v>7</v>
      </c>
    </row>
    <row r="13" spans="1:22" x14ac:dyDescent="0.3">
      <c r="A13" t="s">
        <v>126</v>
      </c>
      <c r="I13" t="str">
        <f>IF(H12="0",RIGHT(I12,7)&amp;"0",I12)</f>
        <v>22222222</v>
      </c>
      <c r="L13" t="str">
        <f t="shared" si="6"/>
        <v>22222222</v>
      </c>
      <c r="P13">
        <f t="shared" si="2"/>
        <v>8</v>
      </c>
      <c r="Q13">
        <f t="shared" si="3"/>
        <v>0</v>
      </c>
      <c r="R13">
        <f t="shared" si="4"/>
        <v>7</v>
      </c>
      <c r="S13">
        <f t="shared" si="5"/>
        <v>7</v>
      </c>
    </row>
    <row r="14" spans="1:22" x14ac:dyDescent="0.3">
      <c r="A14" t="s">
        <v>125</v>
      </c>
      <c r="C14">
        <v>4</v>
      </c>
      <c r="H14" t="str">
        <f>LEFT(I13,1)</f>
        <v>2</v>
      </c>
      <c r="I14" t="str">
        <f>I13</f>
        <v>22222222</v>
      </c>
      <c r="L14" t="str">
        <f t="shared" si="6"/>
        <v>22222222</v>
      </c>
      <c r="P14">
        <f t="shared" si="2"/>
        <v>8</v>
      </c>
      <c r="Q14">
        <f t="shared" si="3"/>
        <v>0</v>
      </c>
      <c r="R14">
        <f t="shared" si="4"/>
        <v>7</v>
      </c>
      <c r="S14">
        <f t="shared" si="5"/>
        <v>7</v>
      </c>
    </row>
    <row r="15" spans="1:22" x14ac:dyDescent="0.3">
      <c r="A15" t="s">
        <v>126</v>
      </c>
      <c r="I15" t="str">
        <f>IF(H14="0",RIGHT(I14,7)&amp;"0",I14)</f>
        <v>22222222</v>
      </c>
      <c r="L15" t="str">
        <f t="shared" si="6"/>
        <v>22222222</v>
      </c>
      <c r="P15">
        <f t="shared" si="2"/>
        <v>8</v>
      </c>
      <c r="Q15">
        <f t="shared" si="3"/>
        <v>0</v>
      </c>
      <c r="R15">
        <f t="shared" si="4"/>
        <v>7</v>
      </c>
      <c r="S15">
        <f t="shared" si="5"/>
        <v>7</v>
      </c>
    </row>
    <row r="16" spans="1:22" x14ac:dyDescent="0.3">
      <c r="A16" t="s">
        <v>125</v>
      </c>
      <c r="C16">
        <v>5</v>
      </c>
      <c r="H16" t="str">
        <f>LEFT(I15,1)</f>
        <v>2</v>
      </c>
      <c r="I16" t="str">
        <f>I15</f>
        <v>22222222</v>
      </c>
      <c r="L16" t="str">
        <f t="shared" si="6"/>
        <v>22222222</v>
      </c>
      <c r="P16">
        <f t="shared" si="2"/>
        <v>8</v>
      </c>
      <c r="Q16">
        <f t="shared" si="3"/>
        <v>0</v>
      </c>
      <c r="R16">
        <f t="shared" si="4"/>
        <v>7</v>
      </c>
      <c r="S16">
        <f t="shared" si="5"/>
        <v>7</v>
      </c>
    </row>
    <row r="17" spans="1:21" x14ac:dyDescent="0.3">
      <c r="A17" t="s">
        <v>126</v>
      </c>
      <c r="I17" t="str">
        <f>IF(H16="0",RIGHT(I16,7)&amp;"0",I16)</f>
        <v>22222222</v>
      </c>
      <c r="L17" t="str">
        <f t="shared" si="6"/>
        <v>22222222</v>
      </c>
      <c r="P17">
        <f t="shared" si="2"/>
        <v>8</v>
      </c>
      <c r="Q17">
        <f t="shared" si="3"/>
        <v>0</v>
      </c>
      <c r="R17">
        <f t="shared" si="4"/>
        <v>7</v>
      </c>
      <c r="S17">
        <f t="shared" si="5"/>
        <v>7</v>
      </c>
    </row>
    <row r="18" spans="1:21" x14ac:dyDescent="0.3">
      <c r="A18" t="s">
        <v>125</v>
      </c>
      <c r="C18">
        <v>6</v>
      </c>
      <c r="H18" t="str">
        <f>LEFT(I17,1)</f>
        <v>2</v>
      </c>
      <c r="I18" t="str">
        <f>I17</f>
        <v>22222222</v>
      </c>
      <c r="L18" t="str">
        <f t="shared" si="6"/>
        <v>22222222</v>
      </c>
      <c r="P18">
        <f t="shared" si="2"/>
        <v>8</v>
      </c>
      <c r="Q18">
        <f t="shared" si="3"/>
        <v>0</v>
      </c>
      <c r="R18">
        <f t="shared" si="4"/>
        <v>7</v>
      </c>
      <c r="S18">
        <f t="shared" si="5"/>
        <v>7</v>
      </c>
    </row>
    <row r="19" spans="1:21" x14ac:dyDescent="0.3">
      <c r="A19" t="s">
        <v>126</v>
      </c>
      <c r="I19" t="str">
        <f>IF(H18="0",RIGHT(I18,7)&amp;"0",I18)</f>
        <v>22222222</v>
      </c>
      <c r="L19" t="str">
        <f t="shared" si="6"/>
        <v>22222222</v>
      </c>
      <c r="P19">
        <f t="shared" si="2"/>
        <v>8</v>
      </c>
      <c r="Q19">
        <f t="shared" si="3"/>
        <v>0</v>
      </c>
      <c r="R19">
        <f t="shared" si="4"/>
        <v>7</v>
      </c>
      <c r="S19">
        <f t="shared" si="5"/>
        <v>7</v>
      </c>
    </row>
    <row r="20" spans="1:21" x14ac:dyDescent="0.3">
      <c r="A20" t="s">
        <v>125</v>
      </c>
      <c r="C20">
        <v>7</v>
      </c>
      <c r="H20" t="str">
        <f>LEFT(I19,1)</f>
        <v>2</v>
      </c>
      <c r="I20" t="str">
        <f>I19</f>
        <v>22222222</v>
      </c>
      <c r="L20" t="str">
        <f t="shared" si="6"/>
        <v>22222222</v>
      </c>
      <c r="P20">
        <f t="shared" si="2"/>
        <v>8</v>
      </c>
      <c r="Q20">
        <f t="shared" si="3"/>
        <v>0</v>
      </c>
      <c r="R20">
        <f t="shared" si="4"/>
        <v>7</v>
      </c>
      <c r="S20">
        <f t="shared" si="5"/>
        <v>7</v>
      </c>
    </row>
    <row r="21" spans="1:21" x14ac:dyDescent="0.3">
      <c r="A21" t="s">
        <v>126</v>
      </c>
      <c r="I21" t="str">
        <f>IF(H20="0",RIGHT(I20,7)&amp;"0",I20)</f>
        <v>22222222</v>
      </c>
      <c r="L21" t="str">
        <f t="shared" si="6"/>
        <v>22222222</v>
      </c>
      <c r="P21">
        <f t="shared" si="2"/>
        <v>8</v>
      </c>
      <c r="Q21">
        <f t="shared" si="3"/>
        <v>0</v>
      </c>
      <c r="R21">
        <f t="shared" si="4"/>
        <v>7</v>
      </c>
      <c r="S21">
        <f t="shared" si="5"/>
        <v>7</v>
      </c>
    </row>
    <row r="22" spans="1:21" x14ac:dyDescent="0.3">
      <c r="A22" t="s">
        <v>127</v>
      </c>
      <c r="I22" s="17" t="str">
        <f>L21</f>
        <v>22222222</v>
      </c>
      <c r="L22" s="17" t="str">
        <f>I21</f>
        <v>22222222</v>
      </c>
      <c r="P22">
        <f t="shared" si="2"/>
        <v>8</v>
      </c>
      <c r="Q22">
        <f t="shared" si="3"/>
        <v>0</v>
      </c>
      <c r="R22">
        <f t="shared" si="4"/>
        <v>7</v>
      </c>
      <c r="S22">
        <f t="shared" si="5"/>
        <v>7</v>
      </c>
    </row>
    <row r="23" spans="1:21" x14ac:dyDescent="0.3">
      <c r="A23" s="3" t="s">
        <v>14</v>
      </c>
      <c r="I23" s="3">
        <v>66666666</v>
      </c>
      <c r="L23" t="str">
        <f>L22</f>
        <v>22222222</v>
      </c>
      <c r="P23" s="17">
        <f>IF(ISNUMBER(SEARCH(".",I23)),LEN(I23)-1,LEN(I23))</f>
        <v>8</v>
      </c>
      <c r="Q23" s="17">
        <f>(IF(ISNUMBER(FIND(".",I23)),LEN(I23)-FIND(".",I23),0))</f>
        <v>0</v>
      </c>
      <c r="R23" s="17" cm="1">
        <f t="array" ref="R23">R22-IF(I23&lt;1,_xlfn.IFS(I23=0,0,I23&gt;=0.1,-1,I23&gt;=0.01,-2,I23&gt;=0.001,-3,I23&gt;=0.0001,-4,I23&gt;=0.00001,-5,I23&gt;=0.000001,-6,I23&gt;=0.0000001,-7),_xlfn.IFS(I23&lt;10,0,I23&lt;100,1,I23&lt;1000,2,I23&lt;10000,3,I23&lt;100000,4,I23&lt;1000000,5,I23&lt;10000000,6,I23&lt;100000000,7))</f>
        <v>0</v>
      </c>
      <c r="S23" s="17" cm="1">
        <f t="array" ref="S23">S22+IF(I23&lt;1,_xlfn.IFS(I23=0,0,I23&gt;=0.1,-1,I23&gt;=0.01,-2,I23&gt;=0.001,-3,I23&gt;=0.0001,-4,I23&gt;=0.00001,-5,I23&gt;=0.000001,-6,I23&gt;=0.0000001,-7),_xlfn.IFS(I23&lt;10,0,I23&lt;100,1,I23&lt;1000,2,I23&lt;10000,3,I23&lt;100000,4,I23&lt;1000000,5,I23&lt;10000000,6,I23&lt;100000000,7))</f>
        <v>14</v>
      </c>
      <c r="T23" s="17">
        <f>IF(LEFT(I23,2)="0.",1,0)</f>
        <v>0</v>
      </c>
      <c r="U23" s="21"/>
    </row>
    <row r="24" spans="1:21" x14ac:dyDescent="0.3">
      <c r="A24" s="3"/>
      <c r="I24" s="42" t="str">
        <f>IF(LEFT(I23,2)="0.",SUBSTITUTE(I23,"0.",""),SUBSTITUTE(I23,".",""))</f>
        <v>66666666</v>
      </c>
      <c r="L24" t="str">
        <f t="shared" ref="L24:L91" si="7">L23</f>
        <v>22222222</v>
      </c>
      <c r="P24">
        <f>P23</f>
        <v>8</v>
      </c>
      <c r="Q24">
        <f>Q23</f>
        <v>0</v>
      </c>
      <c r="R24">
        <f>R23</f>
        <v>0</v>
      </c>
      <c r="S24">
        <f>S23</f>
        <v>14</v>
      </c>
      <c r="T24">
        <f>T23</f>
        <v>0</v>
      </c>
    </row>
    <row r="25" spans="1:21" x14ac:dyDescent="0.3">
      <c r="I25" t="str">
        <f>REPT("0", 8-LEN(I24))&amp;I24</f>
        <v>66666666</v>
      </c>
      <c r="L25" t="str">
        <f>L24</f>
        <v>22222222</v>
      </c>
      <c r="P25">
        <f>P24</f>
        <v>8</v>
      </c>
      <c r="Q25">
        <f t="shared" ref="Q25:S26" si="8">Q24</f>
        <v>0</v>
      </c>
      <c r="R25">
        <f t="shared" si="8"/>
        <v>0</v>
      </c>
      <c r="S25">
        <f t="shared" si="8"/>
        <v>14</v>
      </c>
      <c r="T25">
        <f>T24</f>
        <v>0</v>
      </c>
    </row>
    <row r="26" spans="1:21" x14ac:dyDescent="0.3">
      <c r="A26" s="3" t="s">
        <v>15</v>
      </c>
      <c r="I26" s="2" t="str">
        <f>I25</f>
        <v>66666666</v>
      </c>
      <c r="L26" t="str">
        <f>L25</f>
        <v>22222222</v>
      </c>
      <c r="P26">
        <f>P25</f>
        <v>8</v>
      </c>
      <c r="Q26">
        <f t="shared" si="8"/>
        <v>0</v>
      </c>
      <c r="R26">
        <f t="shared" si="8"/>
        <v>0</v>
      </c>
      <c r="S26">
        <f t="shared" si="8"/>
        <v>14</v>
      </c>
      <c r="T26">
        <f>T25</f>
        <v>0</v>
      </c>
    </row>
    <row r="27" spans="1:21" x14ac:dyDescent="0.3">
      <c r="I27" t="str">
        <f>I26</f>
        <v>66666666</v>
      </c>
      <c r="L27" t="str">
        <f>L26</f>
        <v>22222222</v>
      </c>
      <c r="P27">
        <f>P26</f>
        <v>8</v>
      </c>
      <c r="Q27">
        <f>Q26</f>
        <v>0</v>
      </c>
      <c r="R27">
        <f t="shared" ref="R27:S29" si="9">R26</f>
        <v>0</v>
      </c>
      <c r="S27">
        <f t="shared" si="9"/>
        <v>14</v>
      </c>
      <c r="T27">
        <f>T26</f>
        <v>0</v>
      </c>
    </row>
    <row r="28" spans="1:21" x14ac:dyDescent="0.3">
      <c r="A28" t="s">
        <v>22</v>
      </c>
      <c r="I28" s="17" t="str">
        <f>RIGHT(I27,P27)&amp;REPT("0",8-P27)</f>
        <v>66666666</v>
      </c>
      <c r="L28" t="str">
        <f>L27</f>
        <v>22222222</v>
      </c>
      <c r="P28" s="17">
        <v>8</v>
      </c>
      <c r="Q28" s="17">
        <f>P28-P27+Q27</f>
        <v>0</v>
      </c>
      <c r="R28">
        <f t="shared" si="9"/>
        <v>0</v>
      </c>
      <c r="S28">
        <f t="shared" si="9"/>
        <v>14</v>
      </c>
      <c r="T28">
        <f>T27</f>
        <v>0</v>
      </c>
    </row>
    <row r="29" spans="1:21" x14ac:dyDescent="0.3">
      <c r="A29" t="s">
        <v>125</v>
      </c>
      <c r="C29">
        <v>1</v>
      </c>
      <c r="H29" t="str">
        <f>LEFT(I28,1)</f>
        <v>6</v>
      </c>
      <c r="I29" t="str">
        <f>I28</f>
        <v>66666666</v>
      </c>
      <c r="L29" t="str">
        <f>L28</f>
        <v>22222222</v>
      </c>
      <c r="P29">
        <f>P28</f>
        <v>8</v>
      </c>
      <c r="Q29">
        <f>Q28</f>
        <v>0</v>
      </c>
      <c r="R29">
        <f t="shared" si="9"/>
        <v>0</v>
      </c>
      <c r="S29">
        <f t="shared" si="9"/>
        <v>14</v>
      </c>
    </row>
    <row r="30" spans="1:21" x14ac:dyDescent="0.3">
      <c r="A30" t="s">
        <v>126</v>
      </c>
      <c r="I30" t="str">
        <f>IF(H29="0",RIGHT(I29,7)&amp;"0",I29)</f>
        <v>66666666</v>
      </c>
      <c r="L30" t="str">
        <f t="shared" ref="L30:L42" si="10">L29</f>
        <v>22222222</v>
      </c>
      <c r="P30">
        <f t="shared" ref="P30:P42" si="11">P29</f>
        <v>8</v>
      </c>
      <c r="Q30">
        <f t="shared" ref="Q30:Q42" si="12">Q29</f>
        <v>0</v>
      </c>
      <c r="R30">
        <f t="shared" ref="R30:R42" si="13">R29</f>
        <v>0</v>
      </c>
      <c r="S30">
        <f t="shared" ref="S30:S42" si="14">S29</f>
        <v>14</v>
      </c>
    </row>
    <row r="31" spans="1:21" x14ac:dyDescent="0.3">
      <c r="A31" t="s">
        <v>125</v>
      </c>
      <c r="C31">
        <v>2</v>
      </c>
      <c r="H31" t="str">
        <f>LEFT(I30,1)</f>
        <v>6</v>
      </c>
      <c r="I31" t="str">
        <f>I30</f>
        <v>66666666</v>
      </c>
      <c r="L31" t="str">
        <f t="shared" si="10"/>
        <v>22222222</v>
      </c>
      <c r="P31">
        <f t="shared" si="11"/>
        <v>8</v>
      </c>
      <c r="Q31">
        <f t="shared" si="12"/>
        <v>0</v>
      </c>
      <c r="R31">
        <f t="shared" si="13"/>
        <v>0</v>
      </c>
      <c r="S31">
        <f t="shared" si="14"/>
        <v>14</v>
      </c>
    </row>
    <row r="32" spans="1:21" x14ac:dyDescent="0.3">
      <c r="A32" t="s">
        <v>126</v>
      </c>
      <c r="I32" t="str">
        <f>IF(H31="0",RIGHT(I31,7)&amp;"0",I31)</f>
        <v>66666666</v>
      </c>
      <c r="L32" t="str">
        <f t="shared" si="10"/>
        <v>22222222</v>
      </c>
      <c r="P32">
        <f t="shared" si="11"/>
        <v>8</v>
      </c>
      <c r="Q32">
        <f t="shared" si="12"/>
        <v>0</v>
      </c>
      <c r="R32">
        <f t="shared" si="13"/>
        <v>0</v>
      </c>
      <c r="S32">
        <f t="shared" si="14"/>
        <v>14</v>
      </c>
    </row>
    <row r="33" spans="1:19" x14ac:dyDescent="0.3">
      <c r="A33" t="s">
        <v>125</v>
      </c>
      <c r="C33">
        <v>3</v>
      </c>
      <c r="H33" t="str">
        <f>LEFT(I32,1)</f>
        <v>6</v>
      </c>
      <c r="I33" t="str">
        <f>I32</f>
        <v>66666666</v>
      </c>
      <c r="L33" t="str">
        <f t="shared" si="10"/>
        <v>22222222</v>
      </c>
      <c r="P33">
        <f t="shared" si="11"/>
        <v>8</v>
      </c>
      <c r="Q33">
        <f t="shared" si="12"/>
        <v>0</v>
      </c>
      <c r="R33">
        <f t="shared" si="13"/>
        <v>0</v>
      </c>
      <c r="S33">
        <f t="shared" si="14"/>
        <v>14</v>
      </c>
    </row>
    <row r="34" spans="1:19" x14ac:dyDescent="0.3">
      <c r="A34" t="s">
        <v>126</v>
      </c>
      <c r="I34" t="str">
        <f>IF(H33="0",RIGHT(I33,7)&amp;"0",I33)</f>
        <v>66666666</v>
      </c>
      <c r="L34" t="str">
        <f t="shared" si="10"/>
        <v>22222222</v>
      </c>
      <c r="P34">
        <f t="shared" si="11"/>
        <v>8</v>
      </c>
      <c r="Q34">
        <f t="shared" si="12"/>
        <v>0</v>
      </c>
      <c r="R34">
        <f t="shared" si="13"/>
        <v>0</v>
      </c>
      <c r="S34">
        <f t="shared" si="14"/>
        <v>14</v>
      </c>
    </row>
    <row r="35" spans="1:19" x14ac:dyDescent="0.3">
      <c r="A35" t="s">
        <v>125</v>
      </c>
      <c r="C35">
        <v>4</v>
      </c>
      <c r="H35" t="str">
        <f>LEFT(I34,1)</f>
        <v>6</v>
      </c>
      <c r="I35" t="str">
        <f>I34</f>
        <v>66666666</v>
      </c>
      <c r="L35" t="str">
        <f t="shared" si="10"/>
        <v>22222222</v>
      </c>
      <c r="P35">
        <f t="shared" si="11"/>
        <v>8</v>
      </c>
      <c r="Q35">
        <f t="shared" si="12"/>
        <v>0</v>
      </c>
      <c r="R35">
        <f t="shared" si="13"/>
        <v>0</v>
      </c>
      <c r="S35">
        <f t="shared" si="14"/>
        <v>14</v>
      </c>
    </row>
    <row r="36" spans="1:19" x14ac:dyDescent="0.3">
      <c r="A36" t="s">
        <v>126</v>
      </c>
      <c r="I36" t="str">
        <f>IF(H35="0",RIGHT(I35,7)&amp;"0",I35)</f>
        <v>66666666</v>
      </c>
      <c r="L36" t="str">
        <f t="shared" si="10"/>
        <v>22222222</v>
      </c>
      <c r="P36">
        <f t="shared" si="11"/>
        <v>8</v>
      </c>
      <c r="Q36">
        <f t="shared" si="12"/>
        <v>0</v>
      </c>
      <c r="R36">
        <f t="shared" si="13"/>
        <v>0</v>
      </c>
      <c r="S36">
        <f t="shared" si="14"/>
        <v>14</v>
      </c>
    </row>
    <row r="37" spans="1:19" x14ac:dyDescent="0.3">
      <c r="A37" t="s">
        <v>125</v>
      </c>
      <c r="C37">
        <v>5</v>
      </c>
      <c r="H37" t="str">
        <f>LEFT(I36,1)</f>
        <v>6</v>
      </c>
      <c r="I37" t="str">
        <f>I36</f>
        <v>66666666</v>
      </c>
      <c r="L37" t="str">
        <f t="shared" si="10"/>
        <v>22222222</v>
      </c>
      <c r="P37">
        <f t="shared" si="11"/>
        <v>8</v>
      </c>
      <c r="Q37">
        <f t="shared" si="12"/>
        <v>0</v>
      </c>
      <c r="R37">
        <f t="shared" si="13"/>
        <v>0</v>
      </c>
      <c r="S37">
        <f t="shared" si="14"/>
        <v>14</v>
      </c>
    </row>
    <row r="38" spans="1:19" x14ac:dyDescent="0.3">
      <c r="A38" t="s">
        <v>126</v>
      </c>
      <c r="I38" t="str">
        <f>IF(H37="0",RIGHT(I37,7)&amp;"0",I37)</f>
        <v>66666666</v>
      </c>
      <c r="L38" t="str">
        <f t="shared" si="10"/>
        <v>22222222</v>
      </c>
      <c r="P38">
        <f t="shared" si="11"/>
        <v>8</v>
      </c>
      <c r="Q38">
        <f t="shared" si="12"/>
        <v>0</v>
      </c>
      <c r="R38">
        <f t="shared" si="13"/>
        <v>0</v>
      </c>
      <c r="S38">
        <f t="shared" si="14"/>
        <v>14</v>
      </c>
    </row>
    <row r="39" spans="1:19" x14ac:dyDescent="0.3">
      <c r="A39" t="s">
        <v>125</v>
      </c>
      <c r="C39">
        <v>6</v>
      </c>
      <c r="H39" t="str">
        <f>LEFT(I38,1)</f>
        <v>6</v>
      </c>
      <c r="I39" t="str">
        <f>I38</f>
        <v>66666666</v>
      </c>
      <c r="L39" t="str">
        <f t="shared" si="10"/>
        <v>22222222</v>
      </c>
      <c r="P39">
        <f t="shared" si="11"/>
        <v>8</v>
      </c>
      <c r="Q39">
        <f t="shared" si="12"/>
        <v>0</v>
      </c>
      <c r="R39">
        <f t="shared" si="13"/>
        <v>0</v>
      </c>
      <c r="S39">
        <f t="shared" si="14"/>
        <v>14</v>
      </c>
    </row>
    <row r="40" spans="1:19" x14ac:dyDescent="0.3">
      <c r="A40" t="s">
        <v>126</v>
      </c>
      <c r="I40" t="str">
        <f>IF(H39="0",RIGHT(I39,7)&amp;"0",I39)</f>
        <v>66666666</v>
      </c>
      <c r="L40" t="str">
        <f t="shared" si="10"/>
        <v>22222222</v>
      </c>
      <c r="P40">
        <f t="shared" si="11"/>
        <v>8</v>
      </c>
      <c r="Q40">
        <f t="shared" si="12"/>
        <v>0</v>
      </c>
      <c r="R40">
        <f t="shared" si="13"/>
        <v>0</v>
      </c>
      <c r="S40">
        <f t="shared" si="14"/>
        <v>14</v>
      </c>
    </row>
    <row r="41" spans="1:19" x14ac:dyDescent="0.3">
      <c r="A41" t="s">
        <v>125</v>
      </c>
      <c r="C41">
        <v>7</v>
      </c>
      <c r="H41" t="str">
        <f>LEFT(I40,1)</f>
        <v>6</v>
      </c>
      <c r="I41" t="str">
        <f>I40</f>
        <v>66666666</v>
      </c>
      <c r="L41" t="str">
        <f t="shared" si="10"/>
        <v>22222222</v>
      </c>
      <c r="P41">
        <f t="shared" si="11"/>
        <v>8</v>
      </c>
      <c r="Q41">
        <f t="shared" si="12"/>
        <v>0</v>
      </c>
      <c r="R41">
        <f t="shared" si="13"/>
        <v>0</v>
      </c>
      <c r="S41">
        <f t="shared" si="14"/>
        <v>14</v>
      </c>
    </row>
    <row r="42" spans="1:19" x14ac:dyDescent="0.3">
      <c r="A42" t="s">
        <v>126</v>
      </c>
      <c r="I42" t="str">
        <f>IF(H41="0",RIGHT(I41,7)&amp;"0",I41)</f>
        <v>66666666</v>
      </c>
      <c r="L42" t="str">
        <f t="shared" si="10"/>
        <v>22222222</v>
      </c>
      <c r="P42">
        <f t="shared" si="11"/>
        <v>8</v>
      </c>
      <c r="Q42">
        <f t="shared" si="12"/>
        <v>0</v>
      </c>
      <c r="R42">
        <f t="shared" si="13"/>
        <v>0</v>
      </c>
      <c r="S42">
        <f t="shared" si="14"/>
        <v>14</v>
      </c>
    </row>
    <row r="43" spans="1:19" x14ac:dyDescent="0.3">
      <c r="A43" t="s">
        <v>24</v>
      </c>
      <c r="I43" t="str">
        <f>I42</f>
        <v>66666666</v>
      </c>
      <c r="L43" t="str">
        <f>L42</f>
        <v>22222222</v>
      </c>
      <c r="N43" s="17" t="str">
        <f>L43</f>
        <v>22222222</v>
      </c>
      <c r="P43">
        <f>P42</f>
        <v>8</v>
      </c>
      <c r="Q43">
        <f>Q42</f>
        <v>0</v>
      </c>
      <c r="R43">
        <f>R42</f>
        <v>0</v>
      </c>
      <c r="S43">
        <f>S42</f>
        <v>14</v>
      </c>
    </row>
    <row r="44" spans="1:19" x14ac:dyDescent="0.3">
      <c r="A44" t="s">
        <v>23</v>
      </c>
      <c r="H44" s="17">
        <v>0</v>
      </c>
      <c r="I44" s="17" t="str">
        <f>"00000000"</f>
        <v>00000000</v>
      </c>
      <c r="L44" s="17" t="str">
        <f>I43</f>
        <v>66666666</v>
      </c>
      <c r="N44" t="str">
        <f>N43</f>
        <v>22222222</v>
      </c>
      <c r="P44">
        <f t="shared" ref="P44:S60" si="15">P43</f>
        <v>8</v>
      </c>
      <c r="Q44">
        <f t="shared" si="15"/>
        <v>0</v>
      </c>
      <c r="R44">
        <f t="shared" si="15"/>
        <v>0</v>
      </c>
      <c r="S44">
        <f t="shared" si="15"/>
        <v>14</v>
      </c>
    </row>
    <row r="45" spans="1:19" x14ac:dyDescent="0.3">
      <c r="A45" s="4" t="s">
        <v>17</v>
      </c>
      <c r="H45">
        <f t="shared" ref="H45:I47" si="16">H44</f>
        <v>0</v>
      </c>
      <c r="I45" t="str">
        <f t="shared" si="16"/>
        <v>00000000</v>
      </c>
      <c r="L45" t="str">
        <f t="shared" si="7"/>
        <v>66666666</v>
      </c>
      <c r="N45" s="17" t="str">
        <f>"0"&amp;LEFT(N44,7)</f>
        <v>02222222</v>
      </c>
      <c r="O45" s="17">
        <f>RIGHT(N44,1)*1</f>
        <v>2</v>
      </c>
      <c r="P45">
        <f t="shared" si="15"/>
        <v>8</v>
      </c>
      <c r="Q45">
        <f t="shared" si="15"/>
        <v>0</v>
      </c>
      <c r="R45">
        <f t="shared" si="15"/>
        <v>0</v>
      </c>
      <c r="S45">
        <f t="shared" si="15"/>
        <v>14</v>
      </c>
    </row>
    <row r="46" spans="1:19" x14ac:dyDescent="0.3">
      <c r="A46" t="s">
        <v>156</v>
      </c>
      <c r="H46">
        <f t="shared" si="16"/>
        <v>0</v>
      </c>
      <c r="I46" t="str">
        <f t="shared" si="16"/>
        <v>00000000</v>
      </c>
      <c r="L46" t="str">
        <f t="shared" si="7"/>
        <v>66666666</v>
      </c>
      <c r="N46" t="str">
        <f t="shared" ref="N46:O48" si="17">N45</f>
        <v>02222222</v>
      </c>
      <c r="O46">
        <f t="shared" si="17"/>
        <v>2</v>
      </c>
      <c r="P46">
        <f t="shared" si="15"/>
        <v>8</v>
      </c>
      <c r="Q46" s="4">
        <f>S45</f>
        <v>14</v>
      </c>
      <c r="R46">
        <f t="shared" si="15"/>
        <v>0</v>
      </c>
      <c r="S46">
        <f t="shared" si="15"/>
        <v>14</v>
      </c>
    </row>
    <row r="47" spans="1:19" x14ac:dyDescent="0.3">
      <c r="H47">
        <f t="shared" si="16"/>
        <v>0</v>
      </c>
      <c r="I47" t="str">
        <f t="shared" si="16"/>
        <v>00000000</v>
      </c>
      <c r="L47" t="str">
        <f>L46</f>
        <v>66666666</v>
      </c>
      <c r="N47" t="str">
        <f t="shared" si="17"/>
        <v>02222222</v>
      </c>
      <c r="O47">
        <f t="shared" si="17"/>
        <v>2</v>
      </c>
      <c r="P47">
        <f>P46</f>
        <v>8</v>
      </c>
      <c r="Q47">
        <f>Q46</f>
        <v>14</v>
      </c>
      <c r="R47">
        <f>R46</f>
        <v>0</v>
      </c>
      <c r="S47">
        <f>S46</f>
        <v>14</v>
      </c>
    </row>
    <row r="48" spans="1:19" x14ac:dyDescent="0.3">
      <c r="B48" t="s">
        <v>16</v>
      </c>
      <c r="E48" s="6">
        <v>1</v>
      </c>
      <c r="F48" s="7">
        <v>1</v>
      </c>
      <c r="G48" s="7"/>
      <c r="H48" s="7">
        <f>H45</f>
        <v>0</v>
      </c>
      <c r="I48" s="18">
        <f>IF(O48&gt;0,I47+L48,I47)</f>
        <v>66666666</v>
      </c>
      <c r="J48" s="7" t="str">
        <f>IF(LEN(I48)&gt;8,LEN(I48),"")</f>
        <v/>
      </c>
      <c r="K48" s="7"/>
      <c r="L48" s="7" t="str">
        <f>L47</f>
        <v>66666666</v>
      </c>
      <c r="M48" s="7"/>
      <c r="N48" s="7" t="str">
        <f t="shared" si="17"/>
        <v>02222222</v>
      </c>
      <c r="O48" s="8">
        <f t="shared" si="17"/>
        <v>2</v>
      </c>
      <c r="P48">
        <f t="shared" si="15"/>
        <v>8</v>
      </c>
      <c r="Q48">
        <f>Q47</f>
        <v>14</v>
      </c>
      <c r="R48">
        <f>R47</f>
        <v>0</v>
      </c>
      <c r="S48">
        <f>S47</f>
        <v>14</v>
      </c>
    </row>
    <row r="49" spans="1:19" x14ac:dyDescent="0.3">
      <c r="B49" t="s">
        <v>26</v>
      </c>
      <c r="E49" s="9"/>
      <c r="H49" s="17">
        <f>IF((I48*1)&gt;99999999,H48+1,H48)</f>
        <v>0</v>
      </c>
      <c r="I49">
        <f>IF(I48&gt;99999999,RIGHT(I48,8),I48)</f>
        <v>66666666</v>
      </c>
      <c r="J49" t="str">
        <f t="shared" ref="J49:J70" si="18">IF(LEN(I49)&gt;8,LEN(I49),"")</f>
        <v/>
      </c>
      <c r="L49" t="str">
        <f t="shared" si="7"/>
        <v>66666666</v>
      </c>
      <c r="N49" t="str">
        <f t="shared" ref="N49:N65" si="19">N48</f>
        <v>02222222</v>
      </c>
      <c r="O49" s="10">
        <f>IF(O48&gt;0, O48-1,0)</f>
        <v>1</v>
      </c>
      <c r="P49">
        <f t="shared" si="15"/>
        <v>8</v>
      </c>
      <c r="Q49">
        <f t="shared" si="15"/>
        <v>14</v>
      </c>
      <c r="R49">
        <f t="shared" si="15"/>
        <v>0</v>
      </c>
      <c r="S49">
        <f t="shared" si="15"/>
        <v>14</v>
      </c>
    </row>
    <row r="50" spans="1:19" x14ac:dyDescent="0.3">
      <c r="B50" t="s">
        <v>4</v>
      </c>
      <c r="E50" s="9"/>
      <c r="F50">
        <v>2</v>
      </c>
      <c r="H50">
        <f>H49</f>
        <v>0</v>
      </c>
      <c r="I50" s="17">
        <f>IF(O50&gt;0,I49+L50,I49)</f>
        <v>133333332</v>
      </c>
      <c r="J50">
        <f t="shared" si="18"/>
        <v>9</v>
      </c>
      <c r="L50" t="str">
        <f t="shared" si="7"/>
        <v>66666666</v>
      </c>
      <c r="N50" t="str">
        <f t="shared" si="19"/>
        <v>02222222</v>
      </c>
      <c r="O50" s="10">
        <f>O49</f>
        <v>1</v>
      </c>
      <c r="P50">
        <f t="shared" si="15"/>
        <v>8</v>
      </c>
      <c r="Q50">
        <f t="shared" si="15"/>
        <v>14</v>
      </c>
      <c r="R50">
        <f t="shared" si="15"/>
        <v>0</v>
      </c>
      <c r="S50">
        <f t="shared" si="15"/>
        <v>14</v>
      </c>
    </row>
    <row r="51" spans="1:19" x14ac:dyDescent="0.3">
      <c r="E51" s="9"/>
      <c r="H51" s="17">
        <f>IF((I50*1)&gt;99999999,H50+1,H50)</f>
        <v>1</v>
      </c>
      <c r="I51" t="str">
        <f>IF(I50&gt;99999999,RIGHT(I50,8),I50)</f>
        <v>33333332</v>
      </c>
      <c r="J51" t="str">
        <f t="shared" si="18"/>
        <v/>
      </c>
      <c r="L51" t="str">
        <f t="shared" si="7"/>
        <v>66666666</v>
      </c>
      <c r="N51" t="str">
        <f t="shared" si="19"/>
        <v>02222222</v>
      </c>
      <c r="O51" s="10">
        <f>IF(O50&gt;0, O50-1,0)</f>
        <v>0</v>
      </c>
      <c r="P51">
        <f t="shared" si="15"/>
        <v>8</v>
      </c>
      <c r="Q51">
        <f t="shared" si="15"/>
        <v>14</v>
      </c>
      <c r="R51">
        <f t="shared" si="15"/>
        <v>0</v>
      </c>
      <c r="S51">
        <f t="shared" si="15"/>
        <v>14</v>
      </c>
    </row>
    <row r="52" spans="1:19" x14ac:dyDescent="0.3">
      <c r="E52" s="9"/>
      <c r="F52">
        <v>3</v>
      </c>
      <c r="H52">
        <f>H51</f>
        <v>1</v>
      </c>
      <c r="I52" t="str">
        <f>IF(O52&gt;0,I51+L52,I51)</f>
        <v>33333332</v>
      </c>
      <c r="J52" t="str">
        <f t="shared" si="18"/>
        <v/>
      </c>
      <c r="L52" t="str">
        <f t="shared" si="7"/>
        <v>66666666</v>
      </c>
      <c r="N52" t="str">
        <f t="shared" si="19"/>
        <v>02222222</v>
      </c>
      <c r="O52" s="10">
        <f>O51</f>
        <v>0</v>
      </c>
      <c r="P52">
        <f t="shared" si="15"/>
        <v>8</v>
      </c>
      <c r="Q52">
        <f t="shared" si="15"/>
        <v>14</v>
      </c>
      <c r="R52">
        <f t="shared" si="15"/>
        <v>0</v>
      </c>
      <c r="S52">
        <f t="shared" si="15"/>
        <v>14</v>
      </c>
    </row>
    <row r="53" spans="1:19" x14ac:dyDescent="0.3">
      <c r="A53" s="3"/>
      <c r="E53" s="9"/>
      <c r="H53">
        <f>IF((I52*1)&gt;99999999,H52+1,H52)</f>
        <v>1</v>
      </c>
      <c r="I53" t="str">
        <f>IF(I52&gt;99999999,RIGHT(I52,8),I52)</f>
        <v>33333332</v>
      </c>
      <c r="J53" t="str">
        <f t="shared" si="18"/>
        <v/>
      </c>
      <c r="L53" t="str">
        <f t="shared" si="7"/>
        <v>66666666</v>
      </c>
      <c r="N53" t="str">
        <f t="shared" si="19"/>
        <v>02222222</v>
      </c>
      <c r="O53" s="10">
        <f>IF(O52&gt;0, O52-1,0)</f>
        <v>0</v>
      </c>
      <c r="P53">
        <f t="shared" si="15"/>
        <v>8</v>
      </c>
      <c r="Q53">
        <f t="shared" si="15"/>
        <v>14</v>
      </c>
      <c r="R53">
        <f t="shared" si="15"/>
        <v>0</v>
      </c>
      <c r="S53">
        <f t="shared" si="15"/>
        <v>14</v>
      </c>
    </row>
    <row r="54" spans="1:19" x14ac:dyDescent="0.3">
      <c r="A54" s="3"/>
      <c r="E54" s="9"/>
      <c r="F54">
        <v>4</v>
      </c>
      <c r="H54">
        <f>H53</f>
        <v>1</v>
      </c>
      <c r="I54" t="str">
        <f>IF(O54&gt;0,I53+L54,I53)</f>
        <v>33333332</v>
      </c>
      <c r="J54" t="str">
        <f t="shared" si="18"/>
        <v/>
      </c>
      <c r="L54" t="str">
        <f t="shared" si="7"/>
        <v>66666666</v>
      </c>
      <c r="N54" t="str">
        <f t="shared" si="19"/>
        <v>02222222</v>
      </c>
      <c r="O54" s="10">
        <f>O53</f>
        <v>0</v>
      </c>
      <c r="P54">
        <f t="shared" si="15"/>
        <v>8</v>
      </c>
      <c r="Q54">
        <f t="shared" si="15"/>
        <v>14</v>
      </c>
      <c r="R54">
        <f t="shared" si="15"/>
        <v>0</v>
      </c>
      <c r="S54">
        <f t="shared" si="15"/>
        <v>14</v>
      </c>
    </row>
    <row r="55" spans="1:19" x14ac:dyDescent="0.3">
      <c r="E55" s="9"/>
      <c r="H55">
        <f>IF((I54*1)&gt;99999999,H54+1,H54)</f>
        <v>1</v>
      </c>
      <c r="I55" t="str">
        <f>IF(I54&gt;99999999,RIGHT(I54,8),I54)</f>
        <v>33333332</v>
      </c>
      <c r="J55" t="str">
        <f t="shared" si="18"/>
        <v/>
      </c>
      <c r="L55" t="str">
        <f t="shared" si="7"/>
        <v>66666666</v>
      </c>
      <c r="N55" t="str">
        <f t="shared" si="19"/>
        <v>02222222</v>
      </c>
      <c r="O55" s="10">
        <f>IF(O54&gt;0, O54-1,0)</f>
        <v>0</v>
      </c>
      <c r="P55">
        <f t="shared" si="15"/>
        <v>8</v>
      </c>
      <c r="Q55">
        <f t="shared" si="15"/>
        <v>14</v>
      </c>
      <c r="R55">
        <f t="shared" si="15"/>
        <v>0</v>
      </c>
      <c r="S55">
        <f t="shared" si="15"/>
        <v>14</v>
      </c>
    </row>
    <row r="56" spans="1:19" x14ac:dyDescent="0.3">
      <c r="E56" s="9"/>
      <c r="F56">
        <v>5</v>
      </c>
      <c r="H56">
        <f>H55</f>
        <v>1</v>
      </c>
      <c r="I56" t="str">
        <f>IF(O56&gt;0,I55+L56,I55)</f>
        <v>33333332</v>
      </c>
      <c r="J56" t="str">
        <f t="shared" si="18"/>
        <v/>
      </c>
      <c r="L56" t="str">
        <f t="shared" si="7"/>
        <v>66666666</v>
      </c>
      <c r="N56" t="str">
        <f t="shared" si="19"/>
        <v>02222222</v>
      </c>
      <c r="O56" s="10">
        <f>O55</f>
        <v>0</v>
      </c>
      <c r="P56">
        <f t="shared" si="15"/>
        <v>8</v>
      </c>
      <c r="Q56">
        <f t="shared" si="15"/>
        <v>14</v>
      </c>
      <c r="R56">
        <f t="shared" si="15"/>
        <v>0</v>
      </c>
      <c r="S56">
        <f t="shared" si="15"/>
        <v>14</v>
      </c>
    </row>
    <row r="57" spans="1:19" x14ac:dyDescent="0.3">
      <c r="A57" s="3"/>
      <c r="E57" s="9"/>
      <c r="H57">
        <f>IF((I56*1)&gt;99999999,H56+1,H56)</f>
        <v>1</v>
      </c>
      <c r="I57" t="str">
        <f>IF(I56&gt;99999999,RIGHT(I56,8),I56)</f>
        <v>33333332</v>
      </c>
      <c r="J57" t="str">
        <f t="shared" si="18"/>
        <v/>
      </c>
      <c r="L57" t="str">
        <f t="shared" si="7"/>
        <v>66666666</v>
      </c>
      <c r="N57" t="str">
        <f t="shared" si="19"/>
        <v>02222222</v>
      </c>
      <c r="O57" s="10">
        <f>IF(O56&gt;0, O56-1,0)</f>
        <v>0</v>
      </c>
      <c r="P57">
        <f t="shared" si="15"/>
        <v>8</v>
      </c>
      <c r="Q57">
        <f t="shared" si="15"/>
        <v>14</v>
      </c>
      <c r="R57">
        <f t="shared" si="15"/>
        <v>0</v>
      </c>
      <c r="S57">
        <f t="shared" si="15"/>
        <v>14</v>
      </c>
    </row>
    <row r="58" spans="1:19" x14ac:dyDescent="0.3">
      <c r="A58" s="3"/>
      <c r="E58" s="9"/>
      <c r="F58">
        <v>6</v>
      </c>
      <c r="H58">
        <f>H57</f>
        <v>1</v>
      </c>
      <c r="I58" t="str">
        <f>IF(O58&gt;0,I57+L58,I57)</f>
        <v>33333332</v>
      </c>
      <c r="J58" t="str">
        <f t="shared" si="18"/>
        <v/>
      </c>
      <c r="L58" t="str">
        <f t="shared" si="7"/>
        <v>66666666</v>
      </c>
      <c r="N58" t="str">
        <f t="shared" si="19"/>
        <v>02222222</v>
      </c>
      <c r="O58" s="10">
        <f>O57</f>
        <v>0</v>
      </c>
      <c r="P58">
        <f t="shared" si="15"/>
        <v>8</v>
      </c>
      <c r="Q58">
        <f t="shared" si="15"/>
        <v>14</v>
      </c>
      <c r="R58">
        <f t="shared" si="15"/>
        <v>0</v>
      </c>
      <c r="S58">
        <f t="shared" si="15"/>
        <v>14</v>
      </c>
    </row>
    <row r="59" spans="1:19" x14ac:dyDescent="0.3">
      <c r="E59" s="9"/>
      <c r="H59">
        <f>IF((I58*1)&gt;99999999,H58+1,H58)</f>
        <v>1</v>
      </c>
      <c r="I59" t="str">
        <f>IF(I58&gt;99999999,RIGHT(I58,8),I58)</f>
        <v>33333332</v>
      </c>
      <c r="J59" t="str">
        <f t="shared" si="18"/>
        <v/>
      </c>
      <c r="L59" t="str">
        <f t="shared" si="7"/>
        <v>66666666</v>
      </c>
      <c r="N59" t="str">
        <f t="shared" si="19"/>
        <v>02222222</v>
      </c>
      <c r="O59" s="10">
        <f>IF(O58&gt;0, O58-1,0)</f>
        <v>0</v>
      </c>
      <c r="P59">
        <f t="shared" si="15"/>
        <v>8</v>
      </c>
      <c r="Q59">
        <f t="shared" si="15"/>
        <v>14</v>
      </c>
      <c r="R59">
        <f t="shared" si="15"/>
        <v>0</v>
      </c>
      <c r="S59">
        <f t="shared" si="15"/>
        <v>14</v>
      </c>
    </row>
    <row r="60" spans="1:19" x14ac:dyDescent="0.3">
      <c r="E60" s="9"/>
      <c r="F60">
        <v>7</v>
      </c>
      <c r="H60">
        <f>H59</f>
        <v>1</v>
      </c>
      <c r="I60" t="str">
        <f>IF(O60&gt;0,I59+L60,I59)</f>
        <v>33333332</v>
      </c>
      <c r="J60" t="str">
        <f t="shared" si="18"/>
        <v/>
      </c>
      <c r="L60" t="str">
        <f t="shared" si="7"/>
        <v>66666666</v>
      </c>
      <c r="N60" t="str">
        <f t="shared" si="19"/>
        <v>02222222</v>
      </c>
      <c r="O60" s="10">
        <f>O59</f>
        <v>0</v>
      </c>
      <c r="P60">
        <f t="shared" si="15"/>
        <v>8</v>
      </c>
      <c r="Q60">
        <f t="shared" si="15"/>
        <v>14</v>
      </c>
      <c r="R60">
        <f t="shared" si="15"/>
        <v>0</v>
      </c>
      <c r="S60">
        <f t="shared" si="15"/>
        <v>14</v>
      </c>
    </row>
    <row r="61" spans="1:19" x14ac:dyDescent="0.3">
      <c r="E61" s="9"/>
      <c r="H61">
        <f>IF((I60*1)&gt;99999999,H60+1,H60)</f>
        <v>1</v>
      </c>
      <c r="I61" t="str">
        <f>IF(I60&gt;99999999,RIGHT(I60,8),I60)</f>
        <v>33333332</v>
      </c>
      <c r="J61" t="str">
        <f t="shared" si="18"/>
        <v/>
      </c>
      <c r="L61" t="str">
        <f t="shared" si="7"/>
        <v>66666666</v>
      </c>
      <c r="N61" t="str">
        <f t="shared" si="19"/>
        <v>02222222</v>
      </c>
      <c r="O61" s="10">
        <f>IF(O60&gt;0, O60-1,0)</f>
        <v>0</v>
      </c>
      <c r="P61">
        <f t="shared" ref="P61:S76" si="20">P60</f>
        <v>8</v>
      </c>
      <c r="Q61">
        <f t="shared" si="20"/>
        <v>14</v>
      </c>
      <c r="R61">
        <f t="shared" si="20"/>
        <v>0</v>
      </c>
      <c r="S61">
        <f t="shared" si="20"/>
        <v>14</v>
      </c>
    </row>
    <row r="62" spans="1:19" x14ac:dyDescent="0.3">
      <c r="E62" s="9"/>
      <c r="F62">
        <v>8</v>
      </c>
      <c r="H62">
        <f>H61</f>
        <v>1</v>
      </c>
      <c r="I62" t="str">
        <f>IF(O62&gt;0,I61+L62,I61)</f>
        <v>33333332</v>
      </c>
      <c r="J62" t="str">
        <f t="shared" si="18"/>
        <v/>
      </c>
      <c r="L62" t="str">
        <f>L61</f>
        <v>66666666</v>
      </c>
      <c r="N62" t="str">
        <f t="shared" si="19"/>
        <v>02222222</v>
      </c>
      <c r="O62" s="10">
        <f>O61</f>
        <v>0</v>
      </c>
      <c r="P62">
        <f t="shared" si="20"/>
        <v>8</v>
      </c>
      <c r="Q62">
        <f t="shared" si="20"/>
        <v>14</v>
      </c>
      <c r="R62">
        <f t="shared" si="20"/>
        <v>0</v>
      </c>
      <c r="S62">
        <f t="shared" si="20"/>
        <v>14</v>
      </c>
    </row>
    <row r="63" spans="1:19" x14ac:dyDescent="0.3">
      <c r="E63" s="9"/>
      <c r="H63">
        <f>IF((I62*1)&gt;99999999,H62+1,H62)</f>
        <v>1</v>
      </c>
      <c r="I63" t="str">
        <f>IF(I62&gt;99999999,RIGHT(I62,8),I62)</f>
        <v>33333332</v>
      </c>
      <c r="J63" t="str">
        <f t="shared" si="18"/>
        <v/>
      </c>
      <c r="L63" t="str">
        <f t="shared" si="7"/>
        <v>66666666</v>
      </c>
      <c r="N63" t="str">
        <f t="shared" si="19"/>
        <v>02222222</v>
      </c>
      <c r="O63" s="10">
        <f>IF(O62&gt;0, O62-1,0)</f>
        <v>0</v>
      </c>
      <c r="P63">
        <f t="shared" si="20"/>
        <v>8</v>
      </c>
      <c r="Q63">
        <f t="shared" si="20"/>
        <v>14</v>
      </c>
      <c r="R63">
        <f t="shared" si="20"/>
        <v>0</v>
      </c>
      <c r="S63">
        <f t="shared" si="20"/>
        <v>14</v>
      </c>
    </row>
    <row r="64" spans="1:19" x14ac:dyDescent="0.3">
      <c r="E64" s="9"/>
      <c r="F64">
        <v>9</v>
      </c>
      <c r="H64">
        <f>H63</f>
        <v>1</v>
      </c>
      <c r="I64" t="str">
        <f>IF(O64&gt;0,I63+L64,I63)</f>
        <v>33333332</v>
      </c>
      <c r="J64" t="str">
        <f t="shared" si="18"/>
        <v/>
      </c>
      <c r="L64" t="str">
        <f t="shared" si="7"/>
        <v>66666666</v>
      </c>
      <c r="N64" t="str">
        <f t="shared" si="19"/>
        <v>02222222</v>
      </c>
      <c r="O64" s="10">
        <f>O63</f>
        <v>0</v>
      </c>
      <c r="P64">
        <f t="shared" si="20"/>
        <v>8</v>
      </c>
      <c r="Q64">
        <f t="shared" si="20"/>
        <v>14</v>
      </c>
      <c r="R64">
        <f t="shared" si="20"/>
        <v>0</v>
      </c>
      <c r="S64">
        <f t="shared" si="20"/>
        <v>14</v>
      </c>
    </row>
    <row r="65" spans="2:19" x14ac:dyDescent="0.3">
      <c r="E65" s="11"/>
      <c r="F65" s="1"/>
      <c r="G65" s="1"/>
      <c r="H65">
        <f>IF((I64*1)&gt;99999999,H64+1,H64)</f>
        <v>1</v>
      </c>
      <c r="I65" t="str">
        <f>IF(I64&gt;99999999,RIGHT(I64,8),I64)</f>
        <v>33333332</v>
      </c>
      <c r="J65" s="1" t="str">
        <f t="shared" si="18"/>
        <v/>
      </c>
      <c r="K65" s="1"/>
      <c r="L65" s="1" t="str">
        <f t="shared" si="7"/>
        <v>66666666</v>
      </c>
      <c r="M65" s="1"/>
      <c r="N65" s="1" t="str">
        <f t="shared" si="19"/>
        <v>02222222</v>
      </c>
      <c r="O65" s="12">
        <f>IF(O64&gt;0, O64-1,0)</f>
        <v>0</v>
      </c>
      <c r="P65">
        <f t="shared" si="20"/>
        <v>8</v>
      </c>
      <c r="Q65">
        <f t="shared" si="20"/>
        <v>14</v>
      </c>
      <c r="R65">
        <f t="shared" si="20"/>
        <v>0</v>
      </c>
      <c r="S65">
        <f t="shared" si="20"/>
        <v>14</v>
      </c>
    </row>
    <row r="66" spans="2:19" x14ac:dyDescent="0.3">
      <c r="B66" s="4" t="s">
        <v>17</v>
      </c>
      <c r="H66">
        <f>H65</f>
        <v>1</v>
      </c>
      <c r="I66" t="str">
        <f>RIGHT("0000000"&amp;I65,8)</f>
        <v>33333332</v>
      </c>
      <c r="J66" t="str">
        <f t="shared" si="18"/>
        <v/>
      </c>
      <c r="L66" t="str">
        <f t="shared" si="7"/>
        <v>66666666</v>
      </c>
      <c r="N66" s="17" t="str">
        <f>"0"&amp;LEFT(N65,7)</f>
        <v>00222222</v>
      </c>
      <c r="O66" s="17">
        <f>RIGHT(N65,1)*1</f>
        <v>2</v>
      </c>
      <c r="P66">
        <f t="shared" si="20"/>
        <v>8</v>
      </c>
      <c r="Q66">
        <f t="shared" si="20"/>
        <v>14</v>
      </c>
      <c r="R66">
        <f t="shared" si="20"/>
        <v>0</v>
      </c>
      <c r="S66">
        <f t="shared" si="20"/>
        <v>14</v>
      </c>
    </row>
    <row r="67" spans="2:19" x14ac:dyDescent="0.3">
      <c r="B67" t="s">
        <v>176</v>
      </c>
      <c r="H67">
        <f>H66</f>
        <v>1</v>
      </c>
      <c r="I67" s="17" t="str">
        <f>IF(I66=0,0,(H66&amp;LEFT(I66,7)))</f>
        <v>13333333</v>
      </c>
      <c r="J67" t="str">
        <f t="shared" si="18"/>
        <v/>
      </c>
      <c r="L67" t="str">
        <f t="shared" si="7"/>
        <v>66666666</v>
      </c>
      <c r="N67" t="str">
        <f>N66</f>
        <v>00222222</v>
      </c>
      <c r="O67">
        <f>O66</f>
        <v>2</v>
      </c>
      <c r="P67">
        <f t="shared" si="20"/>
        <v>8</v>
      </c>
      <c r="Q67">
        <f t="shared" si="20"/>
        <v>14</v>
      </c>
      <c r="R67">
        <f t="shared" si="20"/>
        <v>0</v>
      </c>
      <c r="S67">
        <f t="shared" si="20"/>
        <v>14</v>
      </c>
    </row>
    <row r="68" spans="2:19" x14ac:dyDescent="0.3">
      <c r="B68" t="s">
        <v>27</v>
      </c>
      <c r="H68" s="17">
        <f>0</f>
        <v>0</v>
      </c>
      <c r="I68" t="str">
        <f>I67</f>
        <v>13333333</v>
      </c>
      <c r="J68" t="str">
        <f t="shared" si="18"/>
        <v/>
      </c>
      <c r="L68" t="str">
        <f t="shared" si="7"/>
        <v>66666666</v>
      </c>
      <c r="N68" t="str">
        <f>N67</f>
        <v>00222222</v>
      </c>
      <c r="O68">
        <f>O67</f>
        <v>2</v>
      </c>
      <c r="P68">
        <f t="shared" si="20"/>
        <v>8</v>
      </c>
      <c r="Q68">
        <f t="shared" si="20"/>
        <v>14</v>
      </c>
      <c r="R68">
        <f t="shared" si="20"/>
        <v>0</v>
      </c>
      <c r="S68">
        <f t="shared" si="20"/>
        <v>14</v>
      </c>
    </row>
    <row r="69" spans="2:19" x14ac:dyDescent="0.3">
      <c r="H69">
        <f>0</f>
        <v>0</v>
      </c>
      <c r="I69" t="str">
        <f>I70</f>
        <v>13333333</v>
      </c>
      <c r="J69" t="str">
        <f t="shared" si="18"/>
        <v/>
      </c>
      <c r="L69" t="str">
        <f>L70</f>
        <v>66666666</v>
      </c>
      <c r="N69" t="str">
        <f>N70</f>
        <v>00222222</v>
      </c>
      <c r="O69">
        <f>O70</f>
        <v>2</v>
      </c>
      <c r="P69">
        <f t="shared" si="20"/>
        <v>8</v>
      </c>
      <c r="Q69">
        <f t="shared" si="20"/>
        <v>14</v>
      </c>
      <c r="R69">
        <f t="shared" si="20"/>
        <v>0</v>
      </c>
      <c r="S69">
        <f t="shared" si="20"/>
        <v>14</v>
      </c>
    </row>
    <row r="70" spans="2:19" x14ac:dyDescent="0.3">
      <c r="H70">
        <f>0</f>
        <v>0</v>
      </c>
      <c r="I70" t="str">
        <f>I68</f>
        <v>13333333</v>
      </c>
      <c r="J70" t="str">
        <f t="shared" si="18"/>
        <v/>
      </c>
      <c r="L70" t="str">
        <f>L68</f>
        <v>66666666</v>
      </c>
      <c r="N70" t="str">
        <f>N68</f>
        <v>00222222</v>
      </c>
      <c r="O70">
        <f>O68</f>
        <v>2</v>
      </c>
      <c r="P70">
        <f t="shared" si="20"/>
        <v>8</v>
      </c>
      <c r="Q70">
        <f t="shared" si="20"/>
        <v>14</v>
      </c>
      <c r="R70">
        <f t="shared" si="20"/>
        <v>0</v>
      </c>
      <c r="S70">
        <f t="shared" si="20"/>
        <v>14</v>
      </c>
    </row>
    <row r="71" spans="2:19" x14ac:dyDescent="0.3">
      <c r="E71" s="6">
        <v>2</v>
      </c>
      <c r="F71" s="7">
        <v>1</v>
      </c>
      <c r="G71" s="7"/>
      <c r="H71" s="7">
        <f>H70</f>
        <v>0</v>
      </c>
      <c r="I71" s="7">
        <f>IF(O71&gt;0,I70+L71,I70)</f>
        <v>79999999</v>
      </c>
      <c r="J71" s="7" t="str">
        <f>IF(LEN(I71)&gt;8,LEN(I71),"")</f>
        <v/>
      </c>
      <c r="K71" s="7"/>
      <c r="L71" s="7" t="str">
        <f>L70</f>
        <v>66666666</v>
      </c>
      <c r="M71" s="7"/>
      <c r="N71" s="7" t="str">
        <f>N70</f>
        <v>00222222</v>
      </c>
      <c r="O71" s="8">
        <f>O70</f>
        <v>2</v>
      </c>
      <c r="P71">
        <f t="shared" si="20"/>
        <v>8</v>
      </c>
      <c r="Q71">
        <f t="shared" si="20"/>
        <v>14</v>
      </c>
      <c r="R71">
        <f t="shared" si="20"/>
        <v>0</v>
      </c>
      <c r="S71">
        <f t="shared" si="20"/>
        <v>14</v>
      </c>
    </row>
    <row r="72" spans="2:19" x14ac:dyDescent="0.3">
      <c r="E72" s="9"/>
      <c r="H72">
        <f>IF((I71*1)&gt;99999999,H71+1,H71)</f>
        <v>0</v>
      </c>
      <c r="I72">
        <f>IF(I71&gt;99999999,RIGHT(I71,8),I71)</f>
        <v>79999999</v>
      </c>
      <c r="J72" t="str">
        <f t="shared" ref="J72:J93" si="21">IF(LEN(I72)&gt;8,LEN(I72),"")</f>
        <v/>
      </c>
      <c r="L72" t="str">
        <f t="shared" si="7"/>
        <v>66666666</v>
      </c>
      <c r="N72" t="str">
        <f t="shared" ref="N72:N88" si="22">N71</f>
        <v>00222222</v>
      </c>
      <c r="O72" s="10">
        <f>IF(O71&gt;0, O71-1,0)</f>
        <v>1</v>
      </c>
      <c r="P72">
        <f t="shared" si="20"/>
        <v>8</v>
      </c>
      <c r="Q72">
        <f t="shared" si="20"/>
        <v>14</v>
      </c>
      <c r="R72">
        <f t="shared" si="20"/>
        <v>0</v>
      </c>
      <c r="S72">
        <f t="shared" si="20"/>
        <v>14</v>
      </c>
    </row>
    <row r="73" spans="2:19" x14ac:dyDescent="0.3">
      <c r="E73" s="9"/>
      <c r="F73">
        <v>2</v>
      </c>
      <c r="H73">
        <f>H72</f>
        <v>0</v>
      </c>
      <c r="I73">
        <f>IF(O73&gt;0,I72+L73,I72)</f>
        <v>146666665</v>
      </c>
      <c r="J73">
        <f t="shared" si="21"/>
        <v>9</v>
      </c>
      <c r="L73" t="str">
        <f t="shared" si="7"/>
        <v>66666666</v>
      </c>
      <c r="N73" t="str">
        <f t="shared" si="22"/>
        <v>00222222</v>
      </c>
      <c r="O73" s="10">
        <f>O72</f>
        <v>1</v>
      </c>
      <c r="P73">
        <f t="shared" si="20"/>
        <v>8</v>
      </c>
      <c r="Q73">
        <f t="shared" si="20"/>
        <v>14</v>
      </c>
      <c r="R73">
        <f t="shared" si="20"/>
        <v>0</v>
      </c>
      <c r="S73">
        <f t="shared" si="20"/>
        <v>14</v>
      </c>
    </row>
    <row r="74" spans="2:19" x14ac:dyDescent="0.3">
      <c r="E74" s="9"/>
      <c r="H74">
        <f>IF((I73*1)&gt;99999999,H73+1,H73)</f>
        <v>1</v>
      </c>
      <c r="I74" t="str">
        <f>IF(I73&gt;99999999,RIGHT(I73,8),I73)</f>
        <v>46666665</v>
      </c>
      <c r="J74" t="str">
        <f t="shared" si="21"/>
        <v/>
      </c>
      <c r="L74" t="str">
        <f t="shared" si="7"/>
        <v>66666666</v>
      </c>
      <c r="N74" t="str">
        <f t="shared" si="22"/>
        <v>00222222</v>
      </c>
      <c r="O74" s="10">
        <f>IF(O73&gt;0, O73-1,0)</f>
        <v>0</v>
      </c>
      <c r="P74">
        <f t="shared" si="20"/>
        <v>8</v>
      </c>
      <c r="Q74">
        <f t="shared" si="20"/>
        <v>14</v>
      </c>
      <c r="R74">
        <f t="shared" si="20"/>
        <v>0</v>
      </c>
      <c r="S74">
        <f t="shared" si="20"/>
        <v>14</v>
      </c>
    </row>
    <row r="75" spans="2:19" x14ac:dyDescent="0.3">
      <c r="E75" s="9"/>
      <c r="F75">
        <v>3</v>
      </c>
      <c r="H75">
        <f>H74</f>
        <v>1</v>
      </c>
      <c r="I75" t="str">
        <f>IF(O75&gt;0,I74+L75,I74)</f>
        <v>46666665</v>
      </c>
      <c r="J75" t="str">
        <f t="shared" si="21"/>
        <v/>
      </c>
      <c r="L75" t="str">
        <f t="shared" si="7"/>
        <v>66666666</v>
      </c>
      <c r="N75" t="str">
        <f t="shared" si="22"/>
        <v>00222222</v>
      </c>
      <c r="O75" s="10">
        <f>O74</f>
        <v>0</v>
      </c>
      <c r="P75">
        <f t="shared" si="20"/>
        <v>8</v>
      </c>
      <c r="Q75">
        <f t="shared" si="20"/>
        <v>14</v>
      </c>
      <c r="R75">
        <f t="shared" si="20"/>
        <v>0</v>
      </c>
      <c r="S75">
        <f t="shared" si="20"/>
        <v>14</v>
      </c>
    </row>
    <row r="76" spans="2:19" x14ac:dyDescent="0.3">
      <c r="E76" s="9"/>
      <c r="H76">
        <f>IF((I75*1)&gt;99999999,H75+1,H75)</f>
        <v>1</v>
      </c>
      <c r="I76" t="str">
        <f>IF(I75&gt;99999999,RIGHT(I75,8),I75)</f>
        <v>46666665</v>
      </c>
      <c r="J76" t="str">
        <f t="shared" si="21"/>
        <v/>
      </c>
      <c r="L76" t="str">
        <f t="shared" si="7"/>
        <v>66666666</v>
      </c>
      <c r="N76" t="str">
        <f t="shared" si="22"/>
        <v>00222222</v>
      </c>
      <c r="O76" s="10">
        <f>IF(O75&gt;0, O75-1,0)</f>
        <v>0</v>
      </c>
      <c r="P76">
        <f t="shared" si="20"/>
        <v>8</v>
      </c>
      <c r="Q76">
        <f t="shared" si="20"/>
        <v>14</v>
      </c>
      <c r="R76">
        <f t="shared" si="20"/>
        <v>0</v>
      </c>
      <c r="S76">
        <f t="shared" si="20"/>
        <v>14</v>
      </c>
    </row>
    <row r="77" spans="2:19" x14ac:dyDescent="0.3">
      <c r="E77" s="9"/>
      <c r="F77">
        <v>4</v>
      </c>
      <c r="H77">
        <f>H76</f>
        <v>1</v>
      </c>
      <c r="I77" t="str">
        <f>IF(O77&gt;0,I76+L77,I76)</f>
        <v>46666665</v>
      </c>
      <c r="J77" t="str">
        <f t="shared" si="21"/>
        <v/>
      </c>
      <c r="L77" t="str">
        <f t="shared" si="7"/>
        <v>66666666</v>
      </c>
      <c r="N77" t="str">
        <f t="shared" si="22"/>
        <v>00222222</v>
      </c>
      <c r="O77" s="10">
        <f>O76</f>
        <v>0</v>
      </c>
      <c r="P77">
        <f t="shared" ref="P77:S92" si="23">P76</f>
        <v>8</v>
      </c>
      <c r="Q77">
        <f t="shared" si="23"/>
        <v>14</v>
      </c>
      <c r="R77">
        <f t="shared" si="23"/>
        <v>0</v>
      </c>
      <c r="S77">
        <f t="shared" si="23"/>
        <v>14</v>
      </c>
    </row>
    <row r="78" spans="2:19" x14ac:dyDescent="0.3">
      <c r="E78" s="9"/>
      <c r="H78">
        <f>IF((I77*1)&gt;99999999,H77+1,H77)</f>
        <v>1</v>
      </c>
      <c r="I78" t="str">
        <f>IF(I77&gt;99999999,RIGHT(I77,8),I77)</f>
        <v>46666665</v>
      </c>
      <c r="J78" t="str">
        <f t="shared" si="21"/>
        <v/>
      </c>
      <c r="L78" t="str">
        <f t="shared" si="7"/>
        <v>66666666</v>
      </c>
      <c r="N78" t="str">
        <f t="shared" si="22"/>
        <v>00222222</v>
      </c>
      <c r="O78" s="10">
        <f>IF(O77&gt;0, O77-1,0)</f>
        <v>0</v>
      </c>
      <c r="P78">
        <f t="shared" si="23"/>
        <v>8</v>
      </c>
      <c r="Q78">
        <f t="shared" si="23"/>
        <v>14</v>
      </c>
      <c r="R78">
        <f t="shared" si="23"/>
        <v>0</v>
      </c>
      <c r="S78">
        <f t="shared" si="23"/>
        <v>14</v>
      </c>
    </row>
    <row r="79" spans="2:19" x14ac:dyDescent="0.3">
      <c r="E79" s="9"/>
      <c r="F79">
        <v>5</v>
      </c>
      <c r="H79">
        <f>H78</f>
        <v>1</v>
      </c>
      <c r="I79" t="str">
        <f>IF(O79&gt;0,I78+L79,I78)</f>
        <v>46666665</v>
      </c>
      <c r="J79" t="str">
        <f t="shared" si="21"/>
        <v/>
      </c>
      <c r="L79" t="str">
        <f t="shared" si="7"/>
        <v>66666666</v>
      </c>
      <c r="N79" t="str">
        <f t="shared" si="22"/>
        <v>00222222</v>
      </c>
      <c r="O79" s="10">
        <f>O78</f>
        <v>0</v>
      </c>
      <c r="P79">
        <f t="shared" si="23"/>
        <v>8</v>
      </c>
      <c r="Q79">
        <f t="shared" si="23"/>
        <v>14</v>
      </c>
      <c r="R79">
        <f t="shared" si="23"/>
        <v>0</v>
      </c>
      <c r="S79">
        <f t="shared" si="23"/>
        <v>14</v>
      </c>
    </row>
    <row r="80" spans="2:19" x14ac:dyDescent="0.3">
      <c r="E80" s="9"/>
      <c r="H80">
        <f>IF((I79*1)&gt;99999999,H79+1,H79)</f>
        <v>1</v>
      </c>
      <c r="I80" t="str">
        <f>IF(I79&gt;99999999,RIGHT(I79,8),I79)</f>
        <v>46666665</v>
      </c>
      <c r="J80" t="str">
        <f t="shared" si="21"/>
        <v/>
      </c>
      <c r="L80" t="str">
        <f t="shared" si="7"/>
        <v>66666666</v>
      </c>
      <c r="N80" t="str">
        <f t="shared" si="22"/>
        <v>00222222</v>
      </c>
      <c r="O80" s="10">
        <f>IF(O79&gt;0, O79-1,0)</f>
        <v>0</v>
      </c>
      <c r="P80">
        <f t="shared" si="23"/>
        <v>8</v>
      </c>
      <c r="Q80">
        <f t="shared" si="23"/>
        <v>14</v>
      </c>
      <c r="R80">
        <f t="shared" si="23"/>
        <v>0</v>
      </c>
      <c r="S80">
        <f t="shared" si="23"/>
        <v>14</v>
      </c>
    </row>
    <row r="81" spans="2:19" x14ac:dyDescent="0.3">
      <c r="E81" s="9"/>
      <c r="F81">
        <v>6</v>
      </c>
      <c r="H81">
        <f>H80</f>
        <v>1</v>
      </c>
      <c r="I81" t="str">
        <f>IF(O81&gt;0,I80+L81,I80)</f>
        <v>46666665</v>
      </c>
      <c r="J81" t="str">
        <f t="shared" si="21"/>
        <v/>
      </c>
      <c r="L81" t="str">
        <f t="shared" si="7"/>
        <v>66666666</v>
      </c>
      <c r="N81" t="str">
        <f t="shared" si="22"/>
        <v>00222222</v>
      </c>
      <c r="O81" s="10">
        <f>O80</f>
        <v>0</v>
      </c>
      <c r="P81">
        <f t="shared" si="23"/>
        <v>8</v>
      </c>
      <c r="Q81">
        <f t="shared" si="23"/>
        <v>14</v>
      </c>
      <c r="R81">
        <f t="shared" si="23"/>
        <v>0</v>
      </c>
      <c r="S81">
        <f t="shared" si="23"/>
        <v>14</v>
      </c>
    </row>
    <row r="82" spans="2:19" x14ac:dyDescent="0.3">
      <c r="E82" s="9"/>
      <c r="H82">
        <f>IF((I81*1)&gt;99999999,H81+1,H81)</f>
        <v>1</v>
      </c>
      <c r="I82" t="str">
        <f>IF(I81&gt;99999999,RIGHT(I81,8),I81)</f>
        <v>46666665</v>
      </c>
      <c r="J82" t="str">
        <f t="shared" si="21"/>
        <v/>
      </c>
      <c r="L82" t="str">
        <f t="shared" si="7"/>
        <v>66666666</v>
      </c>
      <c r="N82" t="str">
        <f t="shared" si="22"/>
        <v>00222222</v>
      </c>
      <c r="O82" s="10">
        <f>IF(O81&gt;0, O81-1,0)</f>
        <v>0</v>
      </c>
      <c r="P82">
        <f t="shared" si="23"/>
        <v>8</v>
      </c>
      <c r="Q82">
        <f t="shared" si="23"/>
        <v>14</v>
      </c>
      <c r="R82">
        <f t="shared" si="23"/>
        <v>0</v>
      </c>
      <c r="S82">
        <f t="shared" si="23"/>
        <v>14</v>
      </c>
    </row>
    <row r="83" spans="2:19" x14ac:dyDescent="0.3">
      <c r="E83" s="9"/>
      <c r="F83">
        <v>7</v>
      </c>
      <c r="H83">
        <f>H82</f>
        <v>1</v>
      </c>
      <c r="I83" t="str">
        <f>IF(O83&gt;0,I82+L83,I82)</f>
        <v>46666665</v>
      </c>
      <c r="J83" t="str">
        <f t="shared" si="21"/>
        <v/>
      </c>
      <c r="L83" t="str">
        <f t="shared" si="7"/>
        <v>66666666</v>
      </c>
      <c r="N83" t="str">
        <f t="shared" si="22"/>
        <v>00222222</v>
      </c>
      <c r="O83" s="10">
        <f>O82</f>
        <v>0</v>
      </c>
      <c r="P83">
        <f t="shared" si="23"/>
        <v>8</v>
      </c>
      <c r="Q83">
        <f t="shared" si="23"/>
        <v>14</v>
      </c>
      <c r="R83">
        <f t="shared" si="23"/>
        <v>0</v>
      </c>
      <c r="S83">
        <f t="shared" si="23"/>
        <v>14</v>
      </c>
    </row>
    <row r="84" spans="2:19" x14ac:dyDescent="0.3">
      <c r="E84" s="9"/>
      <c r="H84">
        <f>IF((I83*1)&gt;99999999,H83+1,H83)</f>
        <v>1</v>
      </c>
      <c r="I84" t="str">
        <f>IF(I83&gt;99999999,RIGHT(I83,8),I83)</f>
        <v>46666665</v>
      </c>
      <c r="J84" t="str">
        <f t="shared" si="21"/>
        <v/>
      </c>
      <c r="L84" t="str">
        <f t="shared" si="7"/>
        <v>66666666</v>
      </c>
      <c r="N84" t="str">
        <f t="shared" si="22"/>
        <v>00222222</v>
      </c>
      <c r="O84" s="10">
        <f>IF(O83&gt;0, O83-1,0)</f>
        <v>0</v>
      </c>
      <c r="P84">
        <f t="shared" si="23"/>
        <v>8</v>
      </c>
      <c r="Q84">
        <f t="shared" si="23"/>
        <v>14</v>
      </c>
      <c r="R84">
        <f t="shared" si="23"/>
        <v>0</v>
      </c>
      <c r="S84">
        <f t="shared" si="23"/>
        <v>14</v>
      </c>
    </row>
    <row r="85" spans="2:19" x14ac:dyDescent="0.3">
      <c r="E85" s="9"/>
      <c r="F85">
        <v>8</v>
      </c>
      <c r="H85">
        <f>H84</f>
        <v>1</v>
      </c>
      <c r="I85" t="str">
        <f>IF(O85&gt;0,I84+L85,I84)</f>
        <v>46666665</v>
      </c>
      <c r="J85" t="str">
        <f t="shared" si="21"/>
        <v/>
      </c>
      <c r="L85" t="str">
        <f>L84</f>
        <v>66666666</v>
      </c>
      <c r="N85" t="str">
        <f t="shared" si="22"/>
        <v>00222222</v>
      </c>
      <c r="O85" s="10">
        <f>O84</f>
        <v>0</v>
      </c>
      <c r="P85">
        <f t="shared" si="23"/>
        <v>8</v>
      </c>
      <c r="Q85">
        <f t="shared" si="23"/>
        <v>14</v>
      </c>
      <c r="R85">
        <f t="shared" si="23"/>
        <v>0</v>
      </c>
      <c r="S85">
        <f t="shared" si="23"/>
        <v>14</v>
      </c>
    </row>
    <row r="86" spans="2:19" x14ac:dyDescent="0.3">
      <c r="E86" s="9"/>
      <c r="H86">
        <f>IF((I85*1)&gt;99999999,H85+1,H85)</f>
        <v>1</v>
      </c>
      <c r="I86" t="str">
        <f>IF(I85&gt;99999999,RIGHT(I85,8),I85)</f>
        <v>46666665</v>
      </c>
      <c r="J86" t="str">
        <f t="shared" si="21"/>
        <v/>
      </c>
      <c r="L86" t="str">
        <f t="shared" si="7"/>
        <v>66666666</v>
      </c>
      <c r="N86" t="str">
        <f t="shared" si="22"/>
        <v>00222222</v>
      </c>
      <c r="O86" s="10">
        <f>IF(O85&gt;0, O85-1,0)</f>
        <v>0</v>
      </c>
      <c r="P86">
        <f t="shared" si="23"/>
        <v>8</v>
      </c>
      <c r="Q86">
        <f t="shared" si="23"/>
        <v>14</v>
      </c>
      <c r="R86">
        <f t="shared" si="23"/>
        <v>0</v>
      </c>
      <c r="S86">
        <f t="shared" si="23"/>
        <v>14</v>
      </c>
    </row>
    <row r="87" spans="2:19" x14ac:dyDescent="0.3">
      <c r="E87" s="9"/>
      <c r="F87">
        <v>9</v>
      </c>
      <c r="H87">
        <f>H86</f>
        <v>1</v>
      </c>
      <c r="I87" t="str">
        <f>IF(O87&gt;0,I86+L87,I86)</f>
        <v>46666665</v>
      </c>
      <c r="J87" t="str">
        <f t="shared" si="21"/>
        <v/>
      </c>
      <c r="L87" t="str">
        <f t="shared" si="7"/>
        <v>66666666</v>
      </c>
      <c r="N87" t="str">
        <f t="shared" si="22"/>
        <v>00222222</v>
      </c>
      <c r="O87" s="10">
        <f>O86</f>
        <v>0</v>
      </c>
      <c r="P87">
        <f t="shared" si="23"/>
        <v>8</v>
      </c>
      <c r="Q87">
        <f t="shared" si="23"/>
        <v>14</v>
      </c>
      <c r="R87">
        <f t="shared" si="23"/>
        <v>0</v>
      </c>
      <c r="S87">
        <f t="shared" si="23"/>
        <v>14</v>
      </c>
    </row>
    <row r="88" spans="2:19" x14ac:dyDescent="0.3">
      <c r="E88" s="11"/>
      <c r="F88" s="1"/>
      <c r="G88" s="1"/>
      <c r="H88">
        <f>IF((I87*1)&gt;99999999,H87+1,H87)</f>
        <v>1</v>
      </c>
      <c r="I88" t="str">
        <f>IF(I87&gt;99999999,RIGHT(I87,8),I87)</f>
        <v>46666665</v>
      </c>
      <c r="J88" s="1" t="str">
        <f t="shared" si="21"/>
        <v/>
      </c>
      <c r="K88" s="1"/>
      <c r="L88" s="1" t="str">
        <f t="shared" si="7"/>
        <v>66666666</v>
      </c>
      <c r="M88" s="1"/>
      <c r="N88" s="1" t="str">
        <f t="shared" si="22"/>
        <v>00222222</v>
      </c>
      <c r="O88" s="12">
        <f>IF(O87&gt;0, O87-1,0)</f>
        <v>0</v>
      </c>
      <c r="P88">
        <f t="shared" si="23"/>
        <v>8</v>
      </c>
      <c r="Q88">
        <f t="shared" si="23"/>
        <v>14</v>
      </c>
      <c r="R88">
        <f t="shared" si="23"/>
        <v>0</v>
      </c>
      <c r="S88">
        <f t="shared" si="23"/>
        <v>14</v>
      </c>
    </row>
    <row r="89" spans="2:19" x14ac:dyDescent="0.3">
      <c r="B89" t="s">
        <v>17</v>
      </c>
      <c r="H89">
        <f>H88</f>
        <v>1</v>
      </c>
      <c r="I89" t="str">
        <f>RIGHT("0000000"&amp;I88,8)</f>
        <v>46666665</v>
      </c>
      <c r="J89" t="str">
        <f t="shared" si="21"/>
        <v/>
      </c>
      <c r="L89" t="str">
        <f t="shared" si="7"/>
        <v>66666666</v>
      </c>
      <c r="N89" s="17" t="str">
        <f>"0"&amp;LEFT(N88,7)</f>
        <v>00022222</v>
      </c>
      <c r="O89" s="17">
        <f>RIGHT(N88,1)*1</f>
        <v>2</v>
      </c>
      <c r="P89">
        <f t="shared" si="23"/>
        <v>8</v>
      </c>
      <c r="Q89">
        <f t="shared" si="23"/>
        <v>14</v>
      </c>
      <c r="R89">
        <f t="shared" si="23"/>
        <v>0</v>
      </c>
      <c r="S89">
        <f t="shared" si="23"/>
        <v>14</v>
      </c>
    </row>
    <row r="90" spans="2:19" x14ac:dyDescent="0.3">
      <c r="B90" t="s">
        <v>176</v>
      </c>
      <c r="H90">
        <f>H89</f>
        <v>1</v>
      </c>
      <c r="I90" s="17" t="str">
        <f>IF(I89=0,0,(H89&amp;LEFT(I89,7)))</f>
        <v>14666666</v>
      </c>
      <c r="J90" t="str">
        <f t="shared" si="21"/>
        <v/>
      </c>
      <c r="L90" t="str">
        <f t="shared" si="7"/>
        <v>66666666</v>
      </c>
      <c r="N90" t="str">
        <f>N89</f>
        <v>00022222</v>
      </c>
      <c r="O90">
        <f>O89</f>
        <v>2</v>
      </c>
      <c r="P90">
        <f t="shared" si="23"/>
        <v>8</v>
      </c>
      <c r="Q90">
        <f t="shared" si="23"/>
        <v>14</v>
      </c>
      <c r="R90">
        <f t="shared" si="23"/>
        <v>0</v>
      </c>
      <c r="S90">
        <f t="shared" si="23"/>
        <v>14</v>
      </c>
    </row>
    <row r="91" spans="2:19" x14ac:dyDescent="0.3">
      <c r="B91" t="s">
        <v>27</v>
      </c>
      <c r="H91" s="17">
        <f>0</f>
        <v>0</v>
      </c>
      <c r="I91" t="str">
        <f>I90</f>
        <v>14666666</v>
      </c>
      <c r="J91" t="str">
        <f t="shared" si="21"/>
        <v/>
      </c>
      <c r="L91" t="str">
        <f t="shared" si="7"/>
        <v>66666666</v>
      </c>
      <c r="N91" t="str">
        <f>N90</f>
        <v>00022222</v>
      </c>
      <c r="O91">
        <f>O90</f>
        <v>2</v>
      </c>
      <c r="P91">
        <f t="shared" si="23"/>
        <v>8</v>
      </c>
      <c r="Q91">
        <f t="shared" si="23"/>
        <v>14</v>
      </c>
      <c r="R91">
        <f t="shared" si="23"/>
        <v>0</v>
      </c>
      <c r="S91">
        <f t="shared" si="23"/>
        <v>14</v>
      </c>
    </row>
    <row r="92" spans="2:19" x14ac:dyDescent="0.3">
      <c r="H92">
        <f>0</f>
        <v>0</v>
      </c>
      <c r="I92" t="str">
        <f>I93</f>
        <v>14666666</v>
      </c>
      <c r="J92" t="str">
        <f t="shared" si="21"/>
        <v/>
      </c>
      <c r="L92" t="str">
        <f>L93</f>
        <v>66666666</v>
      </c>
      <c r="N92" t="str">
        <f>N93</f>
        <v>00022222</v>
      </c>
      <c r="O92">
        <f>O93</f>
        <v>2</v>
      </c>
      <c r="P92">
        <f t="shared" si="23"/>
        <v>8</v>
      </c>
      <c r="Q92">
        <f t="shared" si="23"/>
        <v>14</v>
      </c>
      <c r="R92">
        <f t="shared" si="23"/>
        <v>0</v>
      </c>
      <c r="S92">
        <f t="shared" si="23"/>
        <v>14</v>
      </c>
    </row>
    <row r="93" spans="2:19" x14ac:dyDescent="0.3">
      <c r="H93">
        <f>0</f>
        <v>0</v>
      </c>
      <c r="I93" t="str">
        <f>I91</f>
        <v>14666666</v>
      </c>
      <c r="J93" t="str">
        <f t="shared" si="21"/>
        <v/>
      </c>
      <c r="L93" t="str">
        <f>L91</f>
        <v>66666666</v>
      </c>
      <c r="N93" t="str">
        <f>N91</f>
        <v>00022222</v>
      </c>
      <c r="O93">
        <f>O91</f>
        <v>2</v>
      </c>
      <c r="P93">
        <f t="shared" ref="P93:S108" si="24">P92</f>
        <v>8</v>
      </c>
      <c r="Q93">
        <f t="shared" si="24"/>
        <v>14</v>
      </c>
      <c r="R93">
        <f t="shared" si="24"/>
        <v>0</v>
      </c>
      <c r="S93">
        <f t="shared" si="24"/>
        <v>14</v>
      </c>
    </row>
    <row r="94" spans="2:19" x14ac:dyDescent="0.3">
      <c r="E94" s="6">
        <v>3</v>
      </c>
      <c r="F94" s="7">
        <v>1</v>
      </c>
      <c r="G94" s="7"/>
      <c r="H94" s="7">
        <f>H93</f>
        <v>0</v>
      </c>
      <c r="I94" s="7">
        <f>IF(O94&gt;0,I93+L94,I93)</f>
        <v>81333332</v>
      </c>
      <c r="J94" s="7" t="str">
        <f>IF(LEN(I94)&gt;8,LEN(I94),"")</f>
        <v/>
      </c>
      <c r="K94" s="7"/>
      <c r="L94" s="7" t="str">
        <f>L93</f>
        <v>66666666</v>
      </c>
      <c r="M94" s="7"/>
      <c r="N94" s="7" t="str">
        <f>N93</f>
        <v>00022222</v>
      </c>
      <c r="O94" s="8">
        <f>O93</f>
        <v>2</v>
      </c>
      <c r="P94">
        <f t="shared" si="24"/>
        <v>8</v>
      </c>
      <c r="Q94">
        <f t="shared" si="24"/>
        <v>14</v>
      </c>
      <c r="R94">
        <f t="shared" si="24"/>
        <v>0</v>
      </c>
      <c r="S94">
        <f t="shared" si="24"/>
        <v>14</v>
      </c>
    </row>
    <row r="95" spans="2:19" x14ac:dyDescent="0.3">
      <c r="E95" s="9"/>
      <c r="H95">
        <f>IF((I94*1)&gt;99999999,H94+1,H94)</f>
        <v>0</v>
      </c>
      <c r="I95">
        <f>IF(I94&gt;99999999,RIGHT(I94,8),I94)</f>
        <v>81333332</v>
      </c>
      <c r="J95" t="str">
        <f t="shared" ref="J95:J116" si="25">IF(LEN(I95)&gt;8,LEN(I95),"")</f>
        <v/>
      </c>
      <c r="L95" t="str">
        <f t="shared" ref="L95:L114" si="26">L94</f>
        <v>66666666</v>
      </c>
      <c r="N95" t="str">
        <f t="shared" ref="N95:N111" si="27">N94</f>
        <v>00022222</v>
      </c>
      <c r="O95" s="10">
        <f>IF(O94&gt;0, O94-1,0)</f>
        <v>1</v>
      </c>
      <c r="P95">
        <f t="shared" si="24"/>
        <v>8</v>
      </c>
      <c r="Q95">
        <f t="shared" si="24"/>
        <v>14</v>
      </c>
      <c r="R95">
        <f t="shared" si="24"/>
        <v>0</v>
      </c>
      <c r="S95">
        <f t="shared" si="24"/>
        <v>14</v>
      </c>
    </row>
    <row r="96" spans="2:19" x14ac:dyDescent="0.3">
      <c r="E96" s="9"/>
      <c r="F96">
        <v>2</v>
      </c>
      <c r="H96">
        <f>H95</f>
        <v>0</v>
      </c>
      <c r="I96">
        <f>IF(O96&gt;0,I95+L96,I95)</f>
        <v>147999998</v>
      </c>
      <c r="J96">
        <f t="shared" si="25"/>
        <v>9</v>
      </c>
      <c r="L96" t="str">
        <f t="shared" si="26"/>
        <v>66666666</v>
      </c>
      <c r="N96" t="str">
        <f t="shared" si="27"/>
        <v>00022222</v>
      </c>
      <c r="O96" s="10">
        <f>O95</f>
        <v>1</v>
      </c>
      <c r="P96">
        <f t="shared" si="24"/>
        <v>8</v>
      </c>
      <c r="Q96">
        <f t="shared" si="24"/>
        <v>14</v>
      </c>
      <c r="R96">
        <f t="shared" si="24"/>
        <v>0</v>
      </c>
      <c r="S96">
        <f t="shared" si="24"/>
        <v>14</v>
      </c>
    </row>
    <row r="97" spans="2:19" x14ac:dyDescent="0.3">
      <c r="E97" s="9"/>
      <c r="H97">
        <f>IF((I96*1)&gt;99999999,H96+1,H96)</f>
        <v>1</v>
      </c>
      <c r="I97" t="str">
        <f>IF(I96&gt;99999999,RIGHT(I96,8),I96)</f>
        <v>47999998</v>
      </c>
      <c r="J97" t="str">
        <f t="shared" si="25"/>
        <v/>
      </c>
      <c r="L97" t="str">
        <f t="shared" si="26"/>
        <v>66666666</v>
      </c>
      <c r="N97" t="str">
        <f t="shared" si="27"/>
        <v>00022222</v>
      </c>
      <c r="O97" s="10">
        <f>IF(O96&gt;0, O96-1,0)</f>
        <v>0</v>
      </c>
      <c r="P97">
        <f t="shared" si="24"/>
        <v>8</v>
      </c>
      <c r="Q97">
        <f t="shared" si="24"/>
        <v>14</v>
      </c>
      <c r="R97">
        <f t="shared" si="24"/>
        <v>0</v>
      </c>
      <c r="S97">
        <f t="shared" si="24"/>
        <v>14</v>
      </c>
    </row>
    <row r="98" spans="2:19" x14ac:dyDescent="0.3">
      <c r="E98" s="9"/>
      <c r="F98">
        <v>3</v>
      </c>
      <c r="H98">
        <f>H97</f>
        <v>1</v>
      </c>
      <c r="I98" t="str">
        <f>IF(O98&gt;0,I97+L98,I97)</f>
        <v>47999998</v>
      </c>
      <c r="J98" t="str">
        <f t="shared" si="25"/>
        <v/>
      </c>
      <c r="L98" t="str">
        <f t="shared" si="26"/>
        <v>66666666</v>
      </c>
      <c r="N98" t="str">
        <f t="shared" si="27"/>
        <v>00022222</v>
      </c>
      <c r="O98" s="10">
        <f>O97</f>
        <v>0</v>
      </c>
      <c r="P98">
        <f t="shared" si="24"/>
        <v>8</v>
      </c>
      <c r="Q98">
        <f t="shared" si="24"/>
        <v>14</v>
      </c>
      <c r="R98">
        <f t="shared" si="24"/>
        <v>0</v>
      </c>
      <c r="S98">
        <f t="shared" si="24"/>
        <v>14</v>
      </c>
    </row>
    <row r="99" spans="2:19" x14ac:dyDescent="0.3">
      <c r="E99" s="9"/>
      <c r="H99">
        <f>IF((I98*1)&gt;99999999,H98+1,H98)</f>
        <v>1</v>
      </c>
      <c r="I99" t="str">
        <f>IF(I98&gt;99999999,RIGHT(I98,8),I98)</f>
        <v>47999998</v>
      </c>
      <c r="J99" t="str">
        <f t="shared" si="25"/>
        <v/>
      </c>
      <c r="L99" t="str">
        <f t="shared" si="26"/>
        <v>66666666</v>
      </c>
      <c r="N99" t="str">
        <f t="shared" si="27"/>
        <v>00022222</v>
      </c>
      <c r="O99" s="10">
        <f>IF(O98&gt;0, O98-1,0)</f>
        <v>0</v>
      </c>
      <c r="P99">
        <f t="shared" si="24"/>
        <v>8</v>
      </c>
      <c r="Q99">
        <f t="shared" si="24"/>
        <v>14</v>
      </c>
      <c r="R99">
        <f t="shared" si="24"/>
        <v>0</v>
      </c>
      <c r="S99">
        <f t="shared" si="24"/>
        <v>14</v>
      </c>
    </row>
    <row r="100" spans="2:19" x14ac:dyDescent="0.3">
      <c r="E100" s="9"/>
      <c r="F100">
        <v>4</v>
      </c>
      <c r="H100">
        <f>H99</f>
        <v>1</v>
      </c>
      <c r="I100" t="str">
        <f>IF(O100&gt;0,I99+L100,I99)</f>
        <v>47999998</v>
      </c>
      <c r="J100" t="str">
        <f t="shared" si="25"/>
        <v/>
      </c>
      <c r="L100" t="str">
        <f t="shared" si="26"/>
        <v>66666666</v>
      </c>
      <c r="N100" t="str">
        <f t="shared" si="27"/>
        <v>00022222</v>
      </c>
      <c r="O100" s="10">
        <f>O99</f>
        <v>0</v>
      </c>
      <c r="P100">
        <f t="shared" si="24"/>
        <v>8</v>
      </c>
      <c r="Q100">
        <f t="shared" si="24"/>
        <v>14</v>
      </c>
      <c r="R100">
        <f t="shared" si="24"/>
        <v>0</v>
      </c>
      <c r="S100">
        <f t="shared" si="24"/>
        <v>14</v>
      </c>
    </row>
    <row r="101" spans="2:19" x14ac:dyDescent="0.3">
      <c r="E101" s="9"/>
      <c r="H101">
        <f>IF((I100*1)&gt;99999999,H100+1,H100)</f>
        <v>1</v>
      </c>
      <c r="I101" t="str">
        <f>IF(I100&gt;99999999,RIGHT(I100,8),I100)</f>
        <v>47999998</v>
      </c>
      <c r="J101" t="str">
        <f t="shared" si="25"/>
        <v/>
      </c>
      <c r="L101" t="str">
        <f t="shared" si="26"/>
        <v>66666666</v>
      </c>
      <c r="N101" t="str">
        <f t="shared" si="27"/>
        <v>00022222</v>
      </c>
      <c r="O101" s="10">
        <f>IF(O100&gt;0, O100-1,0)</f>
        <v>0</v>
      </c>
      <c r="P101">
        <f t="shared" si="24"/>
        <v>8</v>
      </c>
      <c r="Q101">
        <f t="shared" si="24"/>
        <v>14</v>
      </c>
      <c r="R101">
        <f t="shared" si="24"/>
        <v>0</v>
      </c>
      <c r="S101">
        <f t="shared" si="24"/>
        <v>14</v>
      </c>
    </row>
    <row r="102" spans="2:19" x14ac:dyDescent="0.3">
      <c r="E102" s="9"/>
      <c r="F102">
        <v>5</v>
      </c>
      <c r="H102">
        <f>H101</f>
        <v>1</v>
      </c>
      <c r="I102" t="str">
        <f>IF(O102&gt;0,I101+L102,I101)</f>
        <v>47999998</v>
      </c>
      <c r="J102" t="str">
        <f t="shared" si="25"/>
        <v/>
      </c>
      <c r="L102" t="str">
        <f t="shared" si="26"/>
        <v>66666666</v>
      </c>
      <c r="N102" t="str">
        <f t="shared" si="27"/>
        <v>00022222</v>
      </c>
      <c r="O102" s="10">
        <f>O101</f>
        <v>0</v>
      </c>
      <c r="P102">
        <f t="shared" si="24"/>
        <v>8</v>
      </c>
      <c r="Q102">
        <f t="shared" si="24"/>
        <v>14</v>
      </c>
      <c r="R102">
        <f t="shared" si="24"/>
        <v>0</v>
      </c>
      <c r="S102">
        <f t="shared" si="24"/>
        <v>14</v>
      </c>
    </row>
    <row r="103" spans="2:19" x14ac:dyDescent="0.3">
      <c r="E103" s="9"/>
      <c r="H103">
        <f>IF((I102*1)&gt;99999999,H102+1,H102)</f>
        <v>1</v>
      </c>
      <c r="I103" t="str">
        <f>IF(I102&gt;99999999,RIGHT(I102,8),I102)</f>
        <v>47999998</v>
      </c>
      <c r="J103" t="str">
        <f t="shared" si="25"/>
        <v/>
      </c>
      <c r="L103" t="str">
        <f t="shared" si="26"/>
        <v>66666666</v>
      </c>
      <c r="N103" t="str">
        <f t="shared" si="27"/>
        <v>00022222</v>
      </c>
      <c r="O103" s="10">
        <f>IF(O102&gt;0, O102-1,0)</f>
        <v>0</v>
      </c>
      <c r="P103">
        <f t="shared" si="24"/>
        <v>8</v>
      </c>
      <c r="Q103">
        <f t="shared" si="24"/>
        <v>14</v>
      </c>
      <c r="R103">
        <f t="shared" si="24"/>
        <v>0</v>
      </c>
      <c r="S103">
        <f t="shared" si="24"/>
        <v>14</v>
      </c>
    </row>
    <row r="104" spans="2:19" x14ac:dyDescent="0.3">
      <c r="E104" s="9"/>
      <c r="F104">
        <v>6</v>
      </c>
      <c r="H104">
        <f>H103</f>
        <v>1</v>
      </c>
      <c r="I104" t="str">
        <f>IF(O104&gt;0,I103+L104,I103)</f>
        <v>47999998</v>
      </c>
      <c r="J104" t="str">
        <f t="shared" si="25"/>
        <v/>
      </c>
      <c r="L104" t="str">
        <f t="shared" si="26"/>
        <v>66666666</v>
      </c>
      <c r="N104" t="str">
        <f t="shared" si="27"/>
        <v>00022222</v>
      </c>
      <c r="O104" s="10">
        <f>O103</f>
        <v>0</v>
      </c>
      <c r="P104">
        <f t="shared" si="24"/>
        <v>8</v>
      </c>
      <c r="Q104">
        <f t="shared" si="24"/>
        <v>14</v>
      </c>
      <c r="R104">
        <f t="shared" si="24"/>
        <v>0</v>
      </c>
      <c r="S104">
        <f t="shared" si="24"/>
        <v>14</v>
      </c>
    </row>
    <row r="105" spans="2:19" x14ac:dyDescent="0.3">
      <c r="E105" s="9"/>
      <c r="H105">
        <f>IF((I104*1)&gt;99999999,H104+1,H104)</f>
        <v>1</v>
      </c>
      <c r="I105" t="str">
        <f>IF(I104&gt;99999999,RIGHT(I104,8),I104)</f>
        <v>47999998</v>
      </c>
      <c r="J105" t="str">
        <f t="shared" si="25"/>
        <v/>
      </c>
      <c r="L105" t="str">
        <f t="shared" si="26"/>
        <v>66666666</v>
      </c>
      <c r="N105" t="str">
        <f t="shared" si="27"/>
        <v>00022222</v>
      </c>
      <c r="O105" s="10">
        <f>IF(O104&gt;0, O104-1,0)</f>
        <v>0</v>
      </c>
      <c r="P105">
        <f t="shared" si="24"/>
        <v>8</v>
      </c>
      <c r="Q105">
        <f t="shared" si="24"/>
        <v>14</v>
      </c>
      <c r="R105">
        <f t="shared" si="24"/>
        <v>0</v>
      </c>
      <c r="S105">
        <f t="shared" si="24"/>
        <v>14</v>
      </c>
    </row>
    <row r="106" spans="2:19" x14ac:dyDescent="0.3">
      <c r="E106" s="9"/>
      <c r="F106">
        <v>7</v>
      </c>
      <c r="H106">
        <f>H105</f>
        <v>1</v>
      </c>
      <c r="I106" t="str">
        <f>IF(O106&gt;0,I105+L106,I105)</f>
        <v>47999998</v>
      </c>
      <c r="J106" t="str">
        <f t="shared" si="25"/>
        <v/>
      </c>
      <c r="L106" t="str">
        <f t="shared" si="26"/>
        <v>66666666</v>
      </c>
      <c r="N106" t="str">
        <f t="shared" si="27"/>
        <v>00022222</v>
      </c>
      <c r="O106" s="10">
        <f>O105</f>
        <v>0</v>
      </c>
      <c r="P106">
        <f t="shared" si="24"/>
        <v>8</v>
      </c>
      <c r="Q106">
        <f t="shared" si="24"/>
        <v>14</v>
      </c>
      <c r="R106">
        <f t="shared" si="24"/>
        <v>0</v>
      </c>
      <c r="S106">
        <f t="shared" si="24"/>
        <v>14</v>
      </c>
    </row>
    <row r="107" spans="2:19" x14ac:dyDescent="0.3">
      <c r="E107" s="9"/>
      <c r="H107">
        <f>IF((I106*1)&gt;99999999,H106+1,H106)</f>
        <v>1</v>
      </c>
      <c r="I107" t="str">
        <f>IF(I106&gt;99999999,RIGHT(I106,8),I106)</f>
        <v>47999998</v>
      </c>
      <c r="J107" t="str">
        <f t="shared" si="25"/>
        <v/>
      </c>
      <c r="L107" t="str">
        <f t="shared" si="26"/>
        <v>66666666</v>
      </c>
      <c r="N107" t="str">
        <f t="shared" si="27"/>
        <v>00022222</v>
      </c>
      <c r="O107" s="10">
        <f>IF(O106&gt;0, O106-1,0)</f>
        <v>0</v>
      </c>
      <c r="P107">
        <f t="shared" si="24"/>
        <v>8</v>
      </c>
      <c r="Q107">
        <f t="shared" si="24"/>
        <v>14</v>
      </c>
      <c r="R107">
        <f t="shared" si="24"/>
        <v>0</v>
      </c>
      <c r="S107">
        <f t="shared" si="24"/>
        <v>14</v>
      </c>
    </row>
    <row r="108" spans="2:19" x14ac:dyDescent="0.3">
      <c r="E108" s="9"/>
      <c r="F108">
        <v>8</v>
      </c>
      <c r="H108">
        <f>H107</f>
        <v>1</v>
      </c>
      <c r="I108" t="str">
        <f>IF(O108&gt;0,I107+L108,I107)</f>
        <v>47999998</v>
      </c>
      <c r="J108" t="str">
        <f t="shared" si="25"/>
        <v/>
      </c>
      <c r="L108" t="str">
        <f>L107</f>
        <v>66666666</v>
      </c>
      <c r="N108" t="str">
        <f t="shared" si="27"/>
        <v>00022222</v>
      </c>
      <c r="O108" s="10">
        <f>O107</f>
        <v>0</v>
      </c>
      <c r="P108">
        <f t="shared" si="24"/>
        <v>8</v>
      </c>
      <c r="Q108">
        <f t="shared" si="24"/>
        <v>14</v>
      </c>
      <c r="R108">
        <f t="shared" si="24"/>
        <v>0</v>
      </c>
      <c r="S108">
        <f t="shared" si="24"/>
        <v>14</v>
      </c>
    </row>
    <row r="109" spans="2:19" x14ac:dyDescent="0.3">
      <c r="E109" s="9"/>
      <c r="H109">
        <f>IF((I108*1)&gt;99999999,H108+1,H108)</f>
        <v>1</v>
      </c>
      <c r="I109" t="str">
        <f>IF(I108&gt;99999999,RIGHT(I108,8),I108)</f>
        <v>47999998</v>
      </c>
      <c r="J109" t="str">
        <f t="shared" si="25"/>
        <v/>
      </c>
      <c r="L109" t="str">
        <f t="shared" si="26"/>
        <v>66666666</v>
      </c>
      <c r="N109" t="str">
        <f t="shared" si="27"/>
        <v>00022222</v>
      </c>
      <c r="O109" s="10">
        <f>IF(O108&gt;0, O108-1,0)</f>
        <v>0</v>
      </c>
      <c r="P109">
        <f t="shared" ref="P109:S124" si="28">P108</f>
        <v>8</v>
      </c>
      <c r="Q109">
        <f t="shared" si="28"/>
        <v>14</v>
      </c>
      <c r="R109">
        <f t="shared" si="28"/>
        <v>0</v>
      </c>
      <c r="S109">
        <f t="shared" si="28"/>
        <v>14</v>
      </c>
    </row>
    <row r="110" spans="2:19" x14ac:dyDescent="0.3">
      <c r="E110" s="9"/>
      <c r="F110">
        <v>9</v>
      </c>
      <c r="H110">
        <f>H109</f>
        <v>1</v>
      </c>
      <c r="I110" t="str">
        <f>IF(O110&gt;0,I109+L110,I109)</f>
        <v>47999998</v>
      </c>
      <c r="J110" t="str">
        <f t="shared" si="25"/>
        <v/>
      </c>
      <c r="L110" t="str">
        <f t="shared" si="26"/>
        <v>66666666</v>
      </c>
      <c r="N110" t="str">
        <f t="shared" si="27"/>
        <v>00022222</v>
      </c>
      <c r="O110" s="10">
        <f>O109</f>
        <v>0</v>
      </c>
      <c r="P110">
        <f t="shared" si="28"/>
        <v>8</v>
      </c>
      <c r="Q110">
        <f t="shared" si="28"/>
        <v>14</v>
      </c>
      <c r="R110">
        <f t="shared" si="28"/>
        <v>0</v>
      </c>
      <c r="S110">
        <f t="shared" si="28"/>
        <v>14</v>
      </c>
    </row>
    <row r="111" spans="2:19" x14ac:dyDescent="0.3">
      <c r="E111" s="11"/>
      <c r="F111" s="1"/>
      <c r="G111" s="1"/>
      <c r="H111">
        <f>IF((I110*1)&gt;99999999,H110+1,H110)</f>
        <v>1</v>
      </c>
      <c r="I111" t="str">
        <f>IF(I110&gt;99999999,RIGHT(I110,8),I110)</f>
        <v>47999998</v>
      </c>
      <c r="J111" s="1" t="str">
        <f t="shared" si="25"/>
        <v/>
      </c>
      <c r="K111" s="1"/>
      <c r="L111" s="1" t="str">
        <f t="shared" si="26"/>
        <v>66666666</v>
      </c>
      <c r="M111" s="1"/>
      <c r="N111" s="1" t="str">
        <f t="shared" si="27"/>
        <v>00022222</v>
      </c>
      <c r="O111" s="12">
        <f>IF(O110&gt;0, O110-1,0)</f>
        <v>0</v>
      </c>
      <c r="P111">
        <f t="shared" si="28"/>
        <v>8</v>
      </c>
      <c r="Q111">
        <f t="shared" si="28"/>
        <v>14</v>
      </c>
      <c r="R111">
        <f t="shared" si="28"/>
        <v>0</v>
      </c>
      <c r="S111">
        <f t="shared" si="28"/>
        <v>14</v>
      </c>
    </row>
    <row r="112" spans="2:19" x14ac:dyDescent="0.3">
      <c r="B112" t="s">
        <v>17</v>
      </c>
      <c r="H112">
        <f>H111</f>
        <v>1</v>
      </c>
      <c r="I112" t="str">
        <f>RIGHT("0000000"&amp;I111,8)</f>
        <v>47999998</v>
      </c>
      <c r="J112" t="str">
        <f t="shared" si="25"/>
        <v/>
      </c>
      <c r="L112" t="str">
        <f t="shared" si="26"/>
        <v>66666666</v>
      </c>
      <c r="N112" s="17" t="str">
        <f>"0"&amp;LEFT(N111,7)</f>
        <v>00002222</v>
      </c>
      <c r="O112" s="17">
        <f>RIGHT(N111,1)*1</f>
        <v>2</v>
      </c>
      <c r="P112">
        <f t="shared" si="28"/>
        <v>8</v>
      </c>
      <c r="Q112">
        <f t="shared" si="28"/>
        <v>14</v>
      </c>
      <c r="R112">
        <f t="shared" si="28"/>
        <v>0</v>
      </c>
      <c r="S112">
        <f t="shared" si="28"/>
        <v>14</v>
      </c>
    </row>
    <row r="113" spans="2:19" x14ac:dyDescent="0.3">
      <c r="B113" t="s">
        <v>176</v>
      </c>
      <c r="H113">
        <f>H112</f>
        <v>1</v>
      </c>
      <c r="I113" s="17" t="str">
        <f>IF(I112=0,0,(H112&amp;LEFT(I112,7)))</f>
        <v>14799999</v>
      </c>
      <c r="J113" t="str">
        <f t="shared" si="25"/>
        <v/>
      </c>
      <c r="L113" t="str">
        <f t="shared" si="26"/>
        <v>66666666</v>
      </c>
      <c r="N113" t="str">
        <f>N112</f>
        <v>00002222</v>
      </c>
      <c r="O113">
        <f>O112</f>
        <v>2</v>
      </c>
      <c r="P113">
        <f t="shared" si="28"/>
        <v>8</v>
      </c>
      <c r="Q113">
        <f t="shared" si="28"/>
        <v>14</v>
      </c>
      <c r="R113">
        <f t="shared" si="28"/>
        <v>0</v>
      </c>
      <c r="S113">
        <f t="shared" si="28"/>
        <v>14</v>
      </c>
    </row>
    <row r="114" spans="2:19" x14ac:dyDescent="0.3">
      <c r="B114" t="s">
        <v>27</v>
      </c>
      <c r="H114" s="17">
        <f>0</f>
        <v>0</v>
      </c>
      <c r="I114" t="str">
        <f>I113</f>
        <v>14799999</v>
      </c>
      <c r="J114" t="str">
        <f t="shared" si="25"/>
        <v/>
      </c>
      <c r="L114" t="str">
        <f t="shared" si="26"/>
        <v>66666666</v>
      </c>
      <c r="N114" t="str">
        <f>N113</f>
        <v>00002222</v>
      </c>
      <c r="O114">
        <f>O113</f>
        <v>2</v>
      </c>
      <c r="P114">
        <f t="shared" si="28"/>
        <v>8</v>
      </c>
      <c r="Q114">
        <f t="shared" si="28"/>
        <v>14</v>
      </c>
      <c r="R114">
        <f t="shared" si="28"/>
        <v>0</v>
      </c>
      <c r="S114">
        <f t="shared" si="28"/>
        <v>14</v>
      </c>
    </row>
    <row r="115" spans="2:19" x14ac:dyDescent="0.3">
      <c r="H115">
        <f>0</f>
        <v>0</v>
      </c>
      <c r="I115" t="str">
        <f>I116</f>
        <v>14799999</v>
      </c>
      <c r="J115" t="str">
        <f t="shared" si="25"/>
        <v/>
      </c>
      <c r="L115" t="str">
        <f>L116</f>
        <v>66666666</v>
      </c>
      <c r="N115" t="str">
        <f>N116</f>
        <v>00002222</v>
      </c>
      <c r="O115">
        <f>O116</f>
        <v>2</v>
      </c>
      <c r="P115">
        <f t="shared" si="28"/>
        <v>8</v>
      </c>
      <c r="Q115">
        <f t="shared" si="28"/>
        <v>14</v>
      </c>
      <c r="R115">
        <f t="shared" si="28"/>
        <v>0</v>
      </c>
      <c r="S115">
        <f t="shared" si="28"/>
        <v>14</v>
      </c>
    </row>
    <row r="116" spans="2:19" x14ac:dyDescent="0.3">
      <c r="H116">
        <f>0</f>
        <v>0</v>
      </c>
      <c r="I116" t="str">
        <f>I114</f>
        <v>14799999</v>
      </c>
      <c r="J116" t="str">
        <f t="shared" si="25"/>
        <v/>
      </c>
      <c r="L116" t="str">
        <f>L114</f>
        <v>66666666</v>
      </c>
      <c r="N116" t="str">
        <f>N114</f>
        <v>00002222</v>
      </c>
      <c r="O116">
        <f>O114</f>
        <v>2</v>
      </c>
      <c r="P116">
        <f t="shared" si="28"/>
        <v>8</v>
      </c>
      <c r="Q116">
        <f t="shared" si="28"/>
        <v>14</v>
      </c>
      <c r="R116">
        <f t="shared" si="28"/>
        <v>0</v>
      </c>
      <c r="S116">
        <f t="shared" si="28"/>
        <v>14</v>
      </c>
    </row>
    <row r="117" spans="2:19" x14ac:dyDescent="0.3">
      <c r="E117" s="6">
        <v>4</v>
      </c>
      <c r="F117" s="7">
        <v>1</v>
      </c>
      <c r="G117" s="7"/>
      <c r="H117" s="7">
        <f>H116</f>
        <v>0</v>
      </c>
      <c r="I117" s="7">
        <f>IF(O117&gt;0,I116+L117,I116)</f>
        <v>81466665</v>
      </c>
      <c r="J117" s="7" t="str">
        <f>IF(LEN(I117)&gt;8,LEN(I117),"")</f>
        <v/>
      </c>
      <c r="K117" s="7"/>
      <c r="L117" s="7" t="str">
        <f>L116</f>
        <v>66666666</v>
      </c>
      <c r="M117" s="7"/>
      <c r="N117" s="7" t="str">
        <f>N116</f>
        <v>00002222</v>
      </c>
      <c r="O117" s="8">
        <f>O116</f>
        <v>2</v>
      </c>
      <c r="P117">
        <f t="shared" si="28"/>
        <v>8</v>
      </c>
      <c r="Q117">
        <f t="shared" si="28"/>
        <v>14</v>
      </c>
      <c r="R117">
        <f t="shared" si="28"/>
        <v>0</v>
      </c>
      <c r="S117">
        <f t="shared" si="28"/>
        <v>14</v>
      </c>
    </row>
    <row r="118" spans="2:19" x14ac:dyDescent="0.3">
      <c r="E118" s="9"/>
      <c r="H118">
        <f>IF((I117*1)&gt;99999999,H117+1,H117)</f>
        <v>0</v>
      </c>
      <c r="I118">
        <f>IF(I117&gt;99999999,RIGHT(I117,8),I117)</f>
        <v>81466665</v>
      </c>
      <c r="J118" t="str">
        <f t="shared" ref="J118:J139" si="29">IF(LEN(I118)&gt;8,LEN(I118),"")</f>
        <v/>
      </c>
      <c r="L118" t="str">
        <f t="shared" ref="L118:L137" si="30">L117</f>
        <v>66666666</v>
      </c>
      <c r="N118" t="str">
        <f t="shared" ref="N118:N134" si="31">N117</f>
        <v>00002222</v>
      </c>
      <c r="O118" s="10">
        <f>IF(O117&gt;0, O117-1,0)</f>
        <v>1</v>
      </c>
      <c r="P118">
        <f t="shared" si="28"/>
        <v>8</v>
      </c>
      <c r="Q118">
        <f t="shared" si="28"/>
        <v>14</v>
      </c>
      <c r="R118">
        <f t="shared" si="28"/>
        <v>0</v>
      </c>
      <c r="S118">
        <f t="shared" si="28"/>
        <v>14</v>
      </c>
    </row>
    <row r="119" spans="2:19" x14ac:dyDescent="0.3">
      <c r="E119" s="9"/>
      <c r="F119">
        <v>2</v>
      </c>
      <c r="H119">
        <f>H118</f>
        <v>0</v>
      </c>
      <c r="I119">
        <f>IF(O119&gt;0,I118+L119,I118)</f>
        <v>148133331</v>
      </c>
      <c r="J119">
        <f t="shared" si="29"/>
        <v>9</v>
      </c>
      <c r="L119" t="str">
        <f t="shared" si="30"/>
        <v>66666666</v>
      </c>
      <c r="N119" t="str">
        <f t="shared" si="31"/>
        <v>00002222</v>
      </c>
      <c r="O119" s="10">
        <f>O118</f>
        <v>1</v>
      </c>
      <c r="P119">
        <f t="shared" si="28"/>
        <v>8</v>
      </c>
      <c r="Q119">
        <f t="shared" si="28"/>
        <v>14</v>
      </c>
      <c r="R119">
        <f t="shared" si="28"/>
        <v>0</v>
      </c>
      <c r="S119">
        <f t="shared" si="28"/>
        <v>14</v>
      </c>
    </row>
    <row r="120" spans="2:19" x14ac:dyDescent="0.3">
      <c r="E120" s="9"/>
      <c r="H120">
        <f>IF((I119*1)&gt;99999999,H119+1,H119)</f>
        <v>1</v>
      </c>
      <c r="I120" t="str">
        <f>IF(I119&gt;99999999,RIGHT(I119,8),I119)</f>
        <v>48133331</v>
      </c>
      <c r="J120" t="str">
        <f t="shared" si="29"/>
        <v/>
      </c>
      <c r="L120" t="str">
        <f t="shared" si="30"/>
        <v>66666666</v>
      </c>
      <c r="N120" t="str">
        <f t="shared" si="31"/>
        <v>00002222</v>
      </c>
      <c r="O120" s="10">
        <f>IF(O119&gt;0, O119-1,0)</f>
        <v>0</v>
      </c>
      <c r="P120">
        <f t="shared" si="28"/>
        <v>8</v>
      </c>
      <c r="Q120">
        <f t="shared" si="28"/>
        <v>14</v>
      </c>
      <c r="R120">
        <f t="shared" si="28"/>
        <v>0</v>
      </c>
      <c r="S120">
        <f t="shared" si="28"/>
        <v>14</v>
      </c>
    </row>
    <row r="121" spans="2:19" x14ac:dyDescent="0.3">
      <c r="E121" s="9"/>
      <c r="F121">
        <v>3</v>
      </c>
      <c r="H121">
        <f>H120</f>
        <v>1</v>
      </c>
      <c r="I121" t="str">
        <f>IF(O121&gt;0,I120+L121,I120)</f>
        <v>48133331</v>
      </c>
      <c r="J121" t="str">
        <f t="shared" si="29"/>
        <v/>
      </c>
      <c r="L121" t="str">
        <f t="shared" si="30"/>
        <v>66666666</v>
      </c>
      <c r="N121" t="str">
        <f t="shared" si="31"/>
        <v>00002222</v>
      </c>
      <c r="O121" s="10">
        <f>O120</f>
        <v>0</v>
      </c>
      <c r="P121">
        <f t="shared" si="28"/>
        <v>8</v>
      </c>
      <c r="Q121">
        <f t="shared" si="28"/>
        <v>14</v>
      </c>
      <c r="R121">
        <f t="shared" si="28"/>
        <v>0</v>
      </c>
      <c r="S121">
        <f t="shared" si="28"/>
        <v>14</v>
      </c>
    </row>
    <row r="122" spans="2:19" x14ac:dyDescent="0.3">
      <c r="E122" s="9"/>
      <c r="H122">
        <f>IF((I121*1)&gt;99999999,H121+1,H121)</f>
        <v>1</v>
      </c>
      <c r="I122" t="str">
        <f>IF(I121&gt;99999999,RIGHT(I121,8),I121)</f>
        <v>48133331</v>
      </c>
      <c r="J122" t="str">
        <f t="shared" si="29"/>
        <v/>
      </c>
      <c r="L122" t="str">
        <f t="shared" si="30"/>
        <v>66666666</v>
      </c>
      <c r="N122" t="str">
        <f t="shared" si="31"/>
        <v>00002222</v>
      </c>
      <c r="O122" s="10">
        <f>IF(O121&gt;0, O121-1,0)</f>
        <v>0</v>
      </c>
      <c r="P122">
        <f t="shared" si="28"/>
        <v>8</v>
      </c>
      <c r="Q122">
        <f t="shared" si="28"/>
        <v>14</v>
      </c>
      <c r="R122">
        <f t="shared" si="28"/>
        <v>0</v>
      </c>
      <c r="S122">
        <f t="shared" si="28"/>
        <v>14</v>
      </c>
    </row>
    <row r="123" spans="2:19" x14ac:dyDescent="0.3">
      <c r="E123" s="9"/>
      <c r="F123">
        <v>4</v>
      </c>
      <c r="H123">
        <f>H122</f>
        <v>1</v>
      </c>
      <c r="I123" t="str">
        <f>IF(O123&gt;0,I122+L123,I122)</f>
        <v>48133331</v>
      </c>
      <c r="J123" t="str">
        <f t="shared" si="29"/>
        <v/>
      </c>
      <c r="L123" t="str">
        <f t="shared" si="30"/>
        <v>66666666</v>
      </c>
      <c r="N123" t="str">
        <f t="shared" si="31"/>
        <v>00002222</v>
      </c>
      <c r="O123" s="10">
        <f>O122</f>
        <v>0</v>
      </c>
      <c r="P123">
        <f t="shared" si="28"/>
        <v>8</v>
      </c>
      <c r="Q123">
        <f t="shared" si="28"/>
        <v>14</v>
      </c>
      <c r="R123">
        <f t="shared" si="28"/>
        <v>0</v>
      </c>
      <c r="S123">
        <f t="shared" si="28"/>
        <v>14</v>
      </c>
    </row>
    <row r="124" spans="2:19" x14ac:dyDescent="0.3">
      <c r="E124" s="9"/>
      <c r="H124">
        <f>IF((I123*1)&gt;99999999,H123+1,H123)</f>
        <v>1</v>
      </c>
      <c r="I124" t="str">
        <f>IF(I123&gt;99999999,RIGHT(I123,8),I123)</f>
        <v>48133331</v>
      </c>
      <c r="J124" t="str">
        <f t="shared" si="29"/>
        <v/>
      </c>
      <c r="L124" t="str">
        <f t="shared" si="30"/>
        <v>66666666</v>
      </c>
      <c r="N124" t="str">
        <f t="shared" si="31"/>
        <v>00002222</v>
      </c>
      <c r="O124" s="10">
        <f>IF(O123&gt;0, O123-1,0)</f>
        <v>0</v>
      </c>
      <c r="P124">
        <f t="shared" si="28"/>
        <v>8</v>
      </c>
      <c r="Q124">
        <f t="shared" si="28"/>
        <v>14</v>
      </c>
      <c r="R124">
        <f t="shared" si="28"/>
        <v>0</v>
      </c>
      <c r="S124">
        <f t="shared" si="28"/>
        <v>14</v>
      </c>
    </row>
    <row r="125" spans="2:19" x14ac:dyDescent="0.3">
      <c r="E125" s="9"/>
      <c r="F125">
        <v>5</v>
      </c>
      <c r="H125">
        <f>H124</f>
        <v>1</v>
      </c>
      <c r="I125" t="str">
        <f>IF(O125&gt;0,I124+L125,I124)</f>
        <v>48133331</v>
      </c>
      <c r="J125" t="str">
        <f t="shared" si="29"/>
        <v/>
      </c>
      <c r="L125" t="str">
        <f t="shared" si="30"/>
        <v>66666666</v>
      </c>
      <c r="N125" t="str">
        <f t="shared" si="31"/>
        <v>00002222</v>
      </c>
      <c r="O125" s="10">
        <f>O124</f>
        <v>0</v>
      </c>
      <c r="P125">
        <f t="shared" ref="P125:S140" si="32">P124</f>
        <v>8</v>
      </c>
      <c r="Q125">
        <f t="shared" si="32"/>
        <v>14</v>
      </c>
      <c r="R125">
        <f t="shared" si="32"/>
        <v>0</v>
      </c>
      <c r="S125">
        <f t="shared" si="32"/>
        <v>14</v>
      </c>
    </row>
    <row r="126" spans="2:19" x14ac:dyDescent="0.3">
      <c r="E126" s="9"/>
      <c r="H126">
        <f>IF((I125*1)&gt;99999999,H125+1,H125)</f>
        <v>1</v>
      </c>
      <c r="I126" t="str">
        <f>IF(I125&gt;99999999,RIGHT(I125,8),I125)</f>
        <v>48133331</v>
      </c>
      <c r="J126" t="str">
        <f t="shared" si="29"/>
        <v/>
      </c>
      <c r="L126" t="str">
        <f t="shared" si="30"/>
        <v>66666666</v>
      </c>
      <c r="N126" t="str">
        <f t="shared" si="31"/>
        <v>00002222</v>
      </c>
      <c r="O126" s="10">
        <f>IF(O125&gt;0, O125-1,0)</f>
        <v>0</v>
      </c>
      <c r="P126">
        <f t="shared" si="32"/>
        <v>8</v>
      </c>
      <c r="Q126">
        <f t="shared" si="32"/>
        <v>14</v>
      </c>
      <c r="R126">
        <f t="shared" si="32"/>
        <v>0</v>
      </c>
      <c r="S126">
        <f t="shared" si="32"/>
        <v>14</v>
      </c>
    </row>
    <row r="127" spans="2:19" x14ac:dyDescent="0.3">
      <c r="E127" s="9"/>
      <c r="F127">
        <v>6</v>
      </c>
      <c r="H127">
        <f>H126</f>
        <v>1</v>
      </c>
      <c r="I127" t="str">
        <f>IF(O127&gt;0,I126+L127,I126)</f>
        <v>48133331</v>
      </c>
      <c r="J127" t="str">
        <f t="shared" si="29"/>
        <v/>
      </c>
      <c r="L127" t="str">
        <f t="shared" si="30"/>
        <v>66666666</v>
      </c>
      <c r="N127" t="str">
        <f t="shared" si="31"/>
        <v>00002222</v>
      </c>
      <c r="O127" s="10">
        <f>O126</f>
        <v>0</v>
      </c>
      <c r="P127">
        <f t="shared" si="32"/>
        <v>8</v>
      </c>
      <c r="Q127">
        <f t="shared" si="32"/>
        <v>14</v>
      </c>
      <c r="R127">
        <f t="shared" si="32"/>
        <v>0</v>
      </c>
      <c r="S127">
        <f t="shared" si="32"/>
        <v>14</v>
      </c>
    </row>
    <row r="128" spans="2:19" x14ac:dyDescent="0.3">
      <c r="E128" s="9"/>
      <c r="H128">
        <f>IF((I127*1)&gt;99999999,H127+1,H127)</f>
        <v>1</v>
      </c>
      <c r="I128" t="str">
        <f>IF(I127&gt;99999999,RIGHT(I127,8),I127)</f>
        <v>48133331</v>
      </c>
      <c r="J128" t="str">
        <f t="shared" si="29"/>
        <v/>
      </c>
      <c r="L128" t="str">
        <f t="shared" si="30"/>
        <v>66666666</v>
      </c>
      <c r="N128" t="str">
        <f t="shared" si="31"/>
        <v>00002222</v>
      </c>
      <c r="O128" s="10">
        <f>IF(O127&gt;0, O127-1,0)</f>
        <v>0</v>
      </c>
      <c r="P128">
        <f t="shared" si="32"/>
        <v>8</v>
      </c>
      <c r="Q128">
        <f t="shared" si="32"/>
        <v>14</v>
      </c>
      <c r="R128">
        <f t="shared" si="32"/>
        <v>0</v>
      </c>
      <c r="S128">
        <f t="shared" si="32"/>
        <v>14</v>
      </c>
    </row>
    <row r="129" spans="2:19" x14ac:dyDescent="0.3">
      <c r="E129" s="9"/>
      <c r="F129">
        <v>7</v>
      </c>
      <c r="H129">
        <f>H128</f>
        <v>1</v>
      </c>
      <c r="I129" t="str">
        <f>IF(O129&gt;0,I128+L129,I128)</f>
        <v>48133331</v>
      </c>
      <c r="J129" t="str">
        <f t="shared" si="29"/>
        <v/>
      </c>
      <c r="L129" t="str">
        <f t="shared" si="30"/>
        <v>66666666</v>
      </c>
      <c r="N129" t="str">
        <f t="shared" si="31"/>
        <v>00002222</v>
      </c>
      <c r="O129" s="10">
        <f>O128</f>
        <v>0</v>
      </c>
      <c r="P129">
        <f t="shared" si="32"/>
        <v>8</v>
      </c>
      <c r="Q129">
        <f t="shared" si="32"/>
        <v>14</v>
      </c>
      <c r="R129">
        <f t="shared" si="32"/>
        <v>0</v>
      </c>
      <c r="S129">
        <f t="shared" si="32"/>
        <v>14</v>
      </c>
    </row>
    <row r="130" spans="2:19" x14ac:dyDescent="0.3">
      <c r="E130" s="9"/>
      <c r="H130">
        <f>IF((I129*1)&gt;99999999,H129+1,H129)</f>
        <v>1</v>
      </c>
      <c r="I130" t="str">
        <f>IF(I129&gt;99999999,RIGHT(I129,8),I129)</f>
        <v>48133331</v>
      </c>
      <c r="J130" t="str">
        <f t="shared" si="29"/>
        <v/>
      </c>
      <c r="L130" t="str">
        <f t="shared" si="30"/>
        <v>66666666</v>
      </c>
      <c r="N130" t="str">
        <f t="shared" si="31"/>
        <v>00002222</v>
      </c>
      <c r="O130" s="10">
        <f>IF(O129&gt;0, O129-1,0)</f>
        <v>0</v>
      </c>
      <c r="P130">
        <f t="shared" si="32"/>
        <v>8</v>
      </c>
      <c r="Q130">
        <f t="shared" si="32"/>
        <v>14</v>
      </c>
      <c r="R130">
        <f t="shared" si="32"/>
        <v>0</v>
      </c>
      <c r="S130">
        <f t="shared" si="32"/>
        <v>14</v>
      </c>
    </row>
    <row r="131" spans="2:19" x14ac:dyDescent="0.3">
      <c r="E131" s="9"/>
      <c r="F131">
        <v>8</v>
      </c>
      <c r="H131">
        <f>H130</f>
        <v>1</v>
      </c>
      <c r="I131" t="str">
        <f>IF(O131&gt;0,I130+L131,I130)</f>
        <v>48133331</v>
      </c>
      <c r="J131" t="str">
        <f t="shared" si="29"/>
        <v/>
      </c>
      <c r="L131" t="str">
        <f>L130</f>
        <v>66666666</v>
      </c>
      <c r="N131" t="str">
        <f t="shared" si="31"/>
        <v>00002222</v>
      </c>
      <c r="O131" s="10">
        <f>O130</f>
        <v>0</v>
      </c>
      <c r="P131">
        <f t="shared" si="32"/>
        <v>8</v>
      </c>
      <c r="Q131">
        <f t="shared" si="32"/>
        <v>14</v>
      </c>
      <c r="R131">
        <f t="shared" si="32"/>
        <v>0</v>
      </c>
      <c r="S131">
        <f t="shared" si="32"/>
        <v>14</v>
      </c>
    </row>
    <row r="132" spans="2:19" x14ac:dyDescent="0.3">
      <c r="E132" s="9"/>
      <c r="H132">
        <f>IF((I131*1)&gt;99999999,H131+1,H131)</f>
        <v>1</v>
      </c>
      <c r="I132" t="str">
        <f>IF(I131&gt;99999999,RIGHT(I131,8),I131)</f>
        <v>48133331</v>
      </c>
      <c r="J132" t="str">
        <f t="shared" si="29"/>
        <v/>
      </c>
      <c r="L132" t="str">
        <f t="shared" si="30"/>
        <v>66666666</v>
      </c>
      <c r="N132" t="str">
        <f t="shared" si="31"/>
        <v>00002222</v>
      </c>
      <c r="O132" s="10">
        <f>IF(O131&gt;0, O131-1,0)</f>
        <v>0</v>
      </c>
      <c r="P132">
        <f t="shared" si="32"/>
        <v>8</v>
      </c>
      <c r="Q132">
        <f t="shared" si="32"/>
        <v>14</v>
      </c>
      <c r="R132">
        <f t="shared" si="32"/>
        <v>0</v>
      </c>
      <c r="S132">
        <f t="shared" si="32"/>
        <v>14</v>
      </c>
    </row>
    <row r="133" spans="2:19" x14ac:dyDescent="0.3">
      <c r="E133" s="9"/>
      <c r="F133">
        <v>9</v>
      </c>
      <c r="H133">
        <f>H132</f>
        <v>1</v>
      </c>
      <c r="I133" t="str">
        <f>IF(O133&gt;0,I132+L133,I132)</f>
        <v>48133331</v>
      </c>
      <c r="J133" t="str">
        <f t="shared" si="29"/>
        <v/>
      </c>
      <c r="L133" t="str">
        <f t="shared" si="30"/>
        <v>66666666</v>
      </c>
      <c r="N133" t="str">
        <f t="shared" si="31"/>
        <v>00002222</v>
      </c>
      <c r="O133" s="10">
        <f>O132</f>
        <v>0</v>
      </c>
      <c r="P133">
        <f t="shared" si="32"/>
        <v>8</v>
      </c>
      <c r="Q133">
        <f t="shared" si="32"/>
        <v>14</v>
      </c>
      <c r="R133">
        <f t="shared" si="32"/>
        <v>0</v>
      </c>
      <c r="S133">
        <f t="shared" si="32"/>
        <v>14</v>
      </c>
    </row>
    <row r="134" spans="2:19" x14ac:dyDescent="0.3">
      <c r="E134" s="11"/>
      <c r="F134" s="1"/>
      <c r="G134" s="1"/>
      <c r="H134">
        <f>IF((I133*1)&gt;99999999,H133+1,H133)</f>
        <v>1</v>
      </c>
      <c r="I134" t="str">
        <f>IF(I133&gt;99999999,RIGHT(I133,8),I133)</f>
        <v>48133331</v>
      </c>
      <c r="J134" s="1" t="str">
        <f t="shared" si="29"/>
        <v/>
      </c>
      <c r="K134" s="1"/>
      <c r="L134" s="1" t="str">
        <f t="shared" si="30"/>
        <v>66666666</v>
      </c>
      <c r="M134" s="1"/>
      <c r="N134" s="1" t="str">
        <f t="shared" si="31"/>
        <v>00002222</v>
      </c>
      <c r="O134" s="12">
        <f>IF(O133&gt;0, O133-1,0)</f>
        <v>0</v>
      </c>
      <c r="P134">
        <f t="shared" si="32"/>
        <v>8</v>
      </c>
      <c r="Q134">
        <f t="shared" si="32"/>
        <v>14</v>
      </c>
      <c r="R134">
        <f t="shared" si="32"/>
        <v>0</v>
      </c>
      <c r="S134">
        <f t="shared" si="32"/>
        <v>14</v>
      </c>
    </row>
    <row r="135" spans="2:19" x14ac:dyDescent="0.3">
      <c r="B135" t="s">
        <v>17</v>
      </c>
      <c r="H135">
        <f>H134</f>
        <v>1</v>
      </c>
      <c r="I135" t="str">
        <f>RIGHT("0000000"&amp;I134,8)</f>
        <v>48133331</v>
      </c>
      <c r="J135" t="str">
        <f t="shared" si="29"/>
        <v/>
      </c>
      <c r="L135" t="str">
        <f t="shared" si="30"/>
        <v>66666666</v>
      </c>
      <c r="N135" s="17" t="str">
        <f>"0"&amp;LEFT(N134,7)</f>
        <v>00000222</v>
      </c>
      <c r="O135" s="17">
        <f>RIGHT(N134,1)*1</f>
        <v>2</v>
      </c>
      <c r="P135">
        <f t="shared" si="32"/>
        <v>8</v>
      </c>
      <c r="Q135">
        <f t="shared" si="32"/>
        <v>14</v>
      </c>
      <c r="R135">
        <f t="shared" si="32"/>
        <v>0</v>
      </c>
      <c r="S135">
        <f t="shared" si="32"/>
        <v>14</v>
      </c>
    </row>
    <row r="136" spans="2:19" x14ac:dyDescent="0.3">
      <c r="B136" t="s">
        <v>176</v>
      </c>
      <c r="H136">
        <f>H135</f>
        <v>1</v>
      </c>
      <c r="I136" s="17" t="str">
        <f>IF(I135=0,0,(H135&amp;LEFT(I135,7)))</f>
        <v>14813333</v>
      </c>
      <c r="J136" t="str">
        <f t="shared" si="29"/>
        <v/>
      </c>
      <c r="L136" t="str">
        <f t="shared" si="30"/>
        <v>66666666</v>
      </c>
      <c r="N136" t="str">
        <f>N135</f>
        <v>00000222</v>
      </c>
      <c r="O136">
        <f>O135</f>
        <v>2</v>
      </c>
      <c r="P136">
        <f t="shared" si="32"/>
        <v>8</v>
      </c>
      <c r="Q136">
        <f t="shared" si="32"/>
        <v>14</v>
      </c>
      <c r="R136">
        <f t="shared" si="32"/>
        <v>0</v>
      </c>
      <c r="S136">
        <f t="shared" si="32"/>
        <v>14</v>
      </c>
    </row>
    <row r="137" spans="2:19" x14ac:dyDescent="0.3">
      <c r="B137" t="s">
        <v>27</v>
      </c>
      <c r="H137" s="17">
        <f>0</f>
        <v>0</v>
      </c>
      <c r="I137" t="str">
        <f>I136</f>
        <v>14813333</v>
      </c>
      <c r="J137" t="str">
        <f t="shared" si="29"/>
        <v/>
      </c>
      <c r="L137" t="str">
        <f t="shared" si="30"/>
        <v>66666666</v>
      </c>
      <c r="N137" t="str">
        <f>N136</f>
        <v>00000222</v>
      </c>
      <c r="O137">
        <f>O136</f>
        <v>2</v>
      </c>
      <c r="P137">
        <f t="shared" si="32"/>
        <v>8</v>
      </c>
      <c r="Q137">
        <f t="shared" si="32"/>
        <v>14</v>
      </c>
      <c r="R137">
        <f t="shared" si="32"/>
        <v>0</v>
      </c>
      <c r="S137">
        <f t="shared" si="32"/>
        <v>14</v>
      </c>
    </row>
    <row r="138" spans="2:19" x14ac:dyDescent="0.3">
      <c r="H138">
        <f>0</f>
        <v>0</v>
      </c>
      <c r="I138" t="str">
        <f>I139</f>
        <v>14813333</v>
      </c>
      <c r="J138" t="str">
        <f t="shared" si="29"/>
        <v/>
      </c>
      <c r="L138" t="str">
        <f>L139</f>
        <v>66666666</v>
      </c>
      <c r="N138" t="str">
        <f>N139</f>
        <v>00000222</v>
      </c>
      <c r="O138">
        <f>O139</f>
        <v>2</v>
      </c>
      <c r="P138">
        <f t="shared" si="32"/>
        <v>8</v>
      </c>
      <c r="Q138">
        <f t="shared" si="32"/>
        <v>14</v>
      </c>
      <c r="R138">
        <f t="shared" si="32"/>
        <v>0</v>
      </c>
      <c r="S138">
        <f t="shared" si="32"/>
        <v>14</v>
      </c>
    </row>
    <row r="139" spans="2:19" x14ac:dyDescent="0.3">
      <c r="H139">
        <f>0</f>
        <v>0</v>
      </c>
      <c r="I139" t="str">
        <f>I137</f>
        <v>14813333</v>
      </c>
      <c r="J139" t="str">
        <f t="shared" si="29"/>
        <v/>
      </c>
      <c r="L139" t="str">
        <f>L137</f>
        <v>66666666</v>
      </c>
      <c r="N139" t="str">
        <f>N137</f>
        <v>00000222</v>
      </c>
      <c r="O139">
        <f>O137</f>
        <v>2</v>
      </c>
      <c r="P139">
        <f t="shared" si="32"/>
        <v>8</v>
      </c>
      <c r="Q139">
        <f t="shared" si="32"/>
        <v>14</v>
      </c>
      <c r="R139">
        <f t="shared" si="32"/>
        <v>0</v>
      </c>
      <c r="S139">
        <f t="shared" si="32"/>
        <v>14</v>
      </c>
    </row>
    <row r="140" spans="2:19" x14ac:dyDescent="0.3">
      <c r="E140" s="6">
        <v>5</v>
      </c>
      <c r="F140" s="7">
        <v>1</v>
      </c>
      <c r="G140" s="7"/>
      <c r="H140" s="7">
        <f>H139</f>
        <v>0</v>
      </c>
      <c r="I140" s="7">
        <f>IF(O140&gt;0,I139+L140,I139)</f>
        <v>81479999</v>
      </c>
      <c r="J140" s="7" t="str">
        <f>IF(LEN(I140)&gt;8,LEN(I140),"")</f>
        <v/>
      </c>
      <c r="K140" s="7"/>
      <c r="L140" s="7" t="str">
        <f>L139</f>
        <v>66666666</v>
      </c>
      <c r="M140" s="7"/>
      <c r="N140" s="7" t="str">
        <f>N139</f>
        <v>00000222</v>
      </c>
      <c r="O140" s="8">
        <f>O139</f>
        <v>2</v>
      </c>
      <c r="P140">
        <f t="shared" si="32"/>
        <v>8</v>
      </c>
      <c r="Q140">
        <f t="shared" si="32"/>
        <v>14</v>
      </c>
      <c r="R140">
        <f t="shared" si="32"/>
        <v>0</v>
      </c>
      <c r="S140">
        <f t="shared" si="32"/>
        <v>14</v>
      </c>
    </row>
    <row r="141" spans="2:19" x14ac:dyDescent="0.3">
      <c r="E141" s="9"/>
      <c r="H141">
        <f>IF((I140*1)&gt;99999999,H140+1,H140)</f>
        <v>0</v>
      </c>
      <c r="I141">
        <f>IF(I140&gt;99999999,RIGHT(I140,8),I140)</f>
        <v>81479999</v>
      </c>
      <c r="J141" t="str">
        <f t="shared" ref="J141:J162" si="33">IF(LEN(I141)&gt;8,LEN(I141),"")</f>
        <v/>
      </c>
      <c r="L141" t="str">
        <f t="shared" ref="L141:L160" si="34">L140</f>
        <v>66666666</v>
      </c>
      <c r="N141" t="str">
        <f t="shared" ref="N141:N157" si="35">N140</f>
        <v>00000222</v>
      </c>
      <c r="O141" s="10">
        <f>IF(O140&gt;0, O140-1,0)</f>
        <v>1</v>
      </c>
      <c r="P141">
        <f t="shared" ref="P141:S156" si="36">P140</f>
        <v>8</v>
      </c>
      <c r="Q141">
        <f t="shared" si="36"/>
        <v>14</v>
      </c>
      <c r="R141">
        <f t="shared" si="36"/>
        <v>0</v>
      </c>
      <c r="S141">
        <f t="shared" si="36"/>
        <v>14</v>
      </c>
    </row>
    <row r="142" spans="2:19" x14ac:dyDescent="0.3">
      <c r="E142" s="9"/>
      <c r="F142">
        <v>2</v>
      </c>
      <c r="H142">
        <f>H141</f>
        <v>0</v>
      </c>
      <c r="I142">
        <f>IF(O142&gt;0,I141+L142,I141)</f>
        <v>148146665</v>
      </c>
      <c r="J142">
        <f t="shared" si="33"/>
        <v>9</v>
      </c>
      <c r="L142" t="str">
        <f t="shared" si="34"/>
        <v>66666666</v>
      </c>
      <c r="N142" t="str">
        <f t="shared" si="35"/>
        <v>00000222</v>
      </c>
      <c r="O142" s="10">
        <f>O141</f>
        <v>1</v>
      </c>
      <c r="P142">
        <f t="shared" si="36"/>
        <v>8</v>
      </c>
      <c r="Q142">
        <f t="shared" si="36"/>
        <v>14</v>
      </c>
      <c r="R142">
        <f t="shared" si="36"/>
        <v>0</v>
      </c>
      <c r="S142">
        <f t="shared" si="36"/>
        <v>14</v>
      </c>
    </row>
    <row r="143" spans="2:19" x14ac:dyDescent="0.3">
      <c r="E143" s="9"/>
      <c r="H143">
        <f>IF((I142*1)&gt;99999999,H142+1,H142)</f>
        <v>1</v>
      </c>
      <c r="I143" t="str">
        <f>IF(I142&gt;99999999,RIGHT(I142,8),I142)</f>
        <v>48146665</v>
      </c>
      <c r="J143" t="str">
        <f t="shared" si="33"/>
        <v/>
      </c>
      <c r="L143" t="str">
        <f t="shared" si="34"/>
        <v>66666666</v>
      </c>
      <c r="N143" t="str">
        <f t="shared" si="35"/>
        <v>00000222</v>
      </c>
      <c r="O143" s="10">
        <f>IF(O142&gt;0, O142-1,0)</f>
        <v>0</v>
      </c>
      <c r="P143">
        <f t="shared" si="36"/>
        <v>8</v>
      </c>
      <c r="Q143">
        <f t="shared" si="36"/>
        <v>14</v>
      </c>
      <c r="R143">
        <f t="shared" si="36"/>
        <v>0</v>
      </c>
      <c r="S143">
        <f t="shared" si="36"/>
        <v>14</v>
      </c>
    </row>
    <row r="144" spans="2:19" x14ac:dyDescent="0.3">
      <c r="E144" s="9"/>
      <c r="F144">
        <v>3</v>
      </c>
      <c r="H144">
        <f>H143</f>
        <v>1</v>
      </c>
      <c r="I144" t="str">
        <f>IF(O144&gt;0,I143+L144,I143)</f>
        <v>48146665</v>
      </c>
      <c r="J144" t="str">
        <f t="shared" si="33"/>
        <v/>
      </c>
      <c r="L144" t="str">
        <f t="shared" si="34"/>
        <v>66666666</v>
      </c>
      <c r="N144" t="str">
        <f t="shared" si="35"/>
        <v>00000222</v>
      </c>
      <c r="O144" s="10">
        <f>O143</f>
        <v>0</v>
      </c>
      <c r="P144">
        <f t="shared" si="36"/>
        <v>8</v>
      </c>
      <c r="Q144">
        <f t="shared" si="36"/>
        <v>14</v>
      </c>
      <c r="R144">
        <f t="shared" si="36"/>
        <v>0</v>
      </c>
      <c r="S144">
        <f t="shared" si="36"/>
        <v>14</v>
      </c>
    </row>
    <row r="145" spans="2:19" x14ac:dyDescent="0.3">
      <c r="E145" s="9"/>
      <c r="H145">
        <f>IF((I144*1)&gt;99999999,H144+1,H144)</f>
        <v>1</v>
      </c>
      <c r="I145" t="str">
        <f>IF(I144&gt;99999999,RIGHT(I144,8),I144)</f>
        <v>48146665</v>
      </c>
      <c r="J145" t="str">
        <f t="shared" si="33"/>
        <v/>
      </c>
      <c r="L145" t="str">
        <f t="shared" si="34"/>
        <v>66666666</v>
      </c>
      <c r="N145" t="str">
        <f t="shared" si="35"/>
        <v>00000222</v>
      </c>
      <c r="O145" s="10">
        <f>IF(O144&gt;0, O144-1,0)</f>
        <v>0</v>
      </c>
      <c r="P145">
        <f t="shared" si="36"/>
        <v>8</v>
      </c>
      <c r="Q145">
        <f t="shared" si="36"/>
        <v>14</v>
      </c>
      <c r="R145">
        <f t="shared" si="36"/>
        <v>0</v>
      </c>
      <c r="S145">
        <f t="shared" si="36"/>
        <v>14</v>
      </c>
    </row>
    <row r="146" spans="2:19" x14ac:dyDescent="0.3">
      <c r="E146" s="9"/>
      <c r="F146">
        <v>4</v>
      </c>
      <c r="H146">
        <f>H145</f>
        <v>1</v>
      </c>
      <c r="I146" t="str">
        <f>IF(O146&gt;0,I145+L146,I145)</f>
        <v>48146665</v>
      </c>
      <c r="J146" t="str">
        <f t="shared" si="33"/>
        <v/>
      </c>
      <c r="L146" t="str">
        <f t="shared" si="34"/>
        <v>66666666</v>
      </c>
      <c r="N146" t="str">
        <f t="shared" si="35"/>
        <v>00000222</v>
      </c>
      <c r="O146" s="10">
        <f>O145</f>
        <v>0</v>
      </c>
      <c r="P146">
        <f t="shared" si="36"/>
        <v>8</v>
      </c>
      <c r="Q146">
        <f t="shared" si="36"/>
        <v>14</v>
      </c>
      <c r="R146">
        <f t="shared" si="36"/>
        <v>0</v>
      </c>
      <c r="S146">
        <f t="shared" si="36"/>
        <v>14</v>
      </c>
    </row>
    <row r="147" spans="2:19" x14ac:dyDescent="0.3">
      <c r="E147" s="9"/>
      <c r="H147">
        <f>IF((I146*1)&gt;99999999,H146+1,H146)</f>
        <v>1</v>
      </c>
      <c r="I147" t="str">
        <f>IF(I146&gt;99999999,RIGHT(I146,8),I146)</f>
        <v>48146665</v>
      </c>
      <c r="J147" t="str">
        <f t="shared" si="33"/>
        <v/>
      </c>
      <c r="L147" t="str">
        <f t="shared" si="34"/>
        <v>66666666</v>
      </c>
      <c r="N147" t="str">
        <f t="shared" si="35"/>
        <v>00000222</v>
      </c>
      <c r="O147" s="10">
        <f>IF(O146&gt;0, O146-1,0)</f>
        <v>0</v>
      </c>
      <c r="P147">
        <f t="shared" si="36"/>
        <v>8</v>
      </c>
      <c r="Q147">
        <f t="shared" si="36"/>
        <v>14</v>
      </c>
      <c r="R147">
        <f t="shared" si="36"/>
        <v>0</v>
      </c>
      <c r="S147">
        <f t="shared" si="36"/>
        <v>14</v>
      </c>
    </row>
    <row r="148" spans="2:19" x14ac:dyDescent="0.3">
      <c r="E148" s="9"/>
      <c r="F148">
        <v>5</v>
      </c>
      <c r="H148">
        <f>H147</f>
        <v>1</v>
      </c>
      <c r="I148" t="str">
        <f>IF(O148&gt;0,I147+L148,I147)</f>
        <v>48146665</v>
      </c>
      <c r="J148" t="str">
        <f t="shared" si="33"/>
        <v/>
      </c>
      <c r="L148" t="str">
        <f t="shared" si="34"/>
        <v>66666666</v>
      </c>
      <c r="N148" t="str">
        <f t="shared" si="35"/>
        <v>00000222</v>
      </c>
      <c r="O148" s="10">
        <f>O147</f>
        <v>0</v>
      </c>
      <c r="P148">
        <f t="shared" si="36"/>
        <v>8</v>
      </c>
      <c r="Q148">
        <f t="shared" si="36"/>
        <v>14</v>
      </c>
      <c r="R148">
        <f t="shared" si="36"/>
        <v>0</v>
      </c>
      <c r="S148">
        <f t="shared" si="36"/>
        <v>14</v>
      </c>
    </row>
    <row r="149" spans="2:19" x14ac:dyDescent="0.3">
      <c r="E149" s="9"/>
      <c r="H149">
        <f>IF((I148*1)&gt;99999999,H148+1,H148)</f>
        <v>1</v>
      </c>
      <c r="I149" t="str">
        <f>IF(I148&gt;99999999,RIGHT(I148,8),I148)</f>
        <v>48146665</v>
      </c>
      <c r="J149" t="str">
        <f t="shared" si="33"/>
        <v/>
      </c>
      <c r="L149" t="str">
        <f t="shared" si="34"/>
        <v>66666666</v>
      </c>
      <c r="N149" t="str">
        <f t="shared" si="35"/>
        <v>00000222</v>
      </c>
      <c r="O149" s="10">
        <f>IF(O148&gt;0, O148-1,0)</f>
        <v>0</v>
      </c>
      <c r="P149">
        <f t="shared" si="36"/>
        <v>8</v>
      </c>
      <c r="Q149">
        <f t="shared" si="36"/>
        <v>14</v>
      </c>
      <c r="R149">
        <f t="shared" si="36"/>
        <v>0</v>
      </c>
      <c r="S149">
        <f t="shared" si="36"/>
        <v>14</v>
      </c>
    </row>
    <row r="150" spans="2:19" x14ac:dyDescent="0.3">
      <c r="E150" s="9"/>
      <c r="F150">
        <v>6</v>
      </c>
      <c r="H150">
        <f>H149</f>
        <v>1</v>
      </c>
      <c r="I150" t="str">
        <f>IF(O150&gt;0,I149+L150,I149)</f>
        <v>48146665</v>
      </c>
      <c r="J150" t="str">
        <f t="shared" si="33"/>
        <v/>
      </c>
      <c r="L150" t="str">
        <f t="shared" si="34"/>
        <v>66666666</v>
      </c>
      <c r="N150" t="str">
        <f t="shared" si="35"/>
        <v>00000222</v>
      </c>
      <c r="O150" s="10">
        <f>O149</f>
        <v>0</v>
      </c>
      <c r="P150">
        <f t="shared" si="36"/>
        <v>8</v>
      </c>
      <c r="Q150">
        <f t="shared" si="36"/>
        <v>14</v>
      </c>
      <c r="R150">
        <f t="shared" si="36"/>
        <v>0</v>
      </c>
      <c r="S150">
        <f t="shared" si="36"/>
        <v>14</v>
      </c>
    </row>
    <row r="151" spans="2:19" x14ac:dyDescent="0.3">
      <c r="E151" s="9"/>
      <c r="H151">
        <f>IF((I150*1)&gt;99999999,H150+1,H150)</f>
        <v>1</v>
      </c>
      <c r="I151" t="str">
        <f>IF(I150&gt;99999999,RIGHT(I150,8),I150)</f>
        <v>48146665</v>
      </c>
      <c r="J151" t="str">
        <f t="shared" si="33"/>
        <v/>
      </c>
      <c r="L151" t="str">
        <f t="shared" si="34"/>
        <v>66666666</v>
      </c>
      <c r="N151" t="str">
        <f t="shared" si="35"/>
        <v>00000222</v>
      </c>
      <c r="O151" s="10">
        <f>IF(O150&gt;0, O150-1,0)</f>
        <v>0</v>
      </c>
      <c r="P151">
        <f t="shared" si="36"/>
        <v>8</v>
      </c>
      <c r="Q151">
        <f t="shared" si="36"/>
        <v>14</v>
      </c>
      <c r="R151">
        <f t="shared" si="36"/>
        <v>0</v>
      </c>
      <c r="S151">
        <f t="shared" si="36"/>
        <v>14</v>
      </c>
    </row>
    <row r="152" spans="2:19" x14ac:dyDescent="0.3">
      <c r="E152" s="9"/>
      <c r="F152">
        <v>7</v>
      </c>
      <c r="H152">
        <f>H151</f>
        <v>1</v>
      </c>
      <c r="I152" t="str">
        <f>IF(O152&gt;0,I151+L152,I151)</f>
        <v>48146665</v>
      </c>
      <c r="J152" t="str">
        <f t="shared" si="33"/>
        <v/>
      </c>
      <c r="L152" t="str">
        <f t="shared" si="34"/>
        <v>66666666</v>
      </c>
      <c r="N152" t="str">
        <f t="shared" si="35"/>
        <v>00000222</v>
      </c>
      <c r="O152" s="10">
        <f>O151</f>
        <v>0</v>
      </c>
      <c r="P152">
        <f t="shared" si="36"/>
        <v>8</v>
      </c>
      <c r="Q152">
        <f t="shared" si="36"/>
        <v>14</v>
      </c>
      <c r="R152">
        <f t="shared" si="36"/>
        <v>0</v>
      </c>
      <c r="S152">
        <f t="shared" si="36"/>
        <v>14</v>
      </c>
    </row>
    <row r="153" spans="2:19" x14ac:dyDescent="0.3">
      <c r="E153" s="9"/>
      <c r="H153">
        <f>IF((I152*1)&gt;99999999,H152+1,H152)</f>
        <v>1</v>
      </c>
      <c r="I153" t="str">
        <f>IF(I152&gt;99999999,RIGHT(I152,8),I152)</f>
        <v>48146665</v>
      </c>
      <c r="J153" t="str">
        <f t="shared" si="33"/>
        <v/>
      </c>
      <c r="L153" t="str">
        <f t="shared" si="34"/>
        <v>66666666</v>
      </c>
      <c r="N153" t="str">
        <f t="shared" si="35"/>
        <v>00000222</v>
      </c>
      <c r="O153" s="10">
        <f>IF(O152&gt;0, O152-1,0)</f>
        <v>0</v>
      </c>
      <c r="P153">
        <f t="shared" si="36"/>
        <v>8</v>
      </c>
      <c r="Q153">
        <f t="shared" si="36"/>
        <v>14</v>
      </c>
      <c r="R153">
        <f t="shared" si="36"/>
        <v>0</v>
      </c>
      <c r="S153">
        <f t="shared" si="36"/>
        <v>14</v>
      </c>
    </row>
    <row r="154" spans="2:19" x14ac:dyDescent="0.3">
      <c r="E154" s="9"/>
      <c r="F154">
        <v>8</v>
      </c>
      <c r="H154">
        <f>H153</f>
        <v>1</v>
      </c>
      <c r="I154" t="str">
        <f>IF(O154&gt;0,I153+L154,I153)</f>
        <v>48146665</v>
      </c>
      <c r="J154" t="str">
        <f t="shared" si="33"/>
        <v/>
      </c>
      <c r="L154" t="str">
        <f>L153</f>
        <v>66666666</v>
      </c>
      <c r="N154" t="str">
        <f t="shared" si="35"/>
        <v>00000222</v>
      </c>
      <c r="O154" s="10">
        <f>O153</f>
        <v>0</v>
      </c>
      <c r="P154">
        <f t="shared" si="36"/>
        <v>8</v>
      </c>
      <c r="Q154">
        <f t="shared" si="36"/>
        <v>14</v>
      </c>
      <c r="R154">
        <f t="shared" si="36"/>
        <v>0</v>
      </c>
      <c r="S154">
        <f t="shared" si="36"/>
        <v>14</v>
      </c>
    </row>
    <row r="155" spans="2:19" x14ac:dyDescent="0.3">
      <c r="E155" s="9"/>
      <c r="H155">
        <f>IF((I154*1)&gt;99999999,H154+1,H154)</f>
        <v>1</v>
      </c>
      <c r="I155" t="str">
        <f>IF(I154&gt;99999999,RIGHT(I154,8),I154)</f>
        <v>48146665</v>
      </c>
      <c r="J155" t="str">
        <f t="shared" si="33"/>
        <v/>
      </c>
      <c r="L155" t="str">
        <f t="shared" si="34"/>
        <v>66666666</v>
      </c>
      <c r="N155" t="str">
        <f t="shared" si="35"/>
        <v>00000222</v>
      </c>
      <c r="O155" s="10">
        <f>IF(O154&gt;0, O154-1,0)</f>
        <v>0</v>
      </c>
      <c r="P155">
        <f t="shared" si="36"/>
        <v>8</v>
      </c>
      <c r="Q155">
        <f t="shared" si="36"/>
        <v>14</v>
      </c>
      <c r="R155">
        <f t="shared" si="36"/>
        <v>0</v>
      </c>
      <c r="S155">
        <f t="shared" si="36"/>
        <v>14</v>
      </c>
    </row>
    <row r="156" spans="2:19" x14ac:dyDescent="0.3">
      <c r="E156" s="9"/>
      <c r="F156">
        <v>9</v>
      </c>
      <c r="H156">
        <f>H155</f>
        <v>1</v>
      </c>
      <c r="I156" t="str">
        <f>IF(O156&gt;0,I155+L156,I155)</f>
        <v>48146665</v>
      </c>
      <c r="J156" t="str">
        <f t="shared" si="33"/>
        <v/>
      </c>
      <c r="L156" t="str">
        <f t="shared" si="34"/>
        <v>66666666</v>
      </c>
      <c r="N156" t="str">
        <f t="shared" si="35"/>
        <v>00000222</v>
      </c>
      <c r="O156" s="10">
        <f>O155</f>
        <v>0</v>
      </c>
      <c r="P156">
        <f t="shared" si="36"/>
        <v>8</v>
      </c>
      <c r="Q156">
        <f t="shared" si="36"/>
        <v>14</v>
      </c>
      <c r="R156">
        <f t="shared" si="36"/>
        <v>0</v>
      </c>
      <c r="S156">
        <f t="shared" si="36"/>
        <v>14</v>
      </c>
    </row>
    <row r="157" spans="2:19" x14ac:dyDescent="0.3">
      <c r="E157" s="11"/>
      <c r="F157" s="1"/>
      <c r="G157" s="1"/>
      <c r="H157">
        <f>IF((I156*1)&gt;99999999,H156+1,H156)</f>
        <v>1</v>
      </c>
      <c r="I157" t="str">
        <f>IF(I156&gt;99999999,RIGHT(I156,8),I156)</f>
        <v>48146665</v>
      </c>
      <c r="J157" s="1" t="str">
        <f t="shared" si="33"/>
        <v/>
      </c>
      <c r="K157" s="1"/>
      <c r="L157" s="1" t="str">
        <f t="shared" si="34"/>
        <v>66666666</v>
      </c>
      <c r="M157" s="1"/>
      <c r="N157" s="1" t="str">
        <f t="shared" si="35"/>
        <v>00000222</v>
      </c>
      <c r="O157" s="12">
        <f>IF(O156&gt;0, O156-1,0)</f>
        <v>0</v>
      </c>
      <c r="P157">
        <f t="shared" ref="P157:S172" si="37">P156</f>
        <v>8</v>
      </c>
      <c r="Q157">
        <f t="shared" si="37"/>
        <v>14</v>
      </c>
      <c r="R157">
        <f t="shared" si="37"/>
        <v>0</v>
      </c>
      <c r="S157">
        <f t="shared" si="37"/>
        <v>14</v>
      </c>
    </row>
    <row r="158" spans="2:19" x14ac:dyDescent="0.3">
      <c r="B158" t="s">
        <v>17</v>
      </c>
      <c r="H158">
        <f>H157</f>
        <v>1</v>
      </c>
      <c r="I158" t="str">
        <f>RIGHT("0000000"&amp;I157,8)</f>
        <v>48146665</v>
      </c>
      <c r="J158" t="str">
        <f t="shared" si="33"/>
        <v/>
      </c>
      <c r="L158" t="str">
        <f t="shared" si="34"/>
        <v>66666666</v>
      </c>
      <c r="N158" s="17" t="str">
        <f>"0"&amp;LEFT(N157,7)</f>
        <v>00000022</v>
      </c>
      <c r="O158" s="17">
        <f>RIGHT(N157,1)*1</f>
        <v>2</v>
      </c>
      <c r="P158">
        <f t="shared" si="37"/>
        <v>8</v>
      </c>
      <c r="Q158">
        <f t="shared" si="37"/>
        <v>14</v>
      </c>
      <c r="R158">
        <f t="shared" si="37"/>
        <v>0</v>
      </c>
      <c r="S158">
        <f t="shared" si="37"/>
        <v>14</v>
      </c>
    </row>
    <row r="159" spans="2:19" x14ac:dyDescent="0.3">
      <c r="B159" t="s">
        <v>176</v>
      </c>
      <c r="H159">
        <f>H158</f>
        <v>1</v>
      </c>
      <c r="I159" s="17" t="str">
        <f>IF(I158=0,0,(H158&amp;LEFT(I158,7)))</f>
        <v>14814666</v>
      </c>
      <c r="J159" t="str">
        <f t="shared" si="33"/>
        <v/>
      </c>
      <c r="L159" t="str">
        <f t="shared" si="34"/>
        <v>66666666</v>
      </c>
      <c r="N159" t="str">
        <f>N158</f>
        <v>00000022</v>
      </c>
      <c r="O159">
        <f>O158</f>
        <v>2</v>
      </c>
      <c r="P159">
        <f t="shared" si="37"/>
        <v>8</v>
      </c>
      <c r="Q159">
        <f t="shared" si="37"/>
        <v>14</v>
      </c>
      <c r="R159">
        <f t="shared" si="37"/>
        <v>0</v>
      </c>
      <c r="S159">
        <f t="shared" si="37"/>
        <v>14</v>
      </c>
    </row>
    <row r="160" spans="2:19" x14ac:dyDescent="0.3">
      <c r="B160" t="s">
        <v>27</v>
      </c>
      <c r="H160" s="17">
        <f>0</f>
        <v>0</v>
      </c>
      <c r="I160" t="str">
        <f>I159</f>
        <v>14814666</v>
      </c>
      <c r="J160" t="str">
        <f t="shared" si="33"/>
        <v/>
      </c>
      <c r="L160" t="str">
        <f t="shared" si="34"/>
        <v>66666666</v>
      </c>
      <c r="N160" t="str">
        <f>N159</f>
        <v>00000022</v>
      </c>
      <c r="O160">
        <f>O159</f>
        <v>2</v>
      </c>
      <c r="P160">
        <f t="shared" si="37"/>
        <v>8</v>
      </c>
      <c r="Q160">
        <f t="shared" si="37"/>
        <v>14</v>
      </c>
      <c r="R160">
        <f t="shared" si="37"/>
        <v>0</v>
      </c>
      <c r="S160">
        <f t="shared" si="37"/>
        <v>14</v>
      </c>
    </row>
    <row r="161" spans="5:19" x14ac:dyDescent="0.3">
      <c r="H161">
        <f>0</f>
        <v>0</v>
      </c>
      <c r="I161" t="str">
        <f>I162</f>
        <v>14814666</v>
      </c>
      <c r="J161" t="str">
        <f t="shared" si="33"/>
        <v/>
      </c>
      <c r="L161" t="str">
        <f>L162</f>
        <v>66666666</v>
      </c>
      <c r="N161" t="str">
        <f>N162</f>
        <v>00000022</v>
      </c>
      <c r="O161">
        <f>O162</f>
        <v>2</v>
      </c>
      <c r="P161">
        <f t="shared" si="37"/>
        <v>8</v>
      </c>
      <c r="Q161">
        <f t="shared" si="37"/>
        <v>14</v>
      </c>
      <c r="R161">
        <f t="shared" si="37"/>
        <v>0</v>
      </c>
      <c r="S161">
        <f t="shared" si="37"/>
        <v>14</v>
      </c>
    </row>
    <row r="162" spans="5:19" x14ac:dyDescent="0.3">
      <c r="H162">
        <f>0</f>
        <v>0</v>
      </c>
      <c r="I162" t="str">
        <f>I160</f>
        <v>14814666</v>
      </c>
      <c r="J162" t="str">
        <f t="shared" si="33"/>
        <v/>
      </c>
      <c r="L162" t="str">
        <f>L160</f>
        <v>66666666</v>
      </c>
      <c r="N162" t="str">
        <f>N160</f>
        <v>00000022</v>
      </c>
      <c r="O162">
        <f>O160</f>
        <v>2</v>
      </c>
      <c r="P162">
        <f t="shared" si="37"/>
        <v>8</v>
      </c>
      <c r="Q162">
        <f t="shared" si="37"/>
        <v>14</v>
      </c>
      <c r="R162">
        <f t="shared" si="37"/>
        <v>0</v>
      </c>
      <c r="S162">
        <f t="shared" si="37"/>
        <v>14</v>
      </c>
    </row>
    <row r="163" spans="5:19" x14ac:dyDescent="0.3">
      <c r="E163" s="6">
        <v>6</v>
      </c>
      <c r="F163" s="7">
        <v>1</v>
      </c>
      <c r="G163" s="7"/>
      <c r="H163" s="7">
        <f>H162</f>
        <v>0</v>
      </c>
      <c r="I163" s="7">
        <f>IF(O163&gt;0,I162+L163,I162)</f>
        <v>81481332</v>
      </c>
      <c r="J163" s="7" t="str">
        <f>IF(LEN(I163)&gt;8,LEN(I163),"")</f>
        <v/>
      </c>
      <c r="K163" s="7"/>
      <c r="L163" s="7" t="str">
        <f>L162</f>
        <v>66666666</v>
      </c>
      <c r="M163" s="7"/>
      <c r="N163" s="7" t="str">
        <f>N162</f>
        <v>00000022</v>
      </c>
      <c r="O163" s="8">
        <f>O162</f>
        <v>2</v>
      </c>
      <c r="P163">
        <f t="shared" si="37"/>
        <v>8</v>
      </c>
      <c r="Q163">
        <f t="shared" si="37"/>
        <v>14</v>
      </c>
      <c r="R163">
        <f t="shared" si="37"/>
        <v>0</v>
      </c>
      <c r="S163">
        <f t="shared" si="37"/>
        <v>14</v>
      </c>
    </row>
    <row r="164" spans="5:19" x14ac:dyDescent="0.3">
      <c r="E164" s="9"/>
      <c r="H164">
        <f>IF((I163*1)&gt;99999999,H163+1,H163)</f>
        <v>0</v>
      </c>
      <c r="I164">
        <f>IF(I163&gt;99999999,RIGHT(I163,8),I163)</f>
        <v>81481332</v>
      </c>
      <c r="J164" t="str">
        <f t="shared" ref="J164:J185" si="38">IF(LEN(I164)&gt;8,LEN(I164),"")</f>
        <v/>
      </c>
      <c r="L164" t="str">
        <f t="shared" ref="L164:L183" si="39">L163</f>
        <v>66666666</v>
      </c>
      <c r="N164" t="str">
        <f t="shared" ref="N164:N180" si="40">N163</f>
        <v>00000022</v>
      </c>
      <c r="O164" s="10">
        <f>IF(O163&gt;0, O163-1,0)</f>
        <v>1</v>
      </c>
      <c r="P164">
        <f t="shared" si="37"/>
        <v>8</v>
      </c>
      <c r="Q164">
        <f t="shared" si="37"/>
        <v>14</v>
      </c>
      <c r="R164">
        <f t="shared" si="37"/>
        <v>0</v>
      </c>
      <c r="S164">
        <f t="shared" si="37"/>
        <v>14</v>
      </c>
    </row>
    <row r="165" spans="5:19" x14ac:dyDescent="0.3">
      <c r="E165" s="9"/>
      <c r="F165">
        <v>2</v>
      </c>
      <c r="H165">
        <f>H164</f>
        <v>0</v>
      </c>
      <c r="I165">
        <f>IF(O165&gt;0,I164+L165,I164)</f>
        <v>148147998</v>
      </c>
      <c r="J165">
        <f t="shared" si="38"/>
        <v>9</v>
      </c>
      <c r="L165" t="str">
        <f t="shared" si="39"/>
        <v>66666666</v>
      </c>
      <c r="N165" t="str">
        <f t="shared" si="40"/>
        <v>00000022</v>
      </c>
      <c r="O165" s="10">
        <f>O164</f>
        <v>1</v>
      </c>
      <c r="P165">
        <f t="shared" si="37"/>
        <v>8</v>
      </c>
      <c r="Q165">
        <f t="shared" si="37"/>
        <v>14</v>
      </c>
      <c r="R165">
        <f t="shared" si="37"/>
        <v>0</v>
      </c>
      <c r="S165">
        <f t="shared" si="37"/>
        <v>14</v>
      </c>
    </row>
    <row r="166" spans="5:19" x14ac:dyDescent="0.3">
      <c r="E166" s="9"/>
      <c r="H166">
        <f>IF((I165*1)&gt;99999999,H165+1,H165)</f>
        <v>1</v>
      </c>
      <c r="I166" t="str">
        <f>IF(I165&gt;99999999,RIGHT(I165,8),I165)</f>
        <v>48147998</v>
      </c>
      <c r="J166" t="str">
        <f t="shared" si="38"/>
        <v/>
      </c>
      <c r="L166" t="str">
        <f t="shared" si="39"/>
        <v>66666666</v>
      </c>
      <c r="N166" t="str">
        <f t="shared" si="40"/>
        <v>00000022</v>
      </c>
      <c r="O166" s="10">
        <f>IF(O165&gt;0, O165-1,0)</f>
        <v>0</v>
      </c>
      <c r="P166">
        <f t="shared" si="37"/>
        <v>8</v>
      </c>
      <c r="Q166">
        <f t="shared" si="37"/>
        <v>14</v>
      </c>
      <c r="R166">
        <f t="shared" si="37"/>
        <v>0</v>
      </c>
      <c r="S166">
        <f t="shared" si="37"/>
        <v>14</v>
      </c>
    </row>
    <row r="167" spans="5:19" x14ac:dyDescent="0.3">
      <c r="E167" s="9"/>
      <c r="F167">
        <v>3</v>
      </c>
      <c r="H167">
        <f>H166</f>
        <v>1</v>
      </c>
      <c r="I167" t="str">
        <f>IF(O167&gt;0,I166+L167,I166)</f>
        <v>48147998</v>
      </c>
      <c r="J167" t="str">
        <f t="shared" si="38"/>
        <v/>
      </c>
      <c r="L167" t="str">
        <f t="shared" si="39"/>
        <v>66666666</v>
      </c>
      <c r="N167" t="str">
        <f t="shared" si="40"/>
        <v>00000022</v>
      </c>
      <c r="O167" s="10">
        <f>O166</f>
        <v>0</v>
      </c>
      <c r="P167">
        <f t="shared" si="37"/>
        <v>8</v>
      </c>
      <c r="Q167">
        <f t="shared" si="37"/>
        <v>14</v>
      </c>
      <c r="R167">
        <f t="shared" si="37"/>
        <v>0</v>
      </c>
      <c r="S167">
        <f t="shared" si="37"/>
        <v>14</v>
      </c>
    </row>
    <row r="168" spans="5:19" x14ac:dyDescent="0.3">
      <c r="E168" s="9"/>
      <c r="H168">
        <f>IF((I167*1)&gt;99999999,H167+1,H167)</f>
        <v>1</v>
      </c>
      <c r="I168" t="str">
        <f>IF(I167&gt;99999999,RIGHT(I167,8),I167)</f>
        <v>48147998</v>
      </c>
      <c r="J168" t="str">
        <f t="shared" si="38"/>
        <v/>
      </c>
      <c r="L168" t="str">
        <f t="shared" si="39"/>
        <v>66666666</v>
      </c>
      <c r="N168" t="str">
        <f t="shared" si="40"/>
        <v>00000022</v>
      </c>
      <c r="O168" s="10">
        <f>IF(O167&gt;0, O167-1,0)</f>
        <v>0</v>
      </c>
      <c r="P168">
        <f t="shared" si="37"/>
        <v>8</v>
      </c>
      <c r="Q168">
        <f t="shared" si="37"/>
        <v>14</v>
      </c>
      <c r="R168">
        <f t="shared" si="37"/>
        <v>0</v>
      </c>
      <c r="S168">
        <f t="shared" si="37"/>
        <v>14</v>
      </c>
    </row>
    <row r="169" spans="5:19" x14ac:dyDescent="0.3">
      <c r="E169" s="9"/>
      <c r="F169">
        <v>4</v>
      </c>
      <c r="H169">
        <f>H168</f>
        <v>1</v>
      </c>
      <c r="I169" t="str">
        <f>IF(O169&gt;0,I168+L169,I168)</f>
        <v>48147998</v>
      </c>
      <c r="J169" t="str">
        <f t="shared" si="38"/>
        <v/>
      </c>
      <c r="L169" t="str">
        <f t="shared" si="39"/>
        <v>66666666</v>
      </c>
      <c r="N169" t="str">
        <f t="shared" si="40"/>
        <v>00000022</v>
      </c>
      <c r="O169" s="10">
        <f>O168</f>
        <v>0</v>
      </c>
      <c r="P169">
        <f t="shared" si="37"/>
        <v>8</v>
      </c>
      <c r="Q169">
        <f t="shared" si="37"/>
        <v>14</v>
      </c>
      <c r="R169">
        <f t="shared" si="37"/>
        <v>0</v>
      </c>
      <c r="S169">
        <f t="shared" si="37"/>
        <v>14</v>
      </c>
    </row>
    <row r="170" spans="5:19" x14ac:dyDescent="0.3">
      <c r="E170" s="9"/>
      <c r="H170">
        <f>IF((I169*1)&gt;99999999,H169+1,H169)</f>
        <v>1</v>
      </c>
      <c r="I170" t="str">
        <f>IF(I169&gt;99999999,RIGHT(I169,8),I169)</f>
        <v>48147998</v>
      </c>
      <c r="J170" t="str">
        <f t="shared" si="38"/>
        <v/>
      </c>
      <c r="L170" t="str">
        <f t="shared" si="39"/>
        <v>66666666</v>
      </c>
      <c r="N170" t="str">
        <f t="shared" si="40"/>
        <v>00000022</v>
      </c>
      <c r="O170" s="10">
        <f>IF(O169&gt;0, O169-1,0)</f>
        <v>0</v>
      </c>
      <c r="P170">
        <f t="shared" si="37"/>
        <v>8</v>
      </c>
      <c r="Q170">
        <f t="shared" si="37"/>
        <v>14</v>
      </c>
      <c r="R170">
        <f t="shared" si="37"/>
        <v>0</v>
      </c>
      <c r="S170">
        <f t="shared" si="37"/>
        <v>14</v>
      </c>
    </row>
    <row r="171" spans="5:19" x14ac:dyDescent="0.3">
      <c r="E171" s="9"/>
      <c r="F171">
        <v>5</v>
      </c>
      <c r="H171">
        <f>H170</f>
        <v>1</v>
      </c>
      <c r="I171" t="str">
        <f>IF(O171&gt;0,I170+L171,I170)</f>
        <v>48147998</v>
      </c>
      <c r="J171" t="str">
        <f t="shared" si="38"/>
        <v/>
      </c>
      <c r="L171" t="str">
        <f t="shared" si="39"/>
        <v>66666666</v>
      </c>
      <c r="N171" t="str">
        <f t="shared" si="40"/>
        <v>00000022</v>
      </c>
      <c r="O171" s="10">
        <f>O170</f>
        <v>0</v>
      </c>
      <c r="P171">
        <f t="shared" si="37"/>
        <v>8</v>
      </c>
      <c r="Q171">
        <f t="shared" si="37"/>
        <v>14</v>
      </c>
      <c r="R171">
        <f t="shared" si="37"/>
        <v>0</v>
      </c>
      <c r="S171">
        <f t="shared" si="37"/>
        <v>14</v>
      </c>
    </row>
    <row r="172" spans="5:19" x14ac:dyDescent="0.3">
      <c r="E172" s="9"/>
      <c r="H172">
        <f>IF((I171*1)&gt;99999999,H171+1,H171)</f>
        <v>1</v>
      </c>
      <c r="I172" t="str">
        <f>IF(I171&gt;99999999,RIGHT(I171,8),I171)</f>
        <v>48147998</v>
      </c>
      <c r="J172" t="str">
        <f t="shared" si="38"/>
        <v/>
      </c>
      <c r="L172" t="str">
        <f t="shared" si="39"/>
        <v>66666666</v>
      </c>
      <c r="N172" t="str">
        <f t="shared" si="40"/>
        <v>00000022</v>
      </c>
      <c r="O172" s="10">
        <f>IF(O171&gt;0, O171-1,0)</f>
        <v>0</v>
      </c>
      <c r="P172">
        <f t="shared" si="37"/>
        <v>8</v>
      </c>
      <c r="Q172">
        <f t="shared" si="37"/>
        <v>14</v>
      </c>
      <c r="R172">
        <f t="shared" si="37"/>
        <v>0</v>
      </c>
      <c r="S172">
        <f t="shared" si="37"/>
        <v>14</v>
      </c>
    </row>
    <row r="173" spans="5:19" x14ac:dyDescent="0.3">
      <c r="E173" s="9"/>
      <c r="F173">
        <v>6</v>
      </c>
      <c r="H173">
        <f>H172</f>
        <v>1</v>
      </c>
      <c r="I173" t="str">
        <f>IF(O173&gt;0,I172+L173,I172)</f>
        <v>48147998</v>
      </c>
      <c r="J173" t="str">
        <f t="shared" si="38"/>
        <v/>
      </c>
      <c r="L173" t="str">
        <f t="shared" si="39"/>
        <v>66666666</v>
      </c>
      <c r="N173" t="str">
        <f t="shared" si="40"/>
        <v>00000022</v>
      </c>
      <c r="O173" s="10">
        <f>O172</f>
        <v>0</v>
      </c>
      <c r="P173">
        <f t="shared" ref="P173:S188" si="41">P172</f>
        <v>8</v>
      </c>
      <c r="Q173">
        <f t="shared" si="41"/>
        <v>14</v>
      </c>
      <c r="R173">
        <f t="shared" si="41"/>
        <v>0</v>
      </c>
      <c r="S173">
        <f t="shared" si="41"/>
        <v>14</v>
      </c>
    </row>
    <row r="174" spans="5:19" x14ac:dyDescent="0.3">
      <c r="E174" s="9"/>
      <c r="H174">
        <f>IF((I173*1)&gt;99999999,H173+1,H173)</f>
        <v>1</v>
      </c>
      <c r="I174" t="str">
        <f>IF(I173&gt;99999999,RIGHT(I173,8),I173)</f>
        <v>48147998</v>
      </c>
      <c r="J174" t="str">
        <f t="shared" si="38"/>
        <v/>
      </c>
      <c r="L174" t="str">
        <f t="shared" si="39"/>
        <v>66666666</v>
      </c>
      <c r="N174" t="str">
        <f t="shared" si="40"/>
        <v>00000022</v>
      </c>
      <c r="O174" s="10">
        <f>IF(O173&gt;0, O173-1,0)</f>
        <v>0</v>
      </c>
      <c r="P174">
        <f t="shared" si="41"/>
        <v>8</v>
      </c>
      <c r="Q174">
        <f t="shared" si="41"/>
        <v>14</v>
      </c>
      <c r="R174">
        <f t="shared" si="41"/>
        <v>0</v>
      </c>
      <c r="S174">
        <f t="shared" si="41"/>
        <v>14</v>
      </c>
    </row>
    <row r="175" spans="5:19" x14ac:dyDescent="0.3">
      <c r="E175" s="9"/>
      <c r="F175">
        <v>7</v>
      </c>
      <c r="H175">
        <f>H174</f>
        <v>1</v>
      </c>
      <c r="I175" t="str">
        <f>IF(O175&gt;0,I174+L175,I174)</f>
        <v>48147998</v>
      </c>
      <c r="J175" t="str">
        <f t="shared" si="38"/>
        <v/>
      </c>
      <c r="L175" t="str">
        <f t="shared" si="39"/>
        <v>66666666</v>
      </c>
      <c r="N175" t="str">
        <f t="shared" si="40"/>
        <v>00000022</v>
      </c>
      <c r="O175" s="10">
        <f>O174</f>
        <v>0</v>
      </c>
      <c r="P175">
        <f t="shared" si="41"/>
        <v>8</v>
      </c>
      <c r="Q175">
        <f t="shared" si="41"/>
        <v>14</v>
      </c>
      <c r="R175">
        <f t="shared" si="41"/>
        <v>0</v>
      </c>
      <c r="S175">
        <f t="shared" si="41"/>
        <v>14</v>
      </c>
    </row>
    <row r="176" spans="5:19" x14ac:dyDescent="0.3">
      <c r="E176" s="9"/>
      <c r="H176">
        <f>IF((I175*1)&gt;99999999,H175+1,H175)</f>
        <v>1</v>
      </c>
      <c r="I176" t="str">
        <f>IF(I175&gt;99999999,RIGHT(I175,8),I175)</f>
        <v>48147998</v>
      </c>
      <c r="J176" t="str">
        <f t="shared" si="38"/>
        <v/>
      </c>
      <c r="L176" t="str">
        <f t="shared" si="39"/>
        <v>66666666</v>
      </c>
      <c r="N176" t="str">
        <f t="shared" si="40"/>
        <v>00000022</v>
      </c>
      <c r="O176" s="10">
        <f>IF(O175&gt;0, O175-1,0)</f>
        <v>0</v>
      </c>
      <c r="P176">
        <f t="shared" si="41"/>
        <v>8</v>
      </c>
      <c r="Q176">
        <f t="shared" si="41"/>
        <v>14</v>
      </c>
      <c r="R176">
        <f t="shared" si="41"/>
        <v>0</v>
      </c>
      <c r="S176">
        <f t="shared" si="41"/>
        <v>14</v>
      </c>
    </row>
    <row r="177" spans="2:19" x14ac:dyDescent="0.3">
      <c r="E177" s="9"/>
      <c r="F177">
        <v>8</v>
      </c>
      <c r="H177">
        <f>H176</f>
        <v>1</v>
      </c>
      <c r="I177" t="str">
        <f>IF(O177&gt;0,I176+L177,I176)</f>
        <v>48147998</v>
      </c>
      <c r="J177" t="str">
        <f t="shared" si="38"/>
        <v/>
      </c>
      <c r="L177" t="str">
        <f>L176</f>
        <v>66666666</v>
      </c>
      <c r="N177" t="str">
        <f t="shared" si="40"/>
        <v>00000022</v>
      </c>
      <c r="O177" s="10">
        <f>O176</f>
        <v>0</v>
      </c>
      <c r="P177">
        <f t="shared" si="41"/>
        <v>8</v>
      </c>
      <c r="Q177">
        <f t="shared" si="41"/>
        <v>14</v>
      </c>
      <c r="R177">
        <f t="shared" si="41"/>
        <v>0</v>
      </c>
      <c r="S177">
        <f t="shared" si="41"/>
        <v>14</v>
      </c>
    </row>
    <row r="178" spans="2:19" x14ac:dyDescent="0.3">
      <c r="E178" s="9"/>
      <c r="H178">
        <f>IF((I177*1)&gt;99999999,H177+1,H177)</f>
        <v>1</v>
      </c>
      <c r="I178" t="str">
        <f>IF(I177&gt;99999999,RIGHT(I177,8),I177)</f>
        <v>48147998</v>
      </c>
      <c r="J178" t="str">
        <f t="shared" si="38"/>
        <v/>
      </c>
      <c r="L178" t="str">
        <f t="shared" si="39"/>
        <v>66666666</v>
      </c>
      <c r="N178" t="str">
        <f t="shared" si="40"/>
        <v>00000022</v>
      </c>
      <c r="O178" s="10">
        <f>IF(O177&gt;0, O177-1,0)</f>
        <v>0</v>
      </c>
      <c r="P178">
        <f t="shared" si="41"/>
        <v>8</v>
      </c>
      <c r="Q178">
        <f t="shared" si="41"/>
        <v>14</v>
      </c>
      <c r="R178">
        <f t="shared" si="41"/>
        <v>0</v>
      </c>
      <c r="S178">
        <f t="shared" si="41"/>
        <v>14</v>
      </c>
    </row>
    <row r="179" spans="2:19" x14ac:dyDescent="0.3">
      <c r="E179" s="9"/>
      <c r="F179">
        <v>9</v>
      </c>
      <c r="H179">
        <f>H178</f>
        <v>1</v>
      </c>
      <c r="I179" t="str">
        <f>IF(O179&gt;0,I178+L179,I178)</f>
        <v>48147998</v>
      </c>
      <c r="J179" t="str">
        <f t="shared" si="38"/>
        <v/>
      </c>
      <c r="L179" t="str">
        <f t="shared" si="39"/>
        <v>66666666</v>
      </c>
      <c r="N179" t="str">
        <f t="shared" si="40"/>
        <v>00000022</v>
      </c>
      <c r="O179" s="10">
        <f>O178</f>
        <v>0</v>
      </c>
      <c r="P179">
        <f t="shared" si="41"/>
        <v>8</v>
      </c>
      <c r="Q179">
        <f t="shared" si="41"/>
        <v>14</v>
      </c>
      <c r="R179">
        <f t="shared" si="41"/>
        <v>0</v>
      </c>
      <c r="S179">
        <f t="shared" si="41"/>
        <v>14</v>
      </c>
    </row>
    <row r="180" spans="2:19" x14ac:dyDescent="0.3">
      <c r="E180" s="11"/>
      <c r="F180" s="1"/>
      <c r="G180" s="1"/>
      <c r="H180">
        <f>IF((I179*1)&gt;99999999,H179+1,H179)</f>
        <v>1</v>
      </c>
      <c r="I180" t="str">
        <f>IF(I179&gt;99999999,RIGHT(I179,8),I179)</f>
        <v>48147998</v>
      </c>
      <c r="J180" s="1" t="str">
        <f t="shared" si="38"/>
        <v/>
      </c>
      <c r="K180" s="1"/>
      <c r="L180" s="1" t="str">
        <f t="shared" si="39"/>
        <v>66666666</v>
      </c>
      <c r="M180" s="1"/>
      <c r="N180" s="1" t="str">
        <f t="shared" si="40"/>
        <v>00000022</v>
      </c>
      <c r="O180" s="12">
        <f>IF(O179&gt;0, O179-1,0)</f>
        <v>0</v>
      </c>
      <c r="P180">
        <f t="shared" si="41"/>
        <v>8</v>
      </c>
      <c r="Q180">
        <f t="shared" si="41"/>
        <v>14</v>
      </c>
      <c r="R180">
        <f t="shared" si="41"/>
        <v>0</v>
      </c>
      <c r="S180">
        <f t="shared" si="41"/>
        <v>14</v>
      </c>
    </row>
    <row r="181" spans="2:19" x14ac:dyDescent="0.3">
      <c r="B181" t="s">
        <v>17</v>
      </c>
      <c r="H181">
        <f>H180</f>
        <v>1</v>
      </c>
      <c r="I181" t="str">
        <f>RIGHT("0000000"&amp;I180,8)</f>
        <v>48147998</v>
      </c>
      <c r="J181" t="str">
        <f t="shared" si="38"/>
        <v/>
      </c>
      <c r="L181" t="str">
        <f t="shared" si="39"/>
        <v>66666666</v>
      </c>
      <c r="N181" s="17" t="str">
        <f>"0"&amp;LEFT(N180,7)</f>
        <v>00000002</v>
      </c>
      <c r="O181" s="17">
        <f>RIGHT(N180,1)*1</f>
        <v>2</v>
      </c>
      <c r="P181">
        <f t="shared" si="41"/>
        <v>8</v>
      </c>
      <c r="Q181">
        <f t="shared" si="41"/>
        <v>14</v>
      </c>
      <c r="R181">
        <f t="shared" si="41"/>
        <v>0</v>
      </c>
      <c r="S181">
        <f t="shared" si="41"/>
        <v>14</v>
      </c>
    </row>
    <row r="182" spans="2:19" x14ac:dyDescent="0.3">
      <c r="B182" t="s">
        <v>176</v>
      </c>
      <c r="H182">
        <f>H181</f>
        <v>1</v>
      </c>
      <c r="I182" s="17" t="str">
        <f>IF(I181=0,0,(H181&amp;LEFT(I181,7)))</f>
        <v>14814799</v>
      </c>
      <c r="J182" t="str">
        <f t="shared" si="38"/>
        <v/>
      </c>
      <c r="L182" t="str">
        <f t="shared" si="39"/>
        <v>66666666</v>
      </c>
      <c r="N182" t="str">
        <f>N181</f>
        <v>00000002</v>
      </c>
      <c r="O182">
        <f>O181</f>
        <v>2</v>
      </c>
      <c r="P182">
        <f t="shared" si="41"/>
        <v>8</v>
      </c>
      <c r="Q182">
        <f t="shared" si="41"/>
        <v>14</v>
      </c>
      <c r="R182">
        <f t="shared" si="41"/>
        <v>0</v>
      </c>
      <c r="S182">
        <f t="shared" si="41"/>
        <v>14</v>
      </c>
    </row>
    <row r="183" spans="2:19" x14ac:dyDescent="0.3">
      <c r="B183" t="s">
        <v>27</v>
      </c>
      <c r="H183" s="17">
        <f>0</f>
        <v>0</v>
      </c>
      <c r="I183" t="str">
        <f>I182</f>
        <v>14814799</v>
      </c>
      <c r="J183" t="str">
        <f t="shared" si="38"/>
        <v/>
      </c>
      <c r="L183" t="str">
        <f t="shared" si="39"/>
        <v>66666666</v>
      </c>
      <c r="N183" t="str">
        <f>N182</f>
        <v>00000002</v>
      </c>
      <c r="O183">
        <f>O182</f>
        <v>2</v>
      </c>
      <c r="P183">
        <f t="shared" si="41"/>
        <v>8</v>
      </c>
      <c r="Q183">
        <f t="shared" si="41"/>
        <v>14</v>
      </c>
      <c r="R183">
        <f t="shared" si="41"/>
        <v>0</v>
      </c>
      <c r="S183">
        <f t="shared" si="41"/>
        <v>14</v>
      </c>
    </row>
    <row r="184" spans="2:19" x14ac:dyDescent="0.3">
      <c r="H184">
        <f>0</f>
        <v>0</v>
      </c>
      <c r="I184" t="str">
        <f>I185</f>
        <v>14814799</v>
      </c>
      <c r="J184" t="str">
        <f t="shared" si="38"/>
        <v/>
      </c>
      <c r="L184" t="str">
        <f>L185</f>
        <v>66666666</v>
      </c>
      <c r="N184" t="str">
        <f>N185</f>
        <v>00000002</v>
      </c>
      <c r="O184">
        <f>O185</f>
        <v>2</v>
      </c>
      <c r="P184">
        <f t="shared" si="41"/>
        <v>8</v>
      </c>
      <c r="Q184">
        <f t="shared" si="41"/>
        <v>14</v>
      </c>
      <c r="R184">
        <f t="shared" si="41"/>
        <v>0</v>
      </c>
      <c r="S184">
        <f t="shared" si="41"/>
        <v>14</v>
      </c>
    </row>
    <row r="185" spans="2:19" x14ac:dyDescent="0.3">
      <c r="H185">
        <f>0</f>
        <v>0</v>
      </c>
      <c r="I185" t="str">
        <f>I183</f>
        <v>14814799</v>
      </c>
      <c r="J185" t="str">
        <f t="shared" si="38"/>
        <v/>
      </c>
      <c r="L185" t="str">
        <f>L183</f>
        <v>66666666</v>
      </c>
      <c r="N185" t="str">
        <f>N183</f>
        <v>00000002</v>
      </c>
      <c r="O185">
        <f>O183</f>
        <v>2</v>
      </c>
      <c r="P185">
        <f t="shared" si="41"/>
        <v>8</v>
      </c>
      <c r="Q185">
        <f t="shared" si="41"/>
        <v>14</v>
      </c>
      <c r="R185">
        <f t="shared" si="41"/>
        <v>0</v>
      </c>
      <c r="S185">
        <f t="shared" si="41"/>
        <v>14</v>
      </c>
    </row>
    <row r="186" spans="2:19" x14ac:dyDescent="0.3">
      <c r="E186" s="6">
        <v>7</v>
      </c>
      <c r="F186" s="7">
        <v>1</v>
      </c>
      <c r="G186" s="7"/>
      <c r="H186" s="7">
        <f>H185</f>
        <v>0</v>
      </c>
      <c r="I186" s="7">
        <f>IF(O186&gt;0,I185+L186,I185)</f>
        <v>81481465</v>
      </c>
      <c r="J186" s="7" t="str">
        <f>IF(LEN(I186)&gt;8,LEN(I186),"")</f>
        <v/>
      </c>
      <c r="K186" s="7"/>
      <c r="L186" s="7" t="str">
        <f>L185</f>
        <v>66666666</v>
      </c>
      <c r="M186" s="7"/>
      <c r="N186" s="7" t="str">
        <f>N185</f>
        <v>00000002</v>
      </c>
      <c r="O186" s="8">
        <f>O185</f>
        <v>2</v>
      </c>
      <c r="P186">
        <f t="shared" si="41"/>
        <v>8</v>
      </c>
      <c r="Q186">
        <f t="shared" si="41"/>
        <v>14</v>
      </c>
      <c r="R186">
        <f t="shared" si="41"/>
        <v>0</v>
      </c>
      <c r="S186">
        <f t="shared" si="41"/>
        <v>14</v>
      </c>
    </row>
    <row r="187" spans="2:19" x14ac:dyDescent="0.3">
      <c r="E187" s="9"/>
      <c r="H187">
        <f>IF((I186*1)&gt;99999999,H186+1,H186)</f>
        <v>0</v>
      </c>
      <c r="I187">
        <f>IF(I186&gt;99999999,RIGHT(I186,8),I186)</f>
        <v>81481465</v>
      </c>
      <c r="J187" t="str">
        <f t="shared" ref="J187:J208" si="42">IF(LEN(I187)&gt;8,LEN(I187),"")</f>
        <v/>
      </c>
      <c r="L187" t="str">
        <f t="shared" ref="L187:L206" si="43">L186</f>
        <v>66666666</v>
      </c>
      <c r="N187" t="str">
        <f t="shared" ref="N187:N203" si="44">N186</f>
        <v>00000002</v>
      </c>
      <c r="O187" s="10">
        <f>IF(O186&gt;0, O186-1,0)</f>
        <v>1</v>
      </c>
      <c r="P187">
        <f t="shared" si="41"/>
        <v>8</v>
      </c>
      <c r="Q187">
        <f t="shared" si="41"/>
        <v>14</v>
      </c>
      <c r="R187">
        <f t="shared" si="41"/>
        <v>0</v>
      </c>
      <c r="S187">
        <f t="shared" si="41"/>
        <v>14</v>
      </c>
    </row>
    <row r="188" spans="2:19" x14ac:dyDescent="0.3">
      <c r="E188" s="9"/>
      <c r="F188">
        <v>2</v>
      </c>
      <c r="H188">
        <f>H187</f>
        <v>0</v>
      </c>
      <c r="I188">
        <f>IF(O188&gt;0,I187+L188,I187)</f>
        <v>148148131</v>
      </c>
      <c r="J188">
        <f t="shared" si="42"/>
        <v>9</v>
      </c>
      <c r="L188" t="str">
        <f t="shared" si="43"/>
        <v>66666666</v>
      </c>
      <c r="N188" t="str">
        <f t="shared" si="44"/>
        <v>00000002</v>
      </c>
      <c r="O188" s="10">
        <f>O187</f>
        <v>1</v>
      </c>
      <c r="P188">
        <f t="shared" si="41"/>
        <v>8</v>
      </c>
      <c r="Q188">
        <f t="shared" si="41"/>
        <v>14</v>
      </c>
      <c r="R188">
        <f t="shared" si="41"/>
        <v>0</v>
      </c>
      <c r="S188">
        <f t="shared" si="41"/>
        <v>14</v>
      </c>
    </row>
    <row r="189" spans="2:19" x14ac:dyDescent="0.3">
      <c r="E189" s="9"/>
      <c r="H189">
        <f>IF((I188*1)&gt;99999999,H188+1,H188)</f>
        <v>1</v>
      </c>
      <c r="I189" t="str">
        <f>IF(I188&gt;99999999,RIGHT(I188,8),I188)</f>
        <v>48148131</v>
      </c>
      <c r="J189" t="str">
        <f t="shared" si="42"/>
        <v/>
      </c>
      <c r="L189" t="str">
        <f t="shared" si="43"/>
        <v>66666666</v>
      </c>
      <c r="N189" t="str">
        <f t="shared" si="44"/>
        <v>00000002</v>
      </c>
      <c r="O189" s="10">
        <f>IF(O188&gt;0, O188-1,0)</f>
        <v>0</v>
      </c>
      <c r="P189">
        <f t="shared" ref="P189:S204" si="45">P188</f>
        <v>8</v>
      </c>
      <c r="Q189">
        <f t="shared" si="45"/>
        <v>14</v>
      </c>
      <c r="R189">
        <f t="shared" si="45"/>
        <v>0</v>
      </c>
      <c r="S189">
        <f t="shared" si="45"/>
        <v>14</v>
      </c>
    </row>
    <row r="190" spans="2:19" x14ac:dyDescent="0.3">
      <c r="E190" s="9"/>
      <c r="F190">
        <v>3</v>
      </c>
      <c r="H190">
        <f>H189</f>
        <v>1</v>
      </c>
      <c r="I190" t="str">
        <f>IF(O190&gt;0,I189+L190,I189)</f>
        <v>48148131</v>
      </c>
      <c r="J190" t="str">
        <f t="shared" si="42"/>
        <v/>
      </c>
      <c r="L190" t="str">
        <f t="shared" si="43"/>
        <v>66666666</v>
      </c>
      <c r="N190" t="str">
        <f t="shared" si="44"/>
        <v>00000002</v>
      </c>
      <c r="O190" s="10">
        <f>O189</f>
        <v>0</v>
      </c>
      <c r="P190">
        <f t="shared" si="45"/>
        <v>8</v>
      </c>
      <c r="Q190">
        <f t="shared" si="45"/>
        <v>14</v>
      </c>
      <c r="R190">
        <f t="shared" si="45"/>
        <v>0</v>
      </c>
      <c r="S190">
        <f t="shared" si="45"/>
        <v>14</v>
      </c>
    </row>
    <row r="191" spans="2:19" x14ac:dyDescent="0.3">
      <c r="E191" s="9"/>
      <c r="H191">
        <f>IF((I190*1)&gt;99999999,H190+1,H190)</f>
        <v>1</v>
      </c>
      <c r="I191" t="str">
        <f>IF(I190&gt;99999999,RIGHT(I190,8),I190)</f>
        <v>48148131</v>
      </c>
      <c r="J191" t="str">
        <f t="shared" si="42"/>
        <v/>
      </c>
      <c r="L191" t="str">
        <f t="shared" si="43"/>
        <v>66666666</v>
      </c>
      <c r="N191" t="str">
        <f t="shared" si="44"/>
        <v>00000002</v>
      </c>
      <c r="O191" s="10">
        <f>IF(O190&gt;0, O190-1,0)</f>
        <v>0</v>
      </c>
      <c r="P191">
        <f t="shared" si="45"/>
        <v>8</v>
      </c>
      <c r="Q191">
        <f t="shared" si="45"/>
        <v>14</v>
      </c>
      <c r="R191">
        <f t="shared" si="45"/>
        <v>0</v>
      </c>
      <c r="S191">
        <f t="shared" si="45"/>
        <v>14</v>
      </c>
    </row>
    <row r="192" spans="2:19" x14ac:dyDescent="0.3">
      <c r="E192" s="9"/>
      <c r="F192">
        <v>4</v>
      </c>
      <c r="H192">
        <f>H191</f>
        <v>1</v>
      </c>
      <c r="I192" t="str">
        <f>IF(O192&gt;0,I191+L192,I191)</f>
        <v>48148131</v>
      </c>
      <c r="J192" t="str">
        <f t="shared" si="42"/>
        <v/>
      </c>
      <c r="L192" t="str">
        <f t="shared" si="43"/>
        <v>66666666</v>
      </c>
      <c r="N192" t="str">
        <f t="shared" si="44"/>
        <v>00000002</v>
      </c>
      <c r="O192" s="10">
        <f>O191</f>
        <v>0</v>
      </c>
      <c r="P192">
        <f t="shared" si="45"/>
        <v>8</v>
      </c>
      <c r="Q192">
        <f t="shared" si="45"/>
        <v>14</v>
      </c>
      <c r="R192">
        <f t="shared" si="45"/>
        <v>0</v>
      </c>
      <c r="S192">
        <f t="shared" si="45"/>
        <v>14</v>
      </c>
    </row>
    <row r="193" spans="2:19" x14ac:dyDescent="0.3">
      <c r="E193" s="9"/>
      <c r="H193">
        <f>IF((I192*1)&gt;99999999,H192+1,H192)</f>
        <v>1</v>
      </c>
      <c r="I193" t="str">
        <f>IF(I192&gt;99999999,RIGHT(I192,8),I192)</f>
        <v>48148131</v>
      </c>
      <c r="J193" t="str">
        <f t="shared" si="42"/>
        <v/>
      </c>
      <c r="L193" t="str">
        <f t="shared" si="43"/>
        <v>66666666</v>
      </c>
      <c r="N193" t="str">
        <f t="shared" si="44"/>
        <v>00000002</v>
      </c>
      <c r="O193" s="10">
        <f>IF(O192&gt;0, O192-1,0)</f>
        <v>0</v>
      </c>
      <c r="P193">
        <f t="shared" si="45"/>
        <v>8</v>
      </c>
      <c r="Q193">
        <f t="shared" si="45"/>
        <v>14</v>
      </c>
      <c r="R193">
        <f t="shared" si="45"/>
        <v>0</v>
      </c>
      <c r="S193">
        <f t="shared" si="45"/>
        <v>14</v>
      </c>
    </row>
    <row r="194" spans="2:19" x14ac:dyDescent="0.3">
      <c r="E194" s="9"/>
      <c r="F194">
        <v>5</v>
      </c>
      <c r="H194">
        <f>H193</f>
        <v>1</v>
      </c>
      <c r="I194" t="str">
        <f>IF(O194&gt;0,I193+L194,I193)</f>
        <v>48148131</v>
      </c>
      <c r="J194" t="str">
        <f t="shared" si="42"/>
        <v/>
      </c>
      <c r="L194" t="str">
        <f t="shared" si="43"/>
        <v>66666666</v>
      </c>
      <c r="N194" t="str">
        <f t="shared" si="44"/>
        <v>00000002</v>
      </c>
      <c r="O194" s="10">
        <f>O193</f>
        <v>0</v>
      </c>
      <c r="P194">
        <f t="shared" si="45"/>
        <v>8</v>
      </c>
      <c r="Q194">
        <f t="shared" si="45"/>
        <v>14</v>
      </c>
      <c r="R194">
        <f t="shared" si="45"/>
        <v>0</v>
      </c>
      <c r="S194">
        <f t="shared" si="45"/>
        <v>14</v>
      </c>
    </row>
    <row r="195" spans="2:19" x14ac:dyDescent="0.3">
      <c r="E195" s="9"/>
      <c r="H195">
        <f>IF((I194*1)&gt;99999999,H194+1,H194)</f>
        <v>1</v>
      </c>
      <c r="I195" t="str">
        <f>IF(I194&gt;99999999,RIGHT(I194,8),I194)</f>
        <v>48148131</v>
      </c>
      <c r="J195" t="str">
        <f t="shared" si="42"/>
        <v/>
      </c>
      <c r="L195" t="str">
        <f t="shared" si="43"/>
        <v>66666666</v>
      </c>
      <c r="N195" t="str">
        <f t="shared" si="44"/>
        <v>00000002</v>
      </c>
      <c r="O195" s="10">
        <f>IF(O194&gt;0, O194-1,0)</f>
        <v>0</v>
      </c>
      <c r="P195">
        <f t="shared" si="45"/>
        <v>8</v>
      </c>
      <c r="Q195">
        <f t="shared" si="45"/>
        <v>14</v>
      </c>
      <c r="R195">
        <f t="shared" si="45"/>
        <v>0</v>
      </c>
      <c r="S195">
        <f t="shared" si="45"/>
        <v>14</v>
      </c>
    </row>
    <row r="196" spans="2:19" x14ac:dyDescent="0.3">
      <c r="E196" s="9"/>
      <c r="F196">
        <v>6</v>
      </c>
      <c r="H196">
        <f>H195</f>
        <v>1</v>
      </c>
      <c r="I196" t="str">
        <f>IF(O196&gt;0,I195+L196,I195)</f>
        <v>48148131</v>
      </c>
      <c r="J196" t="str">
        <f t="shared" si="42"/>
        <v/>
      </c>
      <c r="L196" t="str">
        <f t="shared" si="43"/>
        <v>66666666</v>
      </c>
      <c r="N196" t="str">
        <f t="shared" si="44"/>
        <v>00000002</v>
      </c>
      <c r="O196" s="10">
        <f>O195</f>
        <v>0</v>
      </c>
      <c r="P196">
        <f t="shared" si="45"/>
        <v>8</v>
      </c>
      <c r="Q196">
        <f t="shared" si="45"/>
        <v>14</v>
      </c>
      <c r="R196">
        <f t="shared" si="45"/>
        <v>0</v>
      </c>
      <c r="S196">
        <f t="shared" si="45"/>
        <v>14</v>
      </c>
    </row>
    <row r="197" spans="2:19" x14ac:dyDescent="0.3">
      <c r="E197" s="9"/>
      <c r="H197">
        <f>IF((I196*1)&gt;99999999,H196+1,H196)</f>
        <v>1</v>
      </c>
      <c r="I197" t="str">
        <f>IF(I196&gt;99999999,RIGHT(I196,8),I196)</f>
        <v>48148131</v>
      </c>
      <c r="J197" t="str">
        <f t="shared" si="42"/>
        <v/>
      </c>
      <c r="L197" t="str">
        <f t="shared" si="43"/>
        <v>66666666</v>
      </c>
      <c r="N197" t="str">
        <f t="shared" si="44"/>
        <v>00000002</v>
      </c>
      <c r="O197" s="10">
        <f>IF(O196&gt;0, O196-1,0)</f>
        <v>0</v>
      </c>
      <c r="P197">
        <f t="shared" si="45"/>
        <v>8</v>
      </c>
      <c r="Q197">
        <f t="shared" si="45"/>
        <v>14</v>
      </c>
      <c r="R197">
        <f t="shared" si="45"/>
        <v>0</v>
      </c>
      <c r="S197">
        <f t="shared" si="45"/>
        <v>14</v>
      </c>
    </row>
    <row r="198" spans="2:19" x14ac:dyDescent="0.3">
      <c r="E198" s="9"/>
      <c r="F198">
        <v>7</v>
      </c>
      <c r="H198">
        <f>H197</f>
        <v>1</v>
      </c>
      <c r="I198" t="str">
        <f>IF(O198&gt;0,I197+L198,I197)</f>
        <v>48148131</v>
      </c>
      <c r="J198" t="str">
        <f t="shared" si="42"/>
        <v/>
      </c>
      <c r="L198" t="str">
        <f t="shared" si="43"/>
        <v>66666666</v>
      </c>
      <c r="N198" t="str">
        <f t="shared" si="44"/>
        <v>00000002</v>
      </c>
      <c r="O198" s="10">
        <f>O197</f>
        <v>0</v>
      </c>
      <c r="P198">
        <f t="shared" si="45"/>
        <v>8</v>
      </c>
      <c r="Q198">
        <f t="shared" si="45"/>
        <v>14</v>
      </c>
      <c r="R198">
        <f t="shared" si="45"/>
        <v>0</v>
      </c>
      <c r="S198">
        <f t="shared" si="45"/>
        <v>14</v>
      </c>
    </row>
    <row r="199" spans="2:19" x14ac:dyDescent="0.3">
      <c r="E199" s="9"/>
      <c r="H199">
        <f>IF((I198*1)&gt;99999999,H198+1,H198)</f>
        <v>1</v>
      </c>
      <c r="I199" t="str">
        <f>IF(I198&gt;99999999,RIGHT(I198,8),I198)</f>
        <v>48148131</v>
      </c>
      <c r="J199" t="str">
        <f t="shared" si="42"/>
        <v/>
      </c>
      <c r="L199" t="str">
        <f t="shared" si="43"/>
        <v>66666666</v>
      </c>
      <c r="N199" t="str">
        <f t="shared" si="44"/>
        <v>00000002</v>
      </c>
      <c r="O199" s="10">
        <f>IF(O198&gt;0, O198-1,0)</f>
        <v>0</v>
      </c>
      <c r="P199">
        <f t="shared" si="45"/>
        <v>8</v>
      </c>
      <c r="Q199">
        <f t="shared" si="45"/>
        <v>14</v>
      </c>
      <c r="R199">
        <f t="shared" si="45"/>
        <v>0</v>
      </c>
      <c r="S199">
        <f t="shared" si="45"/>
        <v>14</v>
      </c>
    </row>
    <row r="200" spans="2:19" x14ac:dyDescent="0.3">
      <c r="E200" s="9"/>
      <c r="F200">
        <v>8</v>
      </c>
      <c r="H200">
        <f>H199</f>
        <v>1</v>
      </c>
      <c r="I200" t="str">
        <f>IF(O200&gt;0,I199+L200,I199)</f>
        <v>48148131</v>
      </c>
      <c r="J200" t="str">
        <f t="shared" si="42"/>
        <v/>
      </c>
      <c r="L200" t="str">
        <f>L199</f>
        <v>66666666</v>
      </c>
      <c r="N200" t="str">
        <f t="shared" si="44"/>
        <v>00000002</v>
      </c>
      <c r="O200" s="10">
        <f>O199</f>
        <v>0</v>
      </c>
      <c r="P200">
        <f t="shared" si="45"/>
        <v>8</v>
      </c>
      <c r="Q200">
        <f t="shared" si="45"/>
        <v>14</v>
      </c>
      <c r="R200">
        <f t="shared" si="45"/>
        <v>0</v>
      </c>
      <c r="S200">
        <f t="shared" si="45"/>
        <v>14</v>
      </c>
    </row>
    <row r="201" spans="2:19" x14ac:dyDescent="0.3">
      <c r="E201" s="9"/>
      <c r="H201">
        <f>IF((I200*1)&gt;99999999,H200+1,H200)</f>
        <v>1</v>
      </c>
      <c r="I201" t="str">
        <f>IF(I200&gt;99999999,RIGHT(I200,8),I200)</f>
        <v>48148131</v>
      </c>
      <c r="J201" t="str">
        <f t="shared" si="42"/>
        <v/>
      </c>
      <c r="L201" t="str">
        <f t="shared" si="43"/>
        <v>66666666</v>
      </c>
      <c r="N201" t="str">
        <f t="shared" si="44"/>
        <v>00000002</v>
      </c>
      <c r="O201" s="10">
        <f>IF(O200&gt;0, O200-1,0)</f>
        <v>0</v>
      </c>
      <c r="P201">
        <f t="shared" si="45"/>
        <v>8</v>
      </c>
      <c r="Q201">
        <f t="shared" si="45"/>
        <v>14</v>
      </c>
      <c r="R201">
        <f t="shared" si="45"/>
        <v>0</v>
      </c>
      <c r="S201">
        <f t="shared" si="45"/>
        <v>14</v>
      </c>
    </row>
    <row r="202" spans="2:19" x14ac:dyDescent="0.3">
      <c r="E202" s="9"/>
      <c r="F202">
        <v>9</v>
      </c>
      <c r="H202">
        <f>H201</f>
        <v>1</v>
      </c>
      <c r="I202" t="str">
        <f>IF(O202&gt;0,I201+L202,I201)</f>
        <v>48148131</v>
      </c>
      <c r="J202" t="str">
        <f t="shared" si="42"/>
        <v/>
      </c>
      <c r="L202" t="str">
        <f t="shared" si="43"/>
        <v>66666666</v>
      </c>
      <c r="N202" t="str">
        <f t="shared" si="44"/>
        <v>00000002</v>
      </c>
      <c r="O202" s="10">
        <f>O201</f>
        <v>0</v>
      </c>
      <c r="P202">
        <f t="shared" si="45"/>
        <v>8</v>
      </c>
      <c r="Q202">
        <f t="shared" si="45"/>
        <v>14</v>
      </c>
      <c r="R202">
        <f t="shared" si="45"/>
        <v>0</v>
      </c>
      <c r="S202">
        <f t="shared" si="45"/>
        <v>14</v>
      </c>
    </row>
    <row r="203" spans="2:19" x14ac:dyDescent="0.3">
      <c r="E203" s="11"/>
      <c r="F203" s="1"/>
      <c r="G203" s="1"/>
      <c r="H203">
        <f>IF((I202*1)&gt;99999999,H202+1,H202)</f>
        <v>1</v>
      </c>
      <c r="I203" t="str">
        <f>IF(I202&gt;99999999,RIGHT(I202,8),I202)</f>
        <v>48148131</v>
      </c>
      <c r="J203" s="1" t="str">
        <f t="shared" si="42"/>
        <v/>
      </c>
      <c r="K203" s="1"/>
      <c r="L203" s="1" t="str">
        <f t="shared" si="43"/>
        <v>66666666</v>
      </c>
      <c r="M203" s="1"/>
      <c r="N203" s="1" t="str">
        <f t="shared" si="44"/>
        <v>00000002</v>
      </c>
      <c r="O203" s="12">
        <f>IF(O202&gt;0, O202-1,0)</f>
        <v>0</v>
      </c>
      <c r="P203">
        <f t="shared" si="45"/>
        <v>8</v>
      </c>
      <c r="Q203">
        <f t="shared" si="45"/>
        <v>14</v>
      </c>
      <c r="R203">
        <f t="shared" si="45"/>
        <v>0</v>
      </c>
      <c r="S203">
        <f t="shared" si="45"/>
        <v>14</v>
      </c>
    </row>
    <row r="204" spans="2:19" x14ac:dyDescent="0.3">
      <c r="B204" t="s">
        <v>17</v>
      </c>
      <c r="H204">
        <f>H203</f>
        <v>1</v>
      </c>
      <c r="I204" t="str">
        <f>RIGHT("0000000"&amp;I203,8)</f>
        <v>48148131</v>
      </c>
      <c r="J204" t="str">
        <f t="shared" si="42"/>
        <v/>
      </c>
      <c r="L204" t="str">
        <f t="shared" si="43"/>
        <v>66666666</v>
      </c>
      <c r="N204" s="17" t="str">
        <f>"0"&amp;LEFT(N203,7)</f>
        <v>00000000</v>
      </c>
      <c r="O204" s="17">
        <f>RIGHT(N203,1)*1</f>
        <v>2</v>
      </c>
      <c r="P204">
        <f t="shared" si="45"/>
        <v>8</v>
      </c>
      <c r="Q204">
        <f t="shared" si="45"/>
        <v>14</v>
      </c>
      <c r="R204">
        <f t="shared" si="45"/>
        <v>0</v>
      </c>
      <c r="S204">
        <f t="shared" si="45"/>
        <v>14</v>
      </c>
    </row>
    <row r="205" spans="2:19" x14ac:dyDescent="0.3">
      <c r="B205" t="s">
        <v>176</v>
      </c>
      <c r="H205">
        <f>H204</f>
        <v>1</v>
      </c>
      <c r="I205" s="17" t="str">
        <f>IF(I204=0,0,(H204&amp;LEFT(I204,7)))</f>
        <v>14814813</v>
      </c>
      <c r="J205" t="str">
        <f t="shared" si="42"/>
        <v/>
      </c>
      <c r="L205" t="str">
        <f t="shared" si="43"/>
        <v>66666666</v>
      </c>
      <c r="N205" t="str">
        <f>N204</f>
        <v>00000000</v>
      </c>
      <c r="O205">
        <f>O204</f>
        <v>2</v>
      </c>
      <c r="P205">
        <f t="shared" ref="P205:S220" si="46">P204</f>
        <v>8</v>
      </c>
      <c r="Q205">
        <f t="shared" si="46"/>
        <v>14</v>
      </c>
      <c r="R205">
        <f t="shared" si="46"/>
        <v>0</v>
      </c>
      <c r="S205">
        <f t="shared" si="46"/>
        <v>14</v>
      </c>
    </row>
    <row r="206" spans="2:19" x14ac:dyDescent="0.3">
      <c r="B206" t="s">
        <v>27</v>
      </c>
      <c r="H206" s="17">
        <f>0</f>
        <v>0</v>
      </c>
      <c r="I206" t="str">
        <f>I205</f>
        <v>14814813</v>
      </c>
      <c r="J206" t="str">
        <f t="shared" si="42"/>
        <v/>
      </c>
      <c r="L206" t="str">
        <f t="shared" si="43"/>
        <v>66666666</v>
      </c>
      <c r="N206" t="str">
        <f>N205</f>
        <v>00000000</v>
      </c>
      <c r="O206">
        <f>O205</f>
        <v>2</v>
      </c>
      <c r="P206">
        <f t="shared" si="46"/>
        <v>8</v>
      </c>
      <c r="Q206">
        <f t="shared" si="46"/>
        <v>14</v>
      </c>
      <c r="R206">
        <f t="shared" si="46"/>
        <v>0</v>
      </c>
      <c r="S206">
        <f t="shared" si="46"/>
        <v>14</v>
      </c>
    </row>
    <row r="207" spans="2:19" x14ac:dyDescent="0.3">
      <c r="H207">
        <f>0</f>
        <v>0</v>
      </c>
      <c r="I207" t="str">
        <f>I208</f>
        <v>14814813</v>
      </c>
      <c r="J207" t="str">
        <f t="shared" si="42"/>
        <v/>
      </c>
      <c r="L207" t="str">
        <f>L208</f>
        <v>66666666</v>
      </c>
      <c r="N207" t="str">
        <f>N208</f>
        <v>00000000</v>
      </c>
      <c r="O207">
        <f>O208</f>
        <v>2</v>
      </c>
      <c r="P207">
        <f t="shared" si="46"/>
        <v>8</v>
      </c>
      <c r="Q207">
        <f t="shared" si="46"/>
        <v>14</v>
      </c>
      <c r="R207">
        <f t="shared" si="46"/>
        <v>0</v>
      </c>
      <c r="S207">
        <f t="shared" si="46"/>
        <v>14</v>
      </c>
    </row>
    <row r="208" spans="2:19" x14ac:dyDescent="0.3">
      <c r="H208">
        <f>0</f>
        <v>0</v>
      </c>
      <c r="I208" t="str">
        <f>I206</f>
        <v>14814813</v>
      </c>
      <c r="J208" t="str">
        <f t="shared" si="42"/>
        <v/>
      </c>
      <c r="L208" t="str">
        <f>L206</f>
        <v>66666666</v>
      </c>
      <c r="N208" t="str">
        <f>N206</f>
        <v>00000000</v>
      </c>
      <c r="O208">
        <f>O206</f>
        <v>2</v>
      </c>
      <c r="P208">
        <f t="shared" si="46"/>
        <v>8</v>
      </c>
      <c r="Q208">
        <f t="shared" si="46"/>
        <v>14</v>
      </c>
      <c r="R208">
        <f t="shared" si="46"/>
        <v>0</v>
      </c>
      <c r="S208">
        <f t="shared" si="46"/>
        <v>14</v>
      </c>
    </row>
    <row r="209" spans="5:19" x14ac:dyDescent="0.3">
      <c r="E209" s="6">
        <v>8</v>
      </c>
      <c r="F209" s="7">
        <v>1</v>
      </c>
      <c r="G209" s="7"/>
      <c r="H209" s="7">
        <f>H208</f>
        <v>0</v>
      </c>
      <c r="I209" s="7">
        <f>IF(O209&gt;0,I208+L209,I208)</f>
        <v>81481479</v>
      </c>
      <c r="J209" s="7" t="str">
        <f>IF(LEN(I209)&gt;8,LEN(I209),"")</f>
        <v/>
      </c>
      <c r="K209" s="7"/>
      <c r="L209" s="7" t="str">
        <f>L208</f>
        <v>66666666</v>
      </c>
      <c r="M209" s="7"/>
      <c r="N209" s="7" t="str">
        <f>N208</f>
        <v>00000000</v>
      </c>
      <c r="O209" s="8">
        <f>O208</f>
        <v>2</v>
      </c>
      <c r="P209">
        <f t="shared" si="46"/>
        <v>8</v>
      </c>
      <c r="Q209">
        <f t="shared" si="46"/>
        <v>14</v>
      </c>
      <c r="R209">
        <f t="shared" si="46"/>
        <v>0</v>
      </c>
      <c r="S209">
        <f t="shared" si="46"/>
        <v>14</v>
      </c>
    </row>
    <row r="210" spans="5:19" x14ac:dyDescent="0.3">
      <c r="E210" s="9"/>
      <c r="H210">
        <f>IF((I209*1)&gt;99999999,H209+1,H209)</f>
        <v>0</v>
      </c>
      <c r="I210">
        <f>IF(I209&gt;99999999,RIGHT(I209,8),I209)</f>
        <v>81481479</v>
      </c>
      <c r="J210" t="str">
        <f t="shared" ref="J210:J233" si="47">IF(LEN(I210)&gt;8,LEN(I210),"")</f>
        <v/>
      </c>
      <c r="L210" t="str">
        <f t="shared" ref="L210:L231" si="48">L209</f>
        <v>66666666</v>
      </c>
      <c r="N210" t="str">
        <f t="shared" ref="N210:N231" si="49">N209</f>
        <v>00000000</v>
      </c>
      <c r="O210" s="10">
        <f>IF(O209&gt;0, O209-1,0)</f>
        <v>1</v>
      </c>
      <c r="P210">
        <f t="shared" si="46"/>
        <v>8</v>
      </c>
      <c r="Q210">
        <f t="shared" si="46"/>
        <v>14</v>
      </c>
      <c r="R210">
        <f t="shared" si="46"/>
        <v>0</v>
      </c>
      <c r="S210">
        <f t="shared" si="46"/>
        <v>14</v>
      </c>
    </row>
    <row r="211" spans="5:19" x14ac:dyDescent="0.3">
      <c r="E211" s="9"/>
      <c r="F211">
        <v>2</v>
      </c>
      <c r="H211">
        <f>H210</f>
        <v>0</v>
      </c>
      <c r="I211">
        <f>IF(O211&gt;0,I210+L211,I210)</f>
        <v>148148145</v>
      </c>
      <c r="J211">
        <f t="shared" si="47"/>
        <v>9</v>
      </c>
      <c r="L211" t="str">
        <f t="shared" si="48"/>
        <v>66666666</v>
      </c>
      <c r="N211" t="str">
        <f t="shared" si="49"/>
        <v>00000000</v>
      </c>
      <c r="O211" s="10">
        <f>O210</f>
        <v>1</v>
      </c>
      <c r="P211">
        <f t="shared" si="46"/>
        <v>8</v>
      </c>
      <c r="Q211">
        <f t="shared" si="46"/>
        <v>14</v>
      </c>
      <c r="R211">
        <f t="shared" si="46"/>
        <v>0</v>
      </c>
      <c r="S211">
        <f t="shared" si="46"/>
        <v>14</v>
      </c>
    </row>
    <row r="212" spans="5:19" x14ac:dyDescent="0.3">
      <c r="E212" s="9"/>
      <c r="H212">
        <f>IF((I211*1)&gt;99999999,H211+1,H211)</f>
        <v>1</v>
      </c>
      <c r="I212" t="str">
        <f>IF(I211&gt;99999999,RIGHT(I211,8),I211)</f>
        <v>48148145</v>
      </c>
      <c r="J212" t="str">
        <f t="shared" si="47"/>
        <v/>
      </c>
      <c r="L212" t="str">
        <f t="shared" si="48"/>
        <v>66666666</v>
      </c>
      <c r="N212" t="str">
        <f t="shared" si="49"/>
        <v>00000000</v>
      </c>
      <c r="O212" s="10">
        <f>IF(O211&gt;0, O211-1,0)</f>
        <v>0</v>
      </c>
      <c r="P212">
        <f t="shared" si="46"/>
        <v>8</v>
      </c>
      <c r="Q212">
        <f t="shared" si="46"/>
        <v>14</v>
      </c>
      <c r="R212">
        <f t="shared" si="46"/>
        <v>0</v>
      </c>
      <c r="S212">
        <f t="shared" si="46"/>
        <v>14</v>
      </c>
    </row>
    <row r="213" spans="5:19" x14ac:dyDescent="0.3">
      <c r="E213" s="9"/>
      <c r="F213">
        <v>3</v>
      </c>
      <c r="H213">
        <f>H212</f>
        <v>1</v>
      </c>
      <c r="I213" t="str">
        <f>IF(O213&gt;0,I212+L213,I212)</f>
        <v>48148145</v>
      </c>
      <c r="J213" t="str">
        <f t="shared" si="47"/>
        <v/>
      </c>
      <c r="L213" t="str">
        <f t="shared" si="48"/>
        <v>66666666</v>
      </c>
      <c r="N213" t="str">
        <f t="shared" si="49"/>
        <v>00000000</v>
      </c>
      <c r="O213" s="10">
        <f>O212</f>
        <v>0</v>
      </c>
      <c r="P213">
        <f t="shared" si="46"/>
        <v>8</v>
      </c>
      <c r="Q213">
        <f t="shared" si="46"/>
        <v>14</v>
      </c>
      <c r="R213">
        <f t="shared" si="46"/>
        <v>0</v>
      </c>
      <c r="S213">
        <f t="shared" si="46"/>
        <v>14</v>
      </c>
    </row>
    <row r="214" spans="5:19" x14ac:dyDescent="0.3">
      <c r="E214" s="9"/>
      <c r="H214">
        <f>IF((I213*1)&gt;99999999,H213+1,H213)</f>
        <v>1</v>
      </c>
      <c r="I214" t="str">
        <f>IF(I213&gt;99999999,RIGHT(I213,8),I213)</f>
        <v>48148145</v>
      </c>
      <c r="J214" t="str">
        <f t="shared" si="47"/>
        <v/>
      </c>
      <c r="L214" t="str">
        <f t="shared" si="48"/>
        <v>66666666</v>
      </c>
      <c r="N214" t="str">
        <f t="shared" si="49"/>
        <v>00000000</v>
      </c>
      <c r="O214" s="10">
        <f>IF(O213&gt;0, O213-1,0)</f>
        <v>0</v>
      </c>
      <c r="P214">
        <f t="shared" si="46"/>
        <v>8</v>
      </c>
      <c r="Q214">
        <f t="shared" si="46"/>
        <v>14</v>
      </c>
      <c r="R214">
        <f t="shared" si="46"/>
        <v>0</v>
      </c>
      <c r="S214">
        <f t="shared" si="46"/>
        <v>14</v>
      </c>
    </row>
    <row r="215" spans="5:19" x14ac:dyDescent="0.3">
      <c r="E215" s="9"/>
      <c r="F215">
        <v>4</v>
      </c>
      <c r="H215">
        <f>H214</f>
        <v>1</v>
      </c>
      <c r="I215" t="str">
        <f>IF(O215&gt;0,I214+L215,I214)</f>
        <v>48148145</v>
      </c>
      <c r="J215" t="str">
        <f t="shared" si="47"/>
        <v/>
      </c>
      <c r="L215" t="str">
        <f t="shared" si="48"/>
        <v>66666666</v>
      </c>
      <c r="N215" t="str">
        <f t="shared" si="49"/>
        <v>00000000</v>
      </c>
      <c r="O215" s="10">
        <f>O214</f>
        <v>0</v>
      </c>
      <c r="P215">
        <f t="shared" si="46"/>
        <v>8</v>
      </c>
      <c r="Q215">
        <f t="shared" si="46"/>
        <v>14</v>
      </c>
      <c r="R215">
        <f t="shared" si="46"/>
        <v>0</v>
      </c>
      <c r="S215">
        <f t="shared" si="46"/>
        <v>14</v>
      </c>
    </row>
    <row r="216" spans="5:19" x14ac:dyDescent="0.3">
      <c r="E216" s="9"/>
      <c r="H216">
        <f>IF((I215*1)&gt;99999999,H215+1,H215)</f>
        <v>1</v>
      </c>
      <c r="I216" t="str">
        <f>IF(I215&gt;99999999,RIGHT(I215,8),I215)</f>
        <v>48148145</v>
      </c>
      <c r="J216" t="str">
        <f t="shared" si="47"/>
        <v/>
      </c>
      <c r="L216" t="str">
        <f t="shared" si="48"/>
        <v>66666666</v>
      </c>
      <c r="N216" t="str">
        <f t="shared" si="49"/>
        <v>00000000</v>
      </c>
      <c r="O216" s="10">
        <f>IF(O215&gt;0, O215-1,0)</f>
        <v>0</v>
      </c>
      <c r="P216">
        <f t="shared" si="46"/>
        <v>8</v>
      </c>
      <c r="Q216">
        <f t="shared" si="46"/>
        <v>14</v>
      </c>
      <c r="R216">
        <f t="shared" si="46"/>
        <v>0</v>
      </c>
      <c r="S216">
        <f t="shared" si="46"/>
        <v>14</v>
      </c>
    </row>
    <row r="217" spans="5:19" x14ac:dyDescent="0.3">
      <c r="E217" s="9"/>
      <c r="F217">
        <v>5</v>
      </c>
      <c r="H217">
        <f>H216</f>
        <v>1</v>
      </c>
      <c r="I217" t="str">
        <f>IF(O217&gt;0,I216+L217,I216)</f>
        <v>48148145</v>
      </c>
      <c r="J217" t="str">
        <f t="shared" si="47"/>
        <v/>
      </c>
      <c r="L217" t="str">
        <f t="shared" si="48"/>
        <v>66666666</v>
      </c>
      <c r="N217" t="str">
        <f t="shared" si="49"/>
        <v>00000000</v>
      </c>
      <c r="O217" s="10">
        <f>O216</f>
        <v>0</v>
      </c>
      <c r="P217">
        <f t="shared" si="46"/>
        <v>8</v>
      </c>
      <c r="Q217">
        <f t="shared" si="46"/>
        <v>14</v>
      </c>
      <c r="R217">
        <f t="shared" si="46"/>
        <v>0</v>
      </c>
      <c r="S217">
        <f t="shared" si="46"/>
        <v>14</v>
      </c>
    </row>
    <row r="218" spans="5:19" x14ac:dyDescent="0.3">
      <c r="E218" s="9"/>
      <c r="H218">
        <f>IF((I217*1)&gt;99999999,H217+1,H217)</f>
        <v>1</v>
      </c>
      <c r="I218" t="str">
        <f>IF(I217&gt;99999999,RIGHT(I217,8),I217)</f>
        <v>48148145</v>
      </c>
      <c r="J218" t="str">
        <f t="shared" si="47"/>
        <v/>
      </c>
      <c r="L218" t="str">
        <f t="shared" si="48"/>
        <v>66666666</v>
      </c>
      <c r="N218" t="str">
        <f t="shared" si="49"/>
        <v>00000000</v>
      </c>
      <c r="O218" s="10">
        <f>IF(O217&gt;0, O217-1,0)</f>
        <v>0</v>
      </c>
      <c r="P218">
        <f t="shared" si="46"/>
        <v>8</v>
      </c>
      <c r="Q218">
        <f t="shared" si="46"/>
        <v>14</v>
      </c>
      <c r="R218">
        <f t="shared" si="46"/>
        <v>0</v>
      </c>
      <c r="S218">
        <f t="shared" si="46"/>
        <v>14</v>
      </c>
    </row>
    <row r="219" spans="5:19" x14ac:dyDescent="0.3">
      <c r="E219" s="9"/>
      <c r="F219">
        <v>6</v>
      </c>
      <c r="H219">
        <f>H218</f>
        <v>1</v>
      </c>
      <c r="I219" t="str">
        <f>IF(O219&gt;0,I218+L219,I218)</f>
        <v>48148145</v>
      </c>
      <c r="J219" t="str">
        <f t="shared" si="47"/>
        <v/>
      </c>
      <c r="L219" t="str">
        <f t="shared" si="48"/>
        <v>66666666</v>
      </c>
      <c r="N219" t="str">
        <f t="shared" si="49"/>
        <v>00000000</v>
      </c>
      <c r="O219" s="10">
        <f>O218</f>
        <v>0</v>
      </c>
      <c r="P219">
        <f t="shared" si="46"/>
        <v>8</v>
      </c>
      <c r="Q219">
        <f t="shared" si="46"/>
        <v>14</v>
      </c>
      <c r="R219">
        <f t="shared" si="46"/>
        <v>0</v>
      </c>
      <c r="S219">
        <f t="shared" si="46"/>
        <v>14</v>
      </c>
    </row>
    <row r="220" spans="5:19" x14ac:dyDescent="0.3">
      <c r="E220" s="9"/>
      <c r="H220">
        <f>IF((I219*1)&gt;99999999,H219+1,H219)</f>
        <v>1</v>
      </c>
      <c r="I220" t="str">
        <f>IF(I219&gt;99999999,RIGHT(I219,8),I219)</f>
        <v>48148145</v>
      </c>
      <c r="J220" t="str">
        <f t="shared" si="47"/>
        <v/>
      </c>
      <c r="L220" t="str">
        <f t="shared" si="48"/>
        <v>66666666</v>
      </c>
      <c r="N220" t="str">
        <f t="shared" si="49"/>
        <v>00000000</v>
      </c>
      <c r="O220" s="10">
        <f>IF(O219&gt;0, O219-1,0)</f>
        <v>0</v>
      </c>
      <c r="P220">
        <f t="shared" si="46"/>
        <v>8</v>
      </c>
      <c r="Q220">
        <f t="shared" si="46"/>
        <v>14</v>
      </c>
      <c r="R220">
        <f t="shared" si="46"/>
        <v>0</v>
      </c>
      <c r="S220">
        <f t="shared" si="46"/>
        <v>14</v>
      </c>
    </row>
    <row r="221" spans="5:19" x14ac:dyDescent="0.3">
      <c r="E221" s="9"/>
      <c r="F221">
        <v>7</v>
      </c>
      <c r="H221">
        <f>H220</f>
        <v>1</v>
      </c>
      <c r="I221" t="str">
        <f>IF(O221&gt;0,I220+L221,I220)</f>
        <v>48148145</v>
      </c>
      <c r="J221" t="str">
        <f t="shared" si="47"/>
        <v/>
      </c>
      <c r="L221" t="str">
        <f t="shared" si="48"/>
        <v>66666666</v>
      </c>
      <c r="N221" t="str">
        <f t="shared" si="49"/>
        <v>00000000</v>
      </c>
      <c r="O221" s="10">
        <f>O220</f>
        <v>0</v>
      </c>
      <c r="P221">
        <f t="shared" ref="P221:S233" si="50">P220</f>
        <v>8</v>
      </c>
      <c r="Q221">
        <f t="shared" si="50"/>
        <v>14</v>
      </c>
      <c r="R221">
        <f t="shared" si="50"/>
        <v>0</v>
      </c>
      <c r="S221">
        <f t="shared" si="50"/>
        <v>14</v>
      </c>
    </row>
    <row r="222" spans="5:19" x14ac:dyDescent="0.3">
      <c r="E222" s="9"/>
      <c r="H222">
        <f>IF((I221*1)&gt;99999999,H221+1,H221)</f>
        <v>1</v>
      </c>
      <c r="I222" t="str">
        <f>IF(I221&gt;99999999,RIGHT(I221,8),I221)</f>
        <v>48148145</v>
      </c>
      <c r="J222" t="str">
        <f t="shared" si="47"/>
        <v/>
      </c>
      <c r="L222" t="str">
        <f t="shared" si="48"/>
        <v>66666666</v>
      </c>
      <c r="N222" t="str">
        <f t="shared" si="49"/>
        <v>00000000</v>
      </c>
      <c r="O222" s="10">
        <f>IF(O221&gt;0, O221-1,0)</f>
        <v>0</v>
      </c>
      <c r="P222">
        <f t="shared" si="50"/>
        <v>8</v>
      </c>
      <c r="Q222">
        <f t="shared" si="50"/>
        <v>14</v>
      </c>
      <c r="R222">
        <f t="shared" si="50"/>
        <v>0</v>
      </c>
      <c r="S222">
        <f t="shared" si="50"/>
        <v>14</v>
      </c>
    </row>
    <row r="223" spans="5:19" x14ac:dyDescent="0.3">
      <c r="E223" s="9"/>
      <c r="F223">
        <v>8</v>
      </c>
      <c r="H223">
        <f>H222</f>
        <v>1</v>
      </c>
      <c r="I223" t="str">
        <f>IF(O223&gt;0,I222+L223,I222)</f>
        <v>48148145</v>
      </c>
      <c r="J223" t="str">
        <f t="shared" si="47"/>
        <v/>
      </c>
      <c r="L223" t="str">
        <f>L222</f>
        <v>66666666</v>
      </c>
      <c r="N223" t="str">
        <f t="shared" si="49"/>
        <v>00000000</v>
      </c>
      <c r="O223" s="10">
        <f>O222</f>
        <v>0</v>
      </c>
      <c r="P223">
        <f t="shared" si="50"/>
        <v>8</v>
      </c>
      <c r="Q223">
        <f t="shared" si="50"/>
        <v>14</v>
      </c>
      <c r="R223">
        <f t="shared" si="50"/>
        <v>0</v>
      </c>
      <c r="S223">
        <f t="shared" si="50"/>
        <v>14</v>
      </c>
    </row>
    <row r="224" spans="5:19" x14ac:dyDescent="0.3">
      <c r="E224" s="9"/>
      <c r="H224">
        <f>IF((I223*1)&gt;99999999,H223+1,H223)</f>
        <v>1</v>
      </c>
      <c r="I224" t="str">
        <f>IF(I223&gt;99999999,RIGHT(I223,8),I223)</f>
        <v>48148145</v>
      </c>
      <c r="J224" t="str">
        <f t="shared" si="47"/>
        <v/>
      </c>
      <c r="L224" t="str">
        <f t="shared" si="48"/>
        <v>66666666</v>
      </c>
      <c r="N224" t="str">
        <f t="shared" si="49"/>
        <v>00000000</v>
      </c>
      <c r="O224" s="10">
        <f>IF(O223&gt;0, O223-1,0)</f>
        <v>0</v>
      </c>
      <c r="P224">
        <f t="shared" si="50"/>
        <v>8</v>
      </c>
      <c r="Q224">
        <f t="shared" si="50"/>
        <v>14</v>
      </c>
      <c r="R224">
        <f t="shared" si="50"/>
        <v>0</v>
      </c>
      <c r="S224">
        <f t="shared" si="50"/>
        <v>14</v>
      </c>
    </row>
    <row r="225" spans="1:21" x14ac:dyDescent="0.3">
      <c r="E225" s="9"/>
      <c r="F225">
        <v>9</v>
      </c>
      <c r="H225">
        <f>H224</f>
        <v>1</v>
      </c>
      <c r="I225" t="str">
        <f>IF(O225&gt;0,I224+L225,I224)</f>
        <v>48148145</v>
      </c>
      <c r="J225" t="str">
        <f t="shared" si="47"/>
        <v/>
      </c>
      <c r="L225" t="str">
        <f t="shared" si="48"/>
        <v>66666666</v>
      </c>
      <c r="N225" t="str">
        <f t="shared" si="49"/>
        <v>00000000</v>
      </c>
      <c r="O225" s="10">
        <f>O224</f>
        <v>0</v>
      </c>
      <c r="P225">
        <f t="shared" si="50"/>
        <v>8</v>
      </c>
      <c r="Q225">
        <f t="shared" si="50"/>
        <v>14</v>
      </c>
      <c r="R225">
        <f t="shared" si="50"/>
        <v>0</v>
      </c>
      <c r="S225">
        <f t="shared" si="50"/>
        <v>14</v>
      </c>
    </row>
    <row r="226" spans="1:21" x14ac:dyDescent="0.3">
      <c r="E226" s="11"/>
      <c r="F226" s="1"/>
      <c r="G226" s="1"/>
      <c r="H226" s="1">
        <f>IF((I225*1)&gt;99999999,H225+1,H225)</f>
        <v>1</v>
      </c>
      <c r="I226" s="1" t="str">
        <f>IF(I225&gt;99999999,RIGHT(I225,8),I225)</f>
        <v>48148145</v>
      </c>
      <c r="J226" s="1" t="str">
        <f t="shared" si="47"/>
        <v/>
      </c>
      <c r="K226" s="1"/>
      <c r="L226" s="1" t="str">
        <f t="shared" si="48"/>
        <v>66666666</v>
      </c>
      <c r="M226" s="1"/>
      <c r="N226" s="1" t="str">
        <f t="shared" si="49"/>
        <v>00000000</v>
      </c>
      <c r="O226" s="12">
        <f>IF(O225&gt;0, O225-1,0)</f>
        <v>0</v>
      </c>
      <c r="P226">
        <f t="shared" si="50"/>
        <v>8</v>
      </c>
      <c r="Q226">
        <f t="shared" si="50"/>
        <v>14</v>
      </c>
      <c r="R226">
        <f t="shared" si="50"/>
        <v>0</v>
      </c>
      <c r="S226">
        <f t="shared" si="50"/>
        <v>14</v>
      </c>
    </row>
    <row r="227" spans="1:21" x14ac:dyDescent="0.3">
      <c r="H227">
        <f>H226</f>
        <v>1</v>
      </c>
      <c r="I227" t="str">
        <f>RIGHT("0000000"&amp;I226,8)</f>
        <v>48148145</v>
      </c>
      <c r="J227" t="str">
        <f>IF(LEN(I227)&gt;8,LEN(I227),"")</f>
        <v/>
      </c>
      <c r="L227" t="str">
        <f>L226</f>
        <v>66666666</v>
      </c>
      <c r="N227" t="str">
        <f>N226</f>
        <v>00000000</v>
      </c>
      <c r="O227">
        <f>O226</f>
        <v>0</v>
      </c>
      <c r="P227">
        <f t="shared" si="50"/>
        <v>8</v>
      </c>
      <c r="Q227">
        <f t="shared" si="50"/>
        <v>14</v>
      </c>
      <c r="R227">
        <f t="shared" si="50"/>
        <v>0</v>
      </c>
      <c r="S227">
        <f t="shared" si="50"/>
        <v>14</v>
      </c>
    </row>
    <row r="228" spans="1:21" x14ac:dyDescent="0.3">
      <c r="H228">
        <f>H227</f>
        <v>1</v>
      </c>
      <c r="I228" t="str">
        <f>I227</f>
        <v>48148145</v>
      </c>
      <c r="J228" t="str">
        <f>IF(LEN(I228)&gt;8,LEN(I228),"")</f>
        <v/>
      </c>
      <c r="L228" t="str">
        <f>L227</f>
        <v>66666666</v>
      </c>
      <c r="N228" t="str">
        <f>N227</f>
        <v>00000000</v>
      </c>
      <c r="O228">
        <f t="shared" ref="O228:S229" si="51">O227</f>
        <v>0</v>
      </c>
      <c r="P228">
        <f t="shared" si="51"/>
        <v>8</v>
      </c>
      <c r="Q228">
        <f t="shared" si="51"/>
        <v>14</v>
      </c>
      <c r="R228">
        <f t="shared" si="51"/>
        <v>0</v>
      </c>
      <c r="S228">
        <f t="shared" si="51"/>
        <v>14</v>
      </c>
    </row>
    <row r="229" spans="1:21" x14ac:dyDescent="0.3">
      <c r="A229" t="s">
        <v>173</v>
      </c>
      <c r="H229">
        <f>H228</f>
        <v>1</v>
      </c>
      <c r="I229" t="str">
        <f>I228</f>
        <v>48148145</v>
      </c>
      <c r="J229" t="str">
        <f>IF(LEN(I229)&gt;8,LEN(I229),"")</f>
        <v/>
      </c>
      <c r="L229" t="str">
        <f>L228</f>
        <v>66666666</v>
      </c>
      <c r="N229" t="str">
        <f>N228</f>
        <v>00000000</v>
      </c>
      <c r="O229">
        <f t="shared" si="51"/>
        <v>0</v>
      </c>
      <c r="P229">
        <f t="shared" si="51"/>
        <v>8</v>
      </c>
      <c r="Q229">
        <f t="shared" si="51"/>
        <v>14</v>
      </c>
      <c r="R229">
        <f t="shared" si="51"/>
        <v>0</v>
      </c>
      <c r="S229">
        <f t="shared" si="51"/>
        <v>14</v>
      </c>
      <c r="T229" s="20">
        <f>IF(Q228&lt;0,1,0)</f>
        <v>0</v>
      </c>
    </row>
    <row r="230" spans="1:21" x14ac:dyDescent="0.3">
      <c r="A230">
        <v>9</v>
      </c>
      <c r="H230">
        <f>H229</f>
        <v>1</v>
      </c>
      <c r="I230" s="17">
        <f>IF(H229&gt;0,(H229&amp;LEFT(I229,7))*1,I229)</f>
        <v>14814814</v>
      </c>
      <c r="J230" t="str">
        <f t="shared" si="47"/>
        <v/>
      </c>
      <c r="L230" t="str">
        <f>L229</f>
        <v>66666666</v>
      </c>
      <c r="N230" t="str">
        <f>N229</f>
        <v>00000000</v>
      </c>
      <c r="O230">
        <f>O229</f>
        <v>0</v>
      </c>
      <c r="P230">
        <f t="shared" si="50"/>
        <v>8</v>
      </c>
      <c r="Q230" s="20">
        <f>IF(H229&gt;0,Q229+1,Q229)</f>
        <v>15</v>
      </c>
      <c r="R230">
        <f t="shared" si="50"/>
        <v>0</v>
      </c>
      <c r="S230">
        <f t="shared" ref="S230:T232" si="52">S229</f>
        <v>14</v>
      </c>
      <c r="T230">
        <f t="shared" si="52"/>
        <v>0</v>
      </c>
    </row>
    <row r="231" spans="1:21" x14ac:dyDescent="0.3">
      <c r="A231" t="s">
        <v>33</v>
      </c>
      <c r="H231" s="17">
        <f>0</f>
        <v>0</v>
      </c>
      <c r="I231">
        <f>I230</f>
        <v>14814814</v>
      </c>
      <c r="J231" t="str">
        <f t="shared" si="47"/>
        <v/>
      </c>
      <c r="L231" t="str">
        <f t="shared" si="48"/>
        <v>66666666</v>
      </c>
      <c r="N231" t="str">
        <f t="shared" si="49"/>
        <v>00000000</v>
      </c>
      <c r="O231">
        <f>O230</f>
        <v>0</v>
      </c>
      <c r="P231">
        <f t="shared" si="50"/>
        <v>8</v>
      </c>
      <c r="Q231">
        <f>Q230</f>
        <v>15</v>
      </c>
      <c r="R231">
        <f>R230</f>
        <v>0</v>
      </c>
      <c r="S231">
        <f t="shared" si="52"/>
        <v>14</v>
      </c>
      <c r="T231">
        <f t="shared" si="52"/>
        <v>0</v>
      </c>
    </row>
    <row r="232" spans="1:21" x14ac:dyDescent="0.3">
      <c r="A232" t="s">
        <v>120</v>
      </c>
      <c r="H232">
        <f>0</f>
        <v>0</v>
      </c>
      <c r="I232">
        <f>I231</f>
        <v>14814814</v>
      </c>
      <c r="J232" t="str">
        <f t="shared" si="47"/>
        <v/>
      </c>
      <c r="L232" t="str">
        <f>L233</f>
        <v>66666666</v>
      </c>
      <c r="N232" t="str">
        <f>N233</f>
        <v>00000000</v>
      </c>
      <c r="O232">
        <f>O233</f>
        <v>0</v>
      </c>
      <c r="P232">
        <f t="shared" si="50"/>
        <v>8</v>
      </c>
      <c r="Q232">
        <f t="shared" si="50"/>
        <v>15</v>
      </c>
      <c r="R232">
        <f>R231</f>
        <v>0</v>
      </c>
      <c r="S232">
        <f t="shared" si="52"/>
        <v>14</v>
      </c>
      <c r="T232">
        <f t="shared" si="52"/>
        <v>0</v>
      </c>
    </row>
    <row r="233" spans="1:21" x14ac:dyDescent="0.3">
      <c r="H233">
        <f>0</f>
        <v>0</v>
      </c>
      <c r="I233">
        <f>I232</f>
        <v>14814814</v>
      </c>
      <c r="J233" t="str">
        <f t="shared" si="47"/>
        <v/>
      </c>
      <c r="L233" t="str">
        <f>L231</f>
        <v>66666666</v>
      </c>
      <c r="N233" t="str">
        <f>N231</f>
        <v>00000000</v>
      </c>
      <c r="O233">
        <f>O231</f>
        <v>0</v>
      </c>
      <c r="P233">
        <f t="shared" si="50"/>
        <v>8</v>
      </c>
      <c r="Q233">
        <f t="shared" si="50"/>
        <v>15</v>
      </c>
      <c r="R233">
        <f t="shared" si="50"/>
        <v>0</v>
      </c>
      <c r="S233">
        <f t="shared" si="50"/>
        <v>14</v>
      </c>
      <c r="T233">
        <f>T232</f>
        <v>0</v>
      </c>
    </row>
    <row r="234" spans="1:21" x14ac:dyDescent="0.3">
      <c r="A234" t="s">
        <v>121</v>
      </c>
      <c r="I234">
        <f>IF(Q233&lt;0,"0"&amp;LEFT(I233,7),I233)</f>
        <v>14814814</v>
      </c>
      <c r="L234" t="str">
        <f>L233</f>
        <v>66666666</v>
      </c>
      <c r="N234" t="str">
        <f>N233</f>
        <v>00000000</v>
      </c>
      <c r="Q234" s="56">
        <f>IF(Q233&lt;0,Q233+1,Q233)</f>
        <v>15</v>
      </c>
    </row>
    <row r="235" spans="1:21" x14ac:dyDescent="0.3">
      <c r="A235" t="s">
        <v>121</v>
      </c>
      <c r="I235">
        <f>IF(Q234&lt;0,"0"&amp;LEFT(I234,7),I234)</f>
        <v>14814814</v>
      </c>
      <c r="Q235" s="56">
        <f>IF(Q234&lt;0,Q234+1,Q234)</f>
        <v>15</v>
      </c>
      <c r="U235" s="21" t="s">
        <v>171</v>
      </c>
    </row>
    <row r="236" spans="1:21" x14ac:dyDescent="0.3">
      <c r="A236" t="s">
        <v>121</v>
      </c>
      <c r="I236">
        <f t="shared" ref="I236:I241" si="53">IF(Q235&lt;0,"0"&amp;LEFT(I235,7),I235)</f>
        <v>14814814</v>
      </c>
      <c r="Q236" s="56">
        <f t="shared" ref="Q236:Q241" si="54">IF(Q235&lt;0,Q235+1,Q235)</f>
        <v>15</v>
      </c>
      <c r="U236" s="21" t="s">
        <v>172</v>
      </c>
    </row>
    <row r="237" spans="1:21" x14ac:dyDescent="0.3">
      <c r="A237" t="s">
        <v>121</v>
      </c>
      <c r="I237">
        <f t="shared" si="53"/>
        <v>14814814</v>
      </c>
      <c r="Q237" s="56">
        <f t="shared" si="54"/>
        <v>15</v>
      </c>
      <c r="U237" s="21"/>
    </row>
    <row r="238" spans="1:21" x14ac:dyDescent="0.3">
      <c r="A238" t="s">
        <v>121</v>
      </c>
      <c r="I238">
        <f t="shared" si="53"/>
        <v>14814814</v>
      </c>
      <c r="Q238" s="56">
        <f t="shared" si="54"/>
        <v>15</v>
      </c>
      <c r="U238" s="21"/>
    </row>
    <row r="239" spans="1:21" x14ac:dyDescent="0.3">
      <c r="A239" t="s">
        <v>121</v>
      </c>
      <c r="I239">
        <f t="shared" si="53"/>
        <v>14814814</v>
      </c>
      <c r="Q239" s="56">
        <f t="shared" si="54"/>
        <v>15</v>
      </c>
      <c r="U239" s="21"/>
    </row>
    <row r="240" spans="1:21" x14ac:dyDescent="0.3">
      <c r="A240" t="s">
        <v>121</v>
      </c>
      <c r="I240">
        <f t="shared" si="53"/>
        <v>14814814</v>
      </c>
      <c r="Q240" s="56">
        <f t="shared" si="54"/>
        <v>15</v>
      </c>
      <c r="U240" s="21"/>
    </row>
    <row r="241" spans="1:21" x14ac:dyDescent="0.3">
      <c r="A241" t="s">
        <v>121</v>
      </c>
      <c r="I241">
        <f t="shared" si="53"/>
        <v>14814814</v>
      </c>
      <c r="Q241" s="56">
        <f t="shared" si="54"/>
        <v>15</v>
      </c>
      <c r="U241" s="21"/>
    </row>
    <row r="242" spans="1:21" x14ac:dyDescent="0.3">
      <c r="I242">
        <f>I241</f>
        <v>14814814</v>
      </c>
      <c r="Q242">
        <f>Q241</f>
        <v>15</v>
      </c>
      <c r="U242" s="21"/>
    </row>
    <row r="243" spans="1:21" x14ac:dyDescent="0.3">
      <c r="I243">
        <f>I242</f>
        <v>14814814</v>
      </c>
      <c r="Q243">
        <f>Q242</f>
        <v>15</v>
      </c>
      <c r="U243" s="21"/>
    </row>
    <row r="244" spans="1:21" x14ac:dyDescent="0.3">
      <c r="I244" s="3" t="str">
        <f>REPLACE(I243,9-Q244,0,".")</f>
        <v>14814814.</v>
      </c>
      <c r="L244" s="3" t="str">
        <f>IF(Q243&gt;7,"ERROR","")</f>
        <v>ERROR</v>
      </c>
      <c r="Q244">
        <f>7-Q243</f>
        <v>-8</v>
      </c>
      <c r="R244" t="s">
        <v>119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C665-C6F0-4F14-A330-576DD8C7DDF3}">
  <sheetPr>
    <tabColor rgb="FF92D050"/>
  </sheetPr>
  <dimension ref="A1:Y274"/>
  <sheetViews>
    <sheetView topLeftCell="A97" workbookViewId="0">
      <selection activeCell="E29" sqref="E29"/>
    </sheetView>
  </sheetViews>
  <sheetFormatPr defaultRowHeight="14.4" x14ac:dyDescent="0.3"/>
  <cols>
    <col min="2" max="2" width="9" customWidth="1"/>
    <col min="3" max="3" width="10" customWidth="1"/>
    <col min="4" max="4" width="9.88671875" customWidth="1"/>
    <col min="8" max="8" width="4.33203125" customWidth="1"/>
    <col min="10" max="11" width="4" customWidth="1"/>
    <col min="12" max="12" width="11.5546875" style="24" customWidth="1"/>
    <col min="13" max="13" width="2.6640625" customWidth="1"/>
    <col min="14" max="14" width="3.77734375" customWidth="1"/>
    <col min="15" max="15" width="9.33203125" customWidth="1"/>
    <col min="16" max="16" width="2.6640625" customWidth="1"/>
    <col min="17" max="17" width="9.77734375" customWidth="1"/>
    <col min="18" max="18" width="4.5546875" customWidth="1"/>
    <col min="19" max="20" width="4.21875" customWidth="1"/>
    <col min="21" max="21" width="5" customWidth="1"/>
    <col min="22" max="22" width="5.109375" customWidth="1"/>
    <col min="23" max="23" width="5.44140625" customWidth="1"/>
  </cols>
  <sheetData>
    <row r="1" spans="1:23" x14ac:dyDescent="0.3">
      <c r="C1" t="s">
        <v>5</v>
      </c>
      <c r="D1" t="s">
        <v>36</v>
      </c>
      <c r="E1" t="s">
        <v>37</v>
      </c>
      <c r="J1" s="5" t="s">
        <v>12</v>
      </c>
      <c r="K1" s="14" t="s">
        <v>25</v>
      </c>
      <c r="L1" s="49" t="s">
        <v>8</v>
      </c>
      <c r="M1" s="5"/>
      <c r="N1" s="5" t="s">
        <v>13</v>
      </c>
      <c r="O1" s="14" t="s">
        <v>9</v>
      </c>
      <c r="P1" s="5"/>
      <c r="Q1" s="14" t="s">
        <v>10</v>
      </c>
      <c r="R1" s="14" t="s">
        <v>3</v>
      </c>
      <c r="S1" s="5" t="s">
        <v>6</v>
      </c>
      <c r="T1" s="22" t="s">
        <v>18</v>
      </c>
      <c r="U1" s="5" t="s">
        <v>31</v>
      </c>
      <c r="V1" s="5" t="s">
        <v>32</v>
      </c>
      <c r="W1" s="43" t="s">
        <v>122</v>
      </c>
    </row>
    <row r="2" spans="1:23" x14ac:dyDescent="0.3">
      <c r="A2" s="3" t="s">
        <v>11</v>
      </c>
      <c r="E2" s="2" t="s">
        <v>35</v>
      </c>
      <c r="L2" s="42">
        <v>1</v>
      </c>
      <c r="S2" s="17">
        <f>IF(ISNUMBER(SEARCH(".",L2)),LEN(L2)-1,LEN(L2))</f>
        <v>1</v>
      </c>
      <c r="T2" s="17">
        <f>(IF(ISNUMBER(FIND(".",L2)),LEN(L2)-FIND(".",L2),0))</f>
        <v>0</v>
      </c>
      <c r="U2" s="17" cm="1">
        <f t="array" ref="U2">IF(L2&lt;1,_xlfn.IFS(L2&gt;=0.1,-1,L2&gt;=0.01,-2,L2&gt;=0.001,-3,L2&gt;=0.0001,-4,L2&gt;=0.00001,-5,L2&gt;=0.000001,-6,L2&gt;=0.0000001,-7,L2=0,0),_xlfn.IFS(L2&lt;10,0,L2&lt;100,1,L2&lt;1000,2,L2&lt;10000,3,L2&lt;100000,4,L2&lt;1000000,5,L2&lt;10000000,6,L2&lt;100000000,7))</f>
        <v>0</v>
      </c>
      <c r="V2" s="17" cm="1">
        <f t="array" ref="V2">IF(L2&lt;1,_xlfn.IFS(L2&gt;=0.1,-1,L2&gt;=0.01,-2,L2&gt;=0.001,-3,L2&gt;=0.0001,-4,L2&gt;=0.00001,-5,L2&gt;=0.000001,-6,L2&gt;=0.0000001,-7,L2=0,0),_xlfn.IFS(L2&lt;10,0,L2&lt;100,1,L2&lt;1000,2,L2&lt;10000,3,L2&lt;100000,4,L2&lt;1000000,5,L2&lt;10000000,6,L2&lt;100000000,7))</f>
        <v>0</v>
      </c>
      <c r="W2" s="17">
        <f>IF(LEFT(L2,2)="0.",1,0)</f>
        <v>0</v>
      </c>
    </row>
    <row r="3" spans="1:23" x14ac:dyDescent="0.3">
      <c r="A3" s="3"/>
      <c r="E3" t="s">
        <v>38</v>
      </c>
      <c r="H3" t="str">
        <f>IF(LEN(L3)&gt;8,LEN(L3),"-")</f>
        <v>-</v>
      </c>
      <c r="L3" s="42" t="str">
        <f>IF(LEFT(L2,2)="0.",SUBSTITUTE(L2,"0.",""),SUBSTITUTE(L2,".",""))</f>
        <v>1</v>
      </c>
      <c r="S3">
        <f>S2</f>
        <v>1</v>
      </c>
      <c r="T3">
        <f t="shared" ref="T3:W18" si="0">T2</f>
        <v>0</v>
      </c>
      <c r="U3">
        <f t="shared" si="0"/>
        <v>0</v>
      </c>
      <c r="V3">
        <f t="shared" si="0"/>
        <v>0</v>
      </c>
      <c r="W3">
        <f>W2</f>
        <v>0</v>
      </c>
    </row>
    <row r="4" spans="1:23" x14ac:dyDescent="0.3">
      <c r="A4" s="3" t="s">
        <v>7</v>
      </c>
      <c r="L4" s="24" t="str">
        <f>REPT("0",8-LEN(L3))&amp;L3</f>
        <v>00000001</v>
      </c>
      <c r="S4">
        <f>S3</f>
        <v>1</v>
      </c>
      <c r="T4">
        <f t="shared" si="0"/>
        <v>0</v>
      </c>
      <c r="U4">
        <f t="shared" si="0"/>
        <v>0</v>
      </c>
      <c r="V4">
        <f t="shared" si="0"/>
        <v>0</v>
      </c>
      <c r="W4">
        <f>W3</f>
        <v>0</v>
      </c>
    </row>
    <row r="5" spans="1:23" x14ac:dyDescent="0.3">
      <c r="A5" t="s">
        <v>22</v>
      </c>
      <c r="L5" s="25" t="str">
        <f>RIGHT(L4,S4)&amp;REPT("0",8-S4)</f>
        <v>10000000</v>
      </c>
      <c r="S5" s="17">
        <f>LEN(L5)</f>
        <v>8</v>
      </c>
      <c r="T5" s="17">
        <f>S5-S4+T4</f>
        <v>7</v>
      </c>
      <c r="U5">
        <f t="shared" si="0"/>
        <v>0</v>
      </c>
      <c r="V5">
        <f t="shared" si="0"/>
        <v>0</v>
      </c>
      <c r="W5">
        <f t="shared" si="0"/>
        <v>0</v>
      </c>
    </row>
    <row r="6" spans="1:23" x14ac:dyDescent="0.3">
      <c r="A6" t="s">
        <v>20</v>
      </c>
      <c r="L6" s="24" t="str">
        <f>L5</f>
        <v>10000000</v>
      </c>
      <c r="O6" t="str">
        <f>L5</f>
        <v>10000000</v>
      </c>
      <c r="S6">
        <f t="shared" ref="S6:V21" si="1">S5</f>
        <v>8</v>
      </c>
      <c r="T6">
        <f t="shared" si="0"/>
        <v>7</v>
      </c>
      <c r="U6">
        <f t="shared" si="0"/>
        <v>0</v>
      </c>
      <c r="V6">
        <f t="shared" si="0"/>
        <v>0</v>
      </c>
      <c r="W6">
        <f t="shared" si="0"/>
        <v>0</v>
      </c>
    </row>
    <row r="7" spans="1:23" x14ac:dyDescent="0.3">
      <c r="A7" t="s">
        <v>125</v>
      </c>
      <c r="C7">
        <v>1</v>
      </c>
      <c r="K7" s="17" t="str">
        <f>LEFT(L6,1)</f>
        <v>1</v>
      </c>
      <c r="L7" s="24" t="str">
        <f>L6</f>
        <v>10000000</v>
      </c>
      <c r="O7" t="str">
        <f>L6</f>
        <v>10000000</v>
      </c>
      <c r="S7">
        <f t="shared" si="1"/>
        <v>8</v>
      </c>
      <c r="T7">
        <f t="shared" si="0"/>
        <v>7</v>
      </c>
      <c r="U7">
        <f t="shared" si="0"/>
        <v>0</v>
      </c>
      <c r="V7">
        <f t="shared" si="0"/>
        <v>0</v>
      </c>
      <c r="W7">
        <f t="shared" si="0"/>
        <v>0</v>
      </c>
    </row>
    <row r="8" spans="1:23" x14ac:dyDescent="0.3">
      <c r="A8" t="s">
        <v>126</v>
      </c>
      <c r="L8" s="24" t="str">
        <f>IF(K7="0",RIGHT(L7,7)&amp;"0",L7)</f>
        <v>10000000</v>
      </c>
      <c r="O8" t="str">
        <f t="shared" ref="O8:O20" si="2">O7</f>
        <v>10000000</v>
      </c>
      <c r="S8">
        <f t="shared" si="1"/>
        <v>8</v>
      </c>
      <c r="T8">
        <f t="shared" si="0"/>
        <v>7</v>
      </c>
      <c r="U8">
        <f t="shared" si="0"/>
        <v>0</v>
      </c>
      <c r="V8">
        <f t="shared" si="0"/>
        <v>0</v>
      </c>
    </row>
    <row r="9" spans="1:23" x14ac:dyDescent="0.3">
      <c r="A9" t="s">
        <v>125</v>
      </c>
      <c r="C9">
        <v>2</v>
      </c>
      <c r="K9" s="17" t="str">
        <f>LEFT(L8,1)</f>
        <v>1</v>
      </c>
      <c r="L9" s="24" t="str">
        <f>L8</f>
        <v>10000000</v>
      </c>
      <c r="O9" t="str">
        <f t="shared" si="2"/>
        <v>10000000</v>
      </c>
      <c r="S9">
        <f t="shared" si="1"/>
        <v>8</v>
      </c>
      <c r="T9">
        <f t="shared" si="0"/>
        <v>7</v>
      </c>
      <c r="U9">
        <f t="shared" si="0"/>
        <v>0</v>
      </c>
      <c r="V9">
        <f t="shared" si="0"/>
        <v>0</v>
      </c>
    </row>
    <row r="10" spans="1:23" x14ac:dyDescent="0.3">
      <c r="A10" t="s">
        <v>126</v>
      </c>
      <c r="L10" s="24" t="str">
        <f>IF(K9="0",RIGHT(L9,7)&amp;"0",L9)</f>
        <v>10000000</v>
      </c>
      <c r="O10" t="str">
        <f t="shared" si="2"/>
        <v>10000000</v>
      </c>
      <c r="S10">
        <f t="shared" si="1"/>
        <v>8</v>
      </c>
      <c r="T10">
        <f t="shared" si="0"/>
        <v>7</v>
      </c>
      <c r="U10">
        <f t="shared" si="0"/>
        <v>0</v>
      </c>
      <c r="V10">
        <f t="shared" si="0"/>
        <v>0</v>
      </c>
    </row>
    <row r="11" spans="1:23" x14ac:dyDescent="0.3">
      <c r="A11" t="s">
        <v>125</v>
      </c>
      <c r="C11">
        <v>3</v>
      </c>
      <c r="K11" s="17" t="str">
        <f>LEFT(L10,1)</f>
        <v>1</v>
      </c>
      <c r="L11" s="24" t="str">
        <f>L10</f>
        <v>10000000</v>
      </c>
      <c r="O11" t="str">
        <f t="shared" si="2"/>
        <v>10000000</v>
      </c>
      <c r="S11">
        <f t="shared" si="1"/>
        <v>8</v>
      </c>
      <c r="T11">
        <f t="shared" si="0"/>
        <v>7</v>
      </c>
      <c r="U11">
        <f t="shared" si="0"/>
        <v>0</v>
      </c>
      <c r="V11">
        <f t="shared" si="0"/>
        <v>0</v>
      </c>
    </row>
    <row r="12" spans="1:23" x14ac:dyDescent="0.3">
      <c r="A12" t="s">
        <v>126</v>
      </c>
      <c r="L12" s="24" t="str">
        <f>IF(K11="0",RIGHT(L11,7)&amp;"0",L11)</f>
        <v>10000000</v>
      </c>
      <c r="O12" t="str">
        <f t="shared" si="2"/>
        <v>10000000</v>
      </c>
      <c r="S12">
        <f t="shared" si="1"/>
        <v>8</v>
      </c>
      <c r="T12">
        <f t="shared" si="0"/>
        <v>7</v>
      </c>
      <c r="U12">
        <f t="shared" si="0"/>
        <v>0</v>
      </c>
      <c r="V12">
        <f t="shared" si="0"/>
        <v>0</v>
      </c>
    </row>
    <row r="13" spans="1:23" x14ac:dyDescent="0.3">
      <c r="A13" t="s">
        <v>125</v>
      </c>
      <c r="C13">
        <v>4</v>
      </c>
      <c r="K13" s="17" t="str">
        <f>LEFT(L12,1)</f>
        <v>1</v>
      </c>
      <c r="L13" s="24" t="str">
        <f>L12</f>
        <v>10000000</v>
      </c>
      <c r="O13" t="str">
        <f t="shared" si="2"/>
        <v>10000000</v>
      </c>
      <c r="S13">
        <f t="shared" si="1"/>
        <v>8</v>
      </c>
      <c r="T13">
        <f t="shared" si="0"/>
        <v>7</v>
      </c>
      <c r="U13">
        <f t="shared" si="0"/>
        <v>0</v>
      </c>
      <c r="V13">
        <f t="shared" si="0"/>
        <v>0</v>
      </c>
    </row>
    <row r="14" spans="1:23" x14ac:dyDescent="0.3">
      <c r="A14" t="s">
        <v>126</v>
      </c>
      <c r="L14" s="24" t="str">
        <f>IF(K13="0",RIGHT(L13,7)&amp;"0",L13)</f>
        <v>10000000</v>
      </c>
      <c r="O14" t="str">
        <f t="shared" si="2"/>
        <v>10000000</v>
      </c>
      <c r="S14">
        <f t="shared" si="1"/>
        <v>8</v>
      </c>
      <c r="T14">
        <f t="shared" si="0"/>
        <v>7</v>
      </c>
      <c r="U14">
        <f t="shared" si="0"/>
        <v>0</v>
      </c>
      <c r="V14">
        <f t="shared" si="0"/>
        <v>0</v>
      </c>
    </row>
    <row r="15" spans="1:23" x14ac:dyDescent="0.3">
      <c r="A15" t="s">
        <v>125</v>
      </c>
      <c r="C15">
        <v>5</v>
      </c>
      <c r="K15" s="17" t="str">
        <f>LEFT(L14,1)</f>
        <v>1</v>
      </c>
      <c r="L15" s="24" t="str">
        <f>L14</f>
        <v>10000000</v>
      </c>
      <c r="O15" t="str">
        <f t="shared" si="2"/>
        <v>10000000</v>
      </c>
      <c r="S15">
        <f t="shared" si="1"/>
        <v>8</v>
      </c>
      <c r="T15">
        <f t="shared" si="0"/>
        <v>7</v>
      </c>
      <c r="U15">
        <f t="shared" si="0"/>
        <v>0</v>
      </c>
      <c r="V15">
        <f t="shared" si="0"/>
        <v>0</v>
      </c>
    </row>
    <row r="16" spans="1:23" x14ac:dyDescent="0.3">
      <c r="A16" t="s">
        <v>126</v>
      </c>
      <c r="L16" s="24" t="str">
        <f>IF(K15="0",RIGHT(L15,7)&amp;"0",L15)</f>
        <v>10000000</v>
      </c>
      <c r="O16" t="str">
        <f t="shared" si="2"/>
        <v>10000000</v>
      </c>
      <c r="S16">
        <f t="shared" si="1"/>
        <v>8</v>
      </c>
      <c r="T16">
        <f t="shared" si="0"/>
        <v>7</v>
      </c>
      <c r="U16">
        <f t="shared" si="0"/>
        <v>0</v>
      </c>
      <c r="V16">
        <f t="shared" si="0"/>
        <v>0</v>
      </c>
    </row>
    <row r="17" spans="1:25" x14ac:dyDescent="0.3">
      <c r="A17" t="s">
        <v>125</v>
      </c>
      <c r="C17">
        <v>6</v>
      </c>
      <c r="K17" s="17" t="str">
        <f>LEFT(L16,1)</f>
        <v>1</v>
      </c>
      <c r="L17" s="24" t="str">
        <f>L16</f>
        <v>10000000</v>
      </c>
      <c r="O17" t="str">
        <f t="shared" si="2"/>
        <v>10000000</v>
      </c>
      <c r="S17">
        <f t="shared" si="1"/>
        <v>8</v>
      </c>
      <c r="T17">
        <f t="shared" si="0"/>
        <v>7</v>
      </c>
      <c r="U17">
        <f t="shared" si="0"/>
        <v>0</v>
      </c>
      <c r="V17">
        <f t="shared" si="0"/>
        <v>0</v>
      </c>
    </row>
    <row r="18" spans="1:25" x14ac:dyDescent="0.3">
      <c r="A18" t="s">
        <v>126</v>
      </c>
      <c r="L18" s="24" t="str">
        <f>IF(K17="0",RIGHT(L17,7)&amp;"0",L17)</f>
        <v>10000000</v>
      </c>
      <c r="O18" t="str">
        <f t="shared" si="2"/>
        <v>10000000</v>
      </c>
      <c r="S18">
        <f t="shared" si="1"/>
        <v>8</v>
      </c>
      <c r="T18">
        <f t="shared" si="0"/>
        <v>7</v>
      </c>
      <c r="U18">
        <f t="shared" si="0"/>
        <v>0</v>
      </c>
      <c r="V18">
        <f t="shared" si="0"/>
        <v>0</v>
      </c>
    </row>
    <row r="19" spans="1:25" x14ac:dyDescent="0.3">
      <c r="A19" t="s">
        <v>125</v>
      </c>
      <c r="C19">
        <v>7</v>
      </c>
      <c r="K19" s="17" t="str">
        <f>LEFT(L18,1)</f>
        <v>1</v>
      </c>
      <c r="L19" s="24" t="str">
        <f>L18</f>
        <v>10000000</v>
      </c>
      <c r="O19" t="str">
        <f t="shared" si="2"/>
        <v>10000000</v>
      </c>
      <c r="S19">
        <f t="shared" si="1"/>
        <v>8</v>
      </c>
      <c r="T19">
        <f t="shared" si="1"/>
        <v>7</v>
      </c>
      <c r="U19">
        <f t="shared" si="1"/>
        <v>0</v>
      </c>
      <c r="V19">
        <f t="shared" si="1"/>
        <v>0</v>
      </c>
    </row>
    <row r="20" spans="1:25" x14ac:dyDescent="0.3">
      <c r="A20" t="s">
        <v>126</v>
      </c>
      <c r="L20" s="24" t="str">
        <f>IF(K19="0",RIGHT(L19,7)&amp;"0",L19)</f>
        <v>10000000</v>
      </c>
      <c r="O20" t="str">
        <f t="shared" si="2"/>
        <v>10000000</v>
      </c>
      <c r="S20">
        <f t="shared" si="1"/>
        <v>8</v>
      </c>
      <c r="T20">
        <f t="shared" si="1"/>
        <v>7</v>
      </c>
      <c r="U20">
        <f t="shared" si="1"/>
        <v>0</v>
      </c>
      <c r="V20">
        <f t="shared" si="1"/>
        <v>0</v>
      </c>
    </row>
    <row r="21" spans="1:25" x14ac:dyDescent="0.3">
      <c r="A21" t="s">
        <v>127</v>
      </c>
      <c r="L21" s="25" t="str">
        <f>O20</f>
        <v>10000000</v>
      </c>
      <c r="O21" s="17" t="str">
        <f>L20</f>
        <v>10000000</v>
      </c>
      <c r="S21">
        <f t="shared" si="1"/>
        <v>8</v>
      </c>
      <c r="T21">
        <f t="shared" si="1"/>
        <v>7</v>
      </c>
      <c r="U21">
        <f t="shared" si="1"/>
        <v>0</v>
      </c>
      <c r="V21">
        <f t="shared" si="1"/>
        <v>0</v>
      </c>
    </row>
    <row r="22" spans="1:25" x14ac:dyDescent="0.3">
      <c r="A22" s="3" t="s">
        <v>14</v>
      </c>
      <c r="L22" s="42">
        <v>10000000</v>
      </c>
      <c r="O22" t="str">
        <f t="shared" ref="O22:O27" si="3">O21</f>
        <v>10000000</v>
      </c>
      <c r="S22" s="17">
        <f>IF(ISNUMBER(SEARCH(".",L22)),LEN(L22)-1,LEN(L22))</f>
        <v>8</v>
      </c>
      <c r="T22" s="17">
        <f>(IF(ISNUMBER(FIND(".",L22)),LEN(L22)-FIND(".",L22),0))</f>
        <v>0</v>
      </c>
      <c r="U22" s="17" cm="1">
        <f t="array" ref="U22">U20-IF(L22&lt;1,_xlfn.IFS(L22&gt;=0.1,-1,L22&gt;=0.01,-2,L22&gt;=0.001,-3,L22&gt;=0.0001,-4,L22&gt;=0.00001,-5,L22&gt;=0.000001,-6,L22&gt;=0.0000001,-7,L22=0,0),_xlfn.IFS(L22&lt;10,0,L22&lt;100,1,L22&lt;1000,2,L22&lt;10000,3,L22&lt;100000,4,L22&lt;1000000,5,L22&lt;10000000,6,L22&lt;100000000,7))</f>
        <v>-7</v>
      </c>
      <c r="V22" s="17" cm="1">
        <f t="array" ref="V22">V20+IF(L22&lt;1,_xlfn.IFS(L22&gt;=0.1,-1,L22&gt;=0.01,-2,L22&gt;=0.001,-3,L22&gt;=0.0001,-4,L22&gt;=0.00001,-5,L22&gt;=0.000001,-6,L22&gt;=0.0000001,-7,L22=0,0),_xlfn.IFS(L22&lt;10,0,L22&lt;100,1,L22&lt;1000,2,L22&lt;10000,3,L22&lt;100000,4,L22&lt;1000000,5,L22&lt;10000000,6,L22&lt;100000000,7))</f>
        <v>7</v>
      </c>
      <c r="W22" s="17">
        <f>IF(LEFT(L22,2)="0.",1,0)</f>
        <v>0</v>
      </c>
    </row>
    <row r="23" spans="1:25" x14ac:dyDescent="0.3">
      <c r="A23" t="s">
        <v>157</v>
      </c>
      <c r="H23" t="str">
        <f>IF(LEN(L23)&gt;8,LEN(L23),"-")</f>
        <v>-</v>
      </c>
      <c r="L23" s="42" t="str">
        <f>IF(LEFT(L22,2)="0.",SUBSTITUTE(L22,"0.",""),SUBSTITUTE(L22,".",""))</f>
        <v>10000000</v>
      </c>
      <c r="O23" t="str">
        <f t="shared" si="3"/>
        <v>10000000</v>
      </c>
      <c r="R23" s="20" cm="1">
        <f t="array" ref="R23">_xlfn.IFS(LEFT(L23,6)="000000",6,LEFT(L23,5)="00000",5,LEFT(L23,4)="0000",4,LEFT(L23,3)="000",3,LEFT(L23,2)="00",2,LEFT(L23,1)="0",1,LEFT(L23,1)&gt;0,0)</f>
        <v>0</v>
      </c>
      <c r="S23">
        <f>S22</f>
        <v>8</v>
      </c>
      <c r="T23">
        <f t="shared" ref="T23:V28" si="4">T22</f>
        <v>0</v>
      </c>
      <c r="U23">
        <f t="shared" si="4"/>
        <v>-7</v>
      </c>
      <c r="V23">
        <f t="shared" si="4"/>
        <v>7</v>
      </c>
      <c r="W23">
        <f>W22</f>
        <v>0</v>
      </c>
    </row>
    <row r="24" spans="1:25" x14ac:dyDescent="0.3">
      <c r="A24" s="3" t="s">
        <v>19</v>
      </c>
      <c r="K24">
        <f t="shared" ref="K24:L39" si="5">K23</f>
        <v>0</v>
      </c>
      <c r="L24" s="25" t="str">
        <f>RIGHT("0000000"&amp;L23,8)</f>
        <v>10000000</v>
      </c>
      <c r="O24" t="str">
        <f t="shared" si="3"/>
        <v>10000000</v>
      </c>
      <c r="R24">
        <f t="shared" ref="R24:W31" si="6">R23</f>
        <v>0</v>
      </c>
      <c r="S24">
        <f t="shared" si="6"/>
        <v>8</v>
      </c>
      <c r="T24">
        <f t="shared" si="4"/>
        <v>0</v>
      </c>
      <c r="U24">
        <f t="shared" si="4"/>
        <v>-7</v>
      </c>
      <c r="V24">
        <f t="shared" si="4"/>
        <v>7</v>
      </c>
      <c r="W24">
        <f>W23</f>
        <v>0</v>
      </c>
    </row>
    <row r="25" spans="1:25" x14ac:dyDescent="0.3">
      <c r="A25" s="3"/>
      <c r="K25">
        <f t="shared" si="5"/>
        <v>0</v>
      </c>
      <c r="L25" s="24" t="str">
        <f>L24</f>
        <v>10000000</v>
      </c>
      <c r="O25" t="str">
        <f t="shared" si="3"/>
        <v>10000000</v>
      </c>
      <c r="R25">
        <f t="shared" si="6"/>
        <v>0</v>
      </c>
      <c r="S25">
        <f t="shared" si="6"/>
        <v>8</v>
      </c>
      <c r="T25">
        <f t="shared" si="4"/>
        <v>0</v>
      </c>
      <c r="U25">
        <f t="shared" si="4"/>
        <v>-7</v>
      </c>
      <c r="V25">
        <f t="shared" si="4"/>
        <v>7</v>
      </c>
      <c r="W25">
        <f>W24</f>
        <v>0</v>
      </c>
    </row>
    <row r="26" spans="1:25" x14ac:dyDescent="0.3">
      <c r="K26">
        <f t="shared" si="5"/>
        <v>0</v>
      </c>
      <c r="L26" s="24" t="str">
        <f>L25</f>
        <v>10000000</v>
      </c>
      <c r="O26" t="str">
        <f t="shared" si="3"/>
        <v>10000000</v>
      </c>
      <c r="R26">
        <f t="shared" si="6"/>
        <v>0</v>
      </c>
      <c r="S26">
        <f t="shared" si="6"/>
        <v>8</v>
      </c>
      <c r="T26">
        <f t="shared" si="6"/>
        <v>0</v>
      </c>
      <c r="U26">
        <f t="shared" si="6"/>
        <v>-7</v>
      </c>
      <c r="V26">
        <f t="shared" si="6"/>
        <v>7</v>
      </c>
      <c r="W26">
        <f t="shared" si="6"/>
        <v>0</v>
      </c>
    </row>
    <row r="27" spans="1:25" x14ac:dyDescent="0.3">
      <c r="A27" t="s">
        <v>24</v>
      </c>
      <c r="K27">
        <f t="shared" si="5"/>
        <v>0</v>
      </c>
      <c r="L27" s="24" t="str">
        <f>L26</f>
        <v>10000000</v>
      </c>
      <c r="O27" t="str">
        <f t="shared" si="3"/>
        <v>10000000</v>
      </c>
      <c r="Q27" s="17" t="str">
        <f>O24</f>
        <v>10000000</v>
      </c>
      <c r="R27">
        <f t="shared" si="6"/>
        <v>0</v>
      </c>
      <c r="S27">
        <f t="shared" si="6"/>
        <v>8</v>
      </c>
      <c r="T27">
        <f t="shared" si="6"/>
        <v>0</v>
      </c>
      <c r="U27">
        <f t="shared" si="6"/>
        <v>-7</v>
      </c>
      <c r="V27">
        <f t="shared" si="6"/>
        <v>7</v>
      </c>
      <c r="W27">
        <f t="shared" si="6"/>
        <v>0</v>
      </c>
    </row>
    <row r="28" spans="1:25" x14ac:dyDescent="0.3">
      <c r="A28" t="s">
        <v>23</v>
      </c>
      <c r="K28">
        <f t="shared" si="5"/>
        <v>0</v>
      </c>
      <c r="L28" s="50" t="s">
        <v>107</v>
      </c>
      <c r="O28" s="17" t="str">
        <f>L27</f>
        <v>10000000</v>
      </c>
      <c r="Q28" t="str">
        <f>Q27</f>
        <v>10000000</v>
      </c>
      <c r="R28">
        <f t="shared" si="6"/>
        <v>0</v>
      </c>
      <c r="S28">
        <f t="shared" si="6"/>
        <v>8</v>
      </c>
      <c r="T28">
        <f t="shared" si="4"/>
        <v>0</v>
      </c>
      <c r="U28">
        <f t="shared" si="4"/>
        <v>-7</v>
      </c>
      <c r="V28">
        <f t="shared" si="4"/>
        <v>7</v>
      </c>
      <c r="W28">
        <f t="shared" si="6"/>
        <v>0</v>
      </c>
    </row>
    <row r="29" spans="1:25" x14ac:dyDescent="0.3">
      <c r="A29" t="s">
        <v>34</v>
      </c>
      <c r="K29">
        <f t="shared" si="5"/>
        <v>0</v>
      </c>
      <c r="L29" s="24" t="str">
        <f>L28</f>
        <v>00000000</v>
      </c>
      <c r="O29" t="str">
        <f>O28</f>
        <v>10000000</v>
      </c>
      <c r="Q29" s="13" t="str">
        <f>Q28</f>
        <v>10000000</v>
      </c>
      <c r="R29">
        <f t="shared" si="6"/>
        <v>0</v>
      </c>
      <c r="S29">
        <f t="shared" si="6"/>
        <v>8</v>
      </c>
      <c r="T29" s="4">
        <f>U28</f>
        <v>-7</v>
      </c>
      <c r="U29" s="17">
        <f>V28</f>
        <v>7</v>
      </c>
      <c r="V29">
        <f>V28</f>
        <v>7</v>
      </c>
      <c r="W29">
        <f t="shared" si="6"/>
        <v>0</v>
      </c>
    </row>
    <row r="30" spans="1:25" x14ac:dyDescent="0.3">
      <c r="K30">
        <f t="shared" si="5"/>
        <v>0</v>
      </c>
      <c r="L30" s="24" t="str">
        <f t="shared" si="5"/>
        <v>00000000</v>
      </c>
      <c r="O30" t="str">
        <f t="shared" ref="O30:O47" si="7">O29</f>
        <v>10000000</v>
      </c>
      <c r="Q30" s="13" t="str">
        <f t="shared" ref="Q30:Q38" si="8">Q29</f>
        <v>10000000</v>
      </c>
      <c r="R30">
        <f t="shared" si="6"/>
        <v>0</v>
      </c>
      <c r="S30">
        <f>S29</f>
        <v>8</v>
      </c>
      <c r="T30">
        <f>T29</f>
        <v>-7</v>
      </c>
      <c r="U30">
        <f>U29</f>
        <v>7</v>
      </c>
      <c r="V30">
        <f t="shared" ref="V30:W39" si="9">V29</f>
        <v>7</v>
      </c>
      <c r="W30">
        <f t="shared" si="9"/>
        <v>0</v>
      </c>
    </row>
    <row r="31" spans="1:25" x14ac:dyDescent="0.3">
      <c r="A31" t="s">
        <v>169</v>
      </c>
      <c r="E31" t="s">
        <v>161</v>
      </c>
      <c r="K31">
        <f>K30</f>
        <v>0</v>
      </c>
      <c r="L31" s="24" t="str">
        <f>L30</f>
        <v>00000000</v>
      </c>
      <c r="O31" t="str">
        <f>O30</f>
        <v>10000000</v>
      </c>
      <c r="Q31" s="13" t="str">
        <f>Q30</f>
        <v>10000000</v>
      </c>
      <c r="R31">
        <f t="shared" si="6"/>
        <v>0</v>
      </c>
      <c r="S31" s="17">
        <f>IF(W30=1,S30-1,S30)</f>
        <v>8</v>
      </c>
      <c r="T31">
        <f t="shared" ref="T31:W46" si="10">T30</f>
        <v>-7</v>
      </c>
      <c r="U31">
        <f t="shared" si="10"/>
        <v>7</v>
      </c>
      <c r="V31">
        <f t="shared" si="10"/>
        <v>7</v>
      </c>
      <c r="W31">
        <f t="shared" si="10"/>
        <v>0</v>
      </c>
    </row>
    <row r="32" spans="1:25" x14ac:dyDescent="0.3">
      <c r="A32" t="s">
        <v>158</v>
      </c>
      <c r="D32">
        <v>1</v>
      </c>
      <c r="E32" t="s">
        <v>162</v>
      </c>
      <c r="K32">
        <f>K31</f>
        <v>0</v>
      </c>
      <c r="L32" s="24" t="str">
        <f>L31</f>
        <v>00000000</v>
      </c>
      <c r="O32" t="str">
        <f>O31</f>
        <v>10000000</v>
      </c>
      <c r="Q32" s="13" t="str">
        <f>Q31</f>
        <v>10000000</v>
      </c>
      <c r="R32" s="17">
        <f t="shared" ref="R32:R37" si="11">IF(R31&gt;0,R31-1,R31)</f>
        <v>0</v>
      </c>
      <c r="S32" s="17">
        <f t="shared" ref="S32:S37" si="12">IF(R31&gt;0,S31-1,S31)</f>
        <v>8</v>
      </c>
      <c r="T32">
        <f t="shared" si="10"/>
        <v>-7</v>
      </c>
      <c r="U32">
        <f t="shared" si="10"/>
        <v>7</v>
      </c>
      <c r="V32">
        <f t="shared" si="10"/>
        <v>7</v>
      </c>
      <c r="W32">
        <f t="shared" si="10"/>
        <v>0</v>
      </c>
      <c r="Y32" s="21"/>
    </row>
    <row r="33" spans="1:23" x14ac:dyDescent="0.3">
      <c r="A33" t="s">
        <v>158</v>
      </c>
      <c r="D33">
        <v>2</v>
      </c>
      <c r="E33" t="s">
        <v>165</v>
      </c>
      <c r="K33">
        <f t="shared" si="5"/>
        <v>0</v>
      </c>
      <c r="L33" s="24" t="str">
        <f t="shared" si="5"/>
        <v>00000000</v>
      </c>
      <c r="O33" t="str">
        <f t="shared" si="7"/>
        <v>10000000</v>
      </c>
      <c r="Q33" s="13" t="str">
        <f t="shared" si="8"/>
        <v>10000000</v>
      </c>
      <c r="R33" s="17">
        <f t="shared" si="11"/>
        <v>0</v>
      </c>
      <c r="S33" s="17">
        <f t="shared" si="12"/>
        <v>8</v>
      </c>
      <c r="T33">
        <f t="shared" si="10"/>
        <v>-7</v>
      </c>
      <c r="U33">
        <f t="shared" si="10"/>
        <v>7</v>
      </c>
      <c r="V33">
        <f t="shared" si="9"/>
        <v>7</v>
      </c>
      <c r="W33">
        <f t="shared" si="9"/>
        <v>0</v>
      </c>
    </row>
    <row r="34" spans="1:23" x14ac:dyDescent="0.3">
      <c r="A34" t="s">
        <v>158</v>
      </c>
      <c r="D34">
        <v>3</v>
      </c>
      <c r="K34">
        <f t="shared" si="5"/>
        <v>0</v>
      </c>
      <c r="L34" s="24" t="str">
        <f t="shared" si="5"/>
        <v>00000000</v>
      </c>
      <c r="O34" t="str">
        <f t="shared" si="7"/>
        <v>10000000</v>
      </c>
      <c r="Q34" s="13" t="str">
        <f t="shared" si="8"/>
        <v>10000000</v>
      </c>
      <c r="R34" s="17">
        <f t="shared" si="11"/>
        <v>0</v>
      </c>
      <c r="S34" s="17">
        <f t="shared" si="12"/>
        <v>8</v>
      </c>
      <c r="T34">
        <f t="shared" si="10"/>
        <v>-7</v>
      </c>
      <c r="U34">
        <f t="shared" si="10"/>
        <v>7</v>
      </c>
      <c r="V34">
        <f t="shared" si="9"/>
        <v>7</v>
      </c>
      <c r="W34">
        <f t="shared" si="9"/>
        <v>0</v>
      </c>
    </row>
    <row r="35" spans="1:23" x14ac:dyDescent="0.3">
      <c r="A35" t="s">
        <v>158</v>
      </c>
      <c r="D35">
        <v>4</v>
      </c>
      <c r="K35">
        <f t="shared" si="5"/>
        <v>0</v>
      </c>
      <c r="L35" s="24" t="str">
        <f t="shared" si="5"/>
        <v>00000000</v>
      </c>
      <c r="O35" t="str">
        <f t="shared" si="7"/>
        <v>10000000</v>
      </c>
      <c r="Q35" s="13" t="str">
        <f t="shared" si="8"/>
        <v>10000000</v>
      </c>
      <c r="R35" s="17">
        <f t="shared" si="11"/>
        <v>0</v>
      </c>
      <c r="S35" s="17">
        <f t="shared" si="12"/>
        <v>8</v>
      </c>
      <c r="T35">
        <f t="shared" si="10"/>
        <v>-7</v>
      </c>
      <c r="U35">
        <f t="shared" si="10"/>
        <v>7</v>
      </c>
      <c r="V35">
        <f t="shared" si="9"/>
        <v>7</v>
      </c>
      <c r="W35">
        <f t="shared" si="9"/>
        <v>0</v>
      </c>
    </row>
    <row r="36" spans="1:23" x14ac:dyDescent="0.3">
      <c r="A36" t="s">
        <v>158</v>
      </c>
      <c r="D36">
        <v>5</v>
      </c>
      <c r="K36">
        <f t="shared" si="5"/>
        <v>0</v>
      </c>
      <c r="L36" s="24" t="str">
        <f t="shared" si="5"/>
        <v>00000000</v>
      </c>
      <c r="O36" t="str">
        <f t="shared" si="7"/>
        <v>10000000</v>
      </c>
      <c r="Q36" s="13" t="str">
        <f t="shared" si="8"/>
        <v>10000000</v>
      </c>
      <c r="R36" s="17">
        <f t="shared" si="11"/>
        <v>0</v>
      </c>
      <c r="S36" s="17">
        <f t="shared" si="12"/>
        <v>8</v>
      </c>
      <c r="T36">
        <f t="shared" si="10"/>
        <v>-7</v>
      </c>
      <c r="U36">
        <f t="shared" si="10"/>
        <v>7</v>
      </c>
      <c r="V36">
        <f t="shared" si="9"/>
        <v>7</v>
      </c>
      <c r="W36">
        <f t="shared" si="9"/>
        <v>0</v>
      </c>
    </row>
    <row r="37" spans="1:23" x14ac:dyDescent="0.3">
      <c r="A37" t="s">
        <v>158</v>
      </c>
      <c r="D37">
        <v>6</v>
      </c>
      <c r="K37">
        <f t="shared" si="5"/>
        <v>0</v>
      </c>
      <c r="L37" s="24" t="str">
        <f t="shared" si="5"/>
        <v>00000000</v>
      </c>
      <c r="O37" t="str">
        <f t="shared" si="7"/>
        <v>10000000</v>
      </c>
      <c r="Q37" s="13" t="str">
        <f t="shared" si="8"/>
        <v>10000000</v>
      </c>
      <c r="R37" s="17">
        <f t="shared" si="11"/>
        <v>0</v>
      </c>
      <c r="S37" s="17">
        <f t="shared" si="12"/>
        <v>8</v>
      </c>
      <c r="T37">
        <f t="shared" si="10"/>
        <v>-7</v>
      </c>
      <c r="U37">
        <f t="shared" si="10"/>
        <v>7</v>
      </c>
      <c r="V37">
        <f t="shared" si="9"/>
        <v>7</v>
      </c>
      <c r="W37">
        <f t="shared" si="9"/>
        <v>0</v>
      </c>
    </row>
    <row r="38" spans="1:23" x14ac:dyDescent="0.3">
      <c r="K38">
        <f t="shared" si="5"/>
        <v>0</v>
      </c>
      <c r="L38" s="24" t="str">
        <f t="shared" si="5"/>
        <v>00000000</v>
      </c>
      <c r="O38" t="str">
        <f t="shared" si="7"/>
        <v>10000000</v>
      </c>
      <c r="Q38" s="13" t="str">
        <f t="shared" si="8"/>
        <v>10000000</v>
      </c>
      <c r="R38">
        <f>R37</f>
        <v>0</v>
      </c>
      <c r="S38">
        <f>S37</f>
        <v>8</v>
      </c>
      <c r="T38">
        <f t="shared" si="10"/>
        <v>-7</v>
      </c>
      <c r="U38">
        <f t="shared" si="10"/>
        <v>7</v>
      </c>
      <c r="V38">
        <f t="shared" si="9"/>
        <v>7</v>
      </c>
      <c r="W38">
        <f t="shared" si="9"/>
        <v>0</v>
      </c>
    </row>
    <row r="39" spans="1:23" x14ac:dyDescent="0.3">
      <c r="A39" t="s">
        <v>159</v>
      </c>
      <c r="D39">
        <v>1</v>
      </c>
      <c r="E39" t="s">
        <v>163</v>
      </c>
      <c r="K39">
        <f t="shared" si="5"/>
        <v>0</v>
      </c>
      <c r="L39" s="25" t="str">
        <f t="shared" ref="L39:L46" si="13">IF(S38&gt;0,RIGHT(L38,7)&amp;LEFT(Q38,1),L38)</f>
        <v>00000001</v>
      </c>
      <c r="O39" t="str">
        <f t="shared" si="7"/>
        <v>10000000</v>
      </c>
      <c r="Q39" s="19" t="str">
        <f t="shared" ref="Q39:Q46" si="14">IF(S38&gt;0,RIGHT(Q38,7)&amp;"0",Q38)</f>
        <v>00000000</v>
      </c>
      <c r="R39">
        <f t="shared" ref="R39:S54" si="15">R38</f>
        <v>0</v>
      </c>
      <c r="S39" s="17">
        <f t="shared" ref="S39:S46" si="16">IF(S38&gt;0,S38-1,S38)</f>
        <v>7</v>
      </c>
      <c r="T39">
        <f t="shared" si="10"/>
        <v>-7</v>
      </c>
      <c r="U39">
        <f t="shared" si="10"/>
        <v>7</v>
      </c>
      <c r="V39">
        <f t="shared" si="9"/>
        <v>7</v>
      </c>
      <c r="W39">
        <f t="shared" si="9"/>
        <v>0</v>
      </c>
    </row>
    <row r="40" spans="1:23" x14ac:dyDescent="0.3">
      <c r="A40" t="s">
        <v>159</v>
      </c>
      <c r="D40">
        <v>2</v>
      </c>
      <c r="K40">
        <f t="shared" ref="K40:K47" si="17">K39</f>
        <v>0</v>
      </c>
      <c r="L40" s="25" t="str">
        <f t="shared" si="13"/>
        <v>00000010</v>
      </c>
      <c r="O40" t="str">
        <f t="shared" si="7"/>
        <v>10000000</v>
      </c>
      <c r="Q40" s="19" t="str">
        <f t="shared" si="14"/>
        <v>00000000</v>
      </c>
      <c r="R40">
        <f t="shared" si="15"/>
        <v>0</v>
      </c>
      <c r="S40" s="17">
        <f t="shared" si="16"/>
        <v>6</v>
      </c>
      <c r="T40">
        <f t="shared" si="10"/>
        <v>-7</v>
      </c>
      <c r="U40">
        <f t="shared" si="10"/>
        <v>7</v>
      </c>
      <c r="V40">
        <f>V39</f>
        <v>7</v>
      </c>
      <c r="W40">
        <f>W39</f>
        <v>0</v>
      </c>
    </row>
    <row r="41" spans="1:23" x14ac:dyDescent="0.3">
      <c r="A41" t="s">
        <v>159</v>
      </c>
      <c r="D41">
        <v>3</v>
      </c>
      <c r="K41">
        <f t="shared" si="17"/>
        <v>0</v>
      </c>
      <c r="L41" s="25" t="str">
        <f t="shared" si="13"/>
        <v>00000100</v>
      </c>
      <c r="O41" t="str">
        <f t="shared" si="7"/>
        <v>10000000</v>
      </c>
      <c r="Q41" s="19" t="str">
        <f t="shared" si="14"/>
        <v>00000000</v>
      </c>
      <c r="R41">
        <f t="shared" si="15"/>
        <v>0</v>
      </c>
      <c r="S41" s="17">
        <f t="shared" si="16"/>
        <v>5</v>
      </c>
      <c r="T41">
        <f t="shared" si="10"/>
        <v>-7</v>
      </c>
      <c r="U41">
        <f t="shared" si="10"/>
        <v>7</v>
      </c>
      <c r="V41">
        <f t="shared" si="10"/>
        <v>7</v>
      </c>
      <c r="W41">
        <f t="shared" si="10"/>
        <v>0</v>
      </c>
    </row>
    <row r="42" spans="1:23" x14ac:dyDescent="0.3">
      <c r="A42" t="s">
        <v>159</v>
      </c>
      <c r="D42">
        <v>4</v>
      </c>
      <c r="K42">
        <f t="shared" si="17"/>
        <v>0</v>
      </c>
      <c r="L42" s="25" t="str">
        <f t="shared" si="13"/>
        <v>00001000</v>
      </c>
      <c r="O42" t="str">
        <f t="shared" si="7"/>
        <v>10000000</v>
      </c>
      <c r="Q42" s="19" t="str">
        <f t="shared" si="14"/>
        <v>00000000</v>
      </c>
      <c r="R42">
        <f t="shared" si="15"/>
        <v>0</v>
      </c>
      <c r="S42" s="17">
        <f t="shared" si="16"/>
        <v>4</v>
      </c>
      <c r="T42">
        <f t="shared" si="10"/>
        <v>-7</v>
      </c>
      <c r="U42">
        <f t="shared" si="10"/>
        <v>7</v>
      </c>
      <c r="V42">
        <f t="shared" si="10"/>
        <v>7</v>
      </c>
      <c r="W42">
        <f t="shared" si="10"/>
        <v>0</v>
      </c>
    </row>
    <row r="43" spans="1:23" x14ac:dyDescent="0.3">
      <c r="A43" t="s">
        <v>159</v>
      </c>
      <c r="D43">
        <v>5</v>
      </c>
      <c r="K43">
        <f t="shared" si="17"/>
        <v>0</v>
      </c>
      <c r="L43" s="25" t="str">
        <f t="shared" si="13"/>
        <v>00010000</v>
      </c>
      <c r="O43" t="str">
        <f t="shared" si="7"/>
        <v>10000000</v>
      </c>
      <c r="Q43" s="19" t="str">
        <f t="shared" si="14"/>
        <v>00000000</v>
      </c>
      <c r="R43">
        <f t="shared" si="15"/>
        <v>0</v>
      </c>
      <c r="S43" s="17">
        <f t="shared" si="16"/>
        <v>3</v>
      </c>
      <c r="T43">
        <f t="shared" si="10"/>
        <v>-7</v>
      </c>
      <c r="U43">
        <f t="shared" si="10"/>
        <v>7</v>
      </c>
      <c r="V43">
        <f t="shared" si="10"/>
        <v>7</v>
      </c>
      <c r="W43">
        <f t="shared" si="10"/>
        <v>0</v>
      </c>
    </row>
    <row r="44" spans="1:23" x14ac:dyDescent="0.3">
      <c r="A44" t="s">
        <v>159</v>
      </c>
      <c r="D44">
        <v>6</v>
      </c>
      <c r="K44">
        <f t="shared" si="17"/>
        <v>0</v>
      </c>
      <c r="L44" s="25" t="str">
        <f t="shared" si="13"/>
        <v>00100000</v>
      </c>
      <c r="O44" t="str">
        <f t="shared" si="7"/>
        <v>10000000</v>
      </c>
      <c r="Q44" s="19" t="str">
        <f t="shared" si="14"/>
        <v>00000000</v>
      </c>
      <c r="R44">
        <f t="shared" si="15"/>
        <v>0</v>
      </c>
      <c r="S44" s="17">
        <f t="shared" si="16"/>
        <v>2</v>
      </c>
      <c r="T44">
        <f t="shared" si="10"/>
        <v>-7</v>
      </c>
      <c r="U44">
        <f t="shared" si="10"/>
        <v>7</v>
      </c>
      <c r="V44">
        <f t="shared" si="10"/>
        <v>7</v>
      </c>
      <c r="W44">
        <f t="shared" si="10"/>
        <v>0</v>
      </c>
    </row>
    <row r="45" spans="1:23" x14ac:dyDescent="0.3">
      <c r="A45" t="s">
        <v>159</v>
      </c>
      <c r="D45">
        <v>7</v>
      </c>
      <c r="K45">
        <f t="shared" si="17"/>
        <v>0</v>
      </c>
      <c r="L45" s="25" t="str">
        <f t="shared" si="13"/>
        <v>01000000</v>
      </c>
      <c r="O45" t="str">
        <f t="shared" si="7"/>
        <v>10000000</v>
      </c>
      <c r="Q45" s="19" t="str">
        <f t="shared" si="14"/>
        <v>00000000</v>
      </c>
      <c r="R45">
        <f t="shared" si="15"/>
        <v>0</v>
      </c>
      <c r="S45" s="17">
        <f t="shared" si="16"/>
        <v>1</v>
      </c>
      <c r="T45">
        <f t="shared" si="10"/>
        <v>-7</v>
      </c>
      <c r="U45">
        <f t="shared" si="10"/>
        <v>7</v>
      </c>
      <c r="V45">
        <f t="shared" si="10"/>
        <v>7</v>
      </c>
      <c r="W45">
        <f t="shared" si="10"/>
        <v>0</v>
      </c>
    </row>
    <row r="46" spans="1:23" x14ac:dyDescent="0.3">
      <c r="A46" t="s">
        <v>159</v>
      </c>
      <c r="D46">
        <v>8</v>
      </c>
      <c r="K46">
        <f t="shared" si="17"/>
        <v>0</v>
      </c>
      <c r="L46" s="25" t="str">
        <f t="shared" si="13"/>
        <v>10000000</v>
      </c>
      <c r="O46" t="str">
        <f t="shared" si="7"/>
        <v>10000000</v>
      </c>
      <c r="Q46" s="19" t="str">
        <f t="shared" si="14"/>
        <v>00000000</v>
      </c>
      <c r="R46">
        <f t="shared" si="15"/>
        <v>0</v>
      </c>
      <c r="S46" s="17">
        <f t="shared" si="16"/>
        <v>0</v>
      </c>
      <c r="T46">
        <f t="shared" si="10"/>
        <v>-7</v>
      </c>
      <c r="U46">
        <f t="shared" si="10"/>
        <v>7</v>
      </c>
      <c r="V46">
        <f t="shared" si="10"/>
        <v>7</v>
      </c>
      <c r="W46">
        <f t="shared" si="10"/>
        <v>0</v>
      </c>
    </row>
    <row r="47" spans="1:23" x14ac:dyDescent="0.3">
      <c r="K47">
        <f t="shared" si="17"/>
        <v>0</v>
      </c>
      <c r="L47" s="24" t="str">
        <f>L46</f>
        <v>10000000</v>
      </c>
      <c r="O47" t="str">
        <f t="shared" si="7"/>
        <v>10000000</v>
      </c>
      <c r="Q47" s="13" t="str">
        <f>Q46</f>
        <v>00000000</v>
      </c>
      <c r="R47">
        <f t="shared" si="15"/>
        <v>0</v>
      </c>
      <c r="S47">
        <f>S46</f>
        <v>0</v>
      </c>
      <c r="T47">
        <f t="shared" ref="T47:W62" si="18">T46</f>
        <v>-7</v>
      </c>
      <c r="U47">
        <f t="shared" si="18"/>
        <v>7</v>
      </c>
      <c r="V47">
        <f t="shared" si="18"/>
        <v>7</v>
      </c>
      <c r="W47">
        <f t="shared" si="18"/>
        <v>0</v>
      </c>
    </row>
    <row r="48" spans="1:23" x14ac:dyDescent="0.3">
      <c r="Q48" s="13"/>
    </row>
    <row r="49" spans="1:23" x14ac:dyDescent="0.3">
      <c r="A49" s="41" t="s">
        <v>170</v>
      </c>
      <c r="E49" s="41" t="s">
        <v>175</v>
      </c>
      <c r="K49" s="17">
        <f>LEFT(L47,1)*1</f>
        <v>1</v>
      </c>
      <c r="L49" s="24" t="str">
        <f>L47</f>
        <v>10000000</v>
      </c>
      <c r="O49" t="str">
        <f>O47</f>
        <v>10000000</v>
      </c>
      <c r="Q49" s="13" t="str">
        <f t="shared" ref="Q49:W49" si="19">Q47</f>
        <v>00000000</v>
      </c>
      <c r="R49">
        <f t="shared" si="19"/>
        <v>0</v>
      </c>
      <c r="S49">
        <f t="shared" si="19"/>
        <v>0</v>
      </c>
      <c r="T49">
        <f t="shared" si="19"/>
        <v>-7</v>
      </c>
      <c r="U49">
        <f t="shared" si="19"/>
        <v>7</v>
      </c>
      <c r="V49">
        <f t="shared" si="19"/>
        <v>7</v>
      </c>
      <c r="W49">
        <f t="shared" si="19"/>
        <v>0</v>
      </c>
    </row>
    <row r="50" spans="1:23" x14ac:dyDescent="0.3">
      <c r="K50">
        <f>K49</f>
        <v>1</v>
      </c>
      <c r="L50" s="25" t="str">
        <f>IF(K49&gt;0,"0"&amp;LEFT(L49,7),L49)</f>
        <v>01000000</v>
      </c>
      <c r="O50" s="17" t="str">
        <f>IF(K49&gt;0,"0"&amp;LEFT(O49,7),O49)</f>
        <v>01000000</v>
      </c>
      <c r="Q50" s="13" t="str">
        <f>Q49</f>
        <v>00000000</v>
      </c>
      <c r="R50">
        <f>R49</f>
        <v>0</v>
      </c>
      <c r="S50">
        <f>S49</f>
        <v>0</v>
      </c>
      <c r="T50">
        <f t="shared" si="18"/>
        <v>-7</v>
      </c>
      <c r="U50">
        <f t="shared" si="18"/>
        <v>7</v>
      </c>
      <c r="V50">
        <f t="shared" si="18"/>
        <v>7</v>
      </c>
      <c r="W50">
        <f t="shared" si="18"/>
        <v>0</v>
      </c>
    </row>
    <row r="51" spans="1:23" x14ac:dyDescent="0.3">
      <c r="A51" t="s">
        <v>21</v>
      </c>
      <c r="E51" t="s">
        <v>164</v>
      </c>
      <c r="K51">
        <f t="shared" ref="K51:K63" si="20">K50</f>
        <v>1</v>
      </c>
      <c r="L51" s="25">
        <f>L50-O50</f>
        <v>0</v>
      </c>
      <c r="O51" t="str">
        <f>O50</f>
        <v>01000000</v>
      </c>
      <c r="Q51" s="13" t="str">
        <f>Q50</f>
        <v>00000000</v>
      </c>
      <c r="R51">
        <f t="shared" si="15"/>
        <v>0</v>
      </c>
      <c r="S51">
        <f t="shared" si="15"/>
        <v>0</v>
      </c>
      <c r="T51">
        <f t="shared" si="18"/>
        <v>-7</v>
      </c>
      <c r="U51">
        <f t="shared" si="18"/>
        <v>7</v>
      </c>
      <c r="V51">
        <f t="shared" si="18"/>
        <v>7</v>
      </c>
      <c r="W51">
        <f t="shared" si="18"/>
        <v>0</v>
      </c>
    </row>
    <row r="52" spans="1:23" x14ac:dyDescent="0.3">
      <c r="A52" t="s">
        <v>166</v>
      </c>
      <c r="K52">
        <f t="shared" si="20"/>
        <v>1</v>
      </c>
      <c r="L52" s="25">
        <f>IF(L51&lt;0,L51+O51,L51)</f>
        <v>0</v>
      </c>
      <c r="O52" t="str">
        <f t="shared" ref="O52:O60" si="21">O51</f>
        <v>01000000</v>
      </c>
      <c r="Q52" s="13" t="str">
        <f>Q51</f>
        <v>00000000</v>
      </c>
      <c r="R52">
        <f t="shared" si="15"/>
        <v>0</v>
      </c>
      <c r="S52">
        <f t="shared" si="15"/>
        <v>0</v>
      </c>
      <c r="T52">
        <f t="shared" si="18"/>
        <v>-7</v>
      </c>
      <c r="U52">
        <f t="shared" si="18"/>
        <v>7</v>
      </c>
      <c r="V52">
        <f t="shared" si="18"/>
        <v>7</v>
      </c>
      <c r="W52">
        <f t="shared" si="18"/>
        <v>0</v>
      </c>
    </row>
    <row r="53" spans="1:23" x14ac:dyDescent="0.3">
      <c r="B53" t="s">
        <v>167</v>
      </c>
      <c r="K53">
        <f>K52</f>
        <v>1</v>
      </c>
      <c r="L53" s="25">
        <f>IF(L51&lt;0,RIGHT(L52,7)&amp;LEFT(Q52,1),L52)</f>
        <v>0</v>
      </c>
      <c r="O53" t="str">
        <f t="shared" si="21"/>
        <v>01000000</v>
      </c>
      <c r="Q53" s="19" t="str">
        <f>IF(L51&lt;0,RIGHT(Q52,7)&amp;"0",Q52)</f>
        <v>00000000</v>
      </c>
      <c r="R53">
        <f t="shared" si="15"/>
        <v>0</v>
      </c>
      <c r="S53">
        <f>S52</f>
        <v>0</v>
      </c>
      <c r="T53" s="17">
        <f>IF(L51&lt;0,T52-1,T52)</f>
        <v>-7</v>
      </c>
      <c r="U53">
        <f t="shared" si="18"/>
        <v>7</v>
      </c>
      <c r="V53">
        <f t="shared" si="18"/>
        <v>7</v>
      </c>
      <c r="W53">
        <f t="shared" si="18"/>
        <v>0</v>
      </c>
    </row>
    <row r="54" spans="1:23" x14ac:dyDescent="0.3">
      <c r="A54" t="s">
        <v>160</v>
      </c>
      <c r="B54" t="s">
        <v>16</v>
      </c>
      <c r="E54" t="s">
        <v>168</v>
      </c>
      <c r="K54">
        <f>K53</f>
        <v>1</v>
      </c>
      <c r="L54" s="25">
        <f>IF(L51&lt;0,L53,L51+O51)</f>
        <v>1000000</v>
      </c>
      <c r="O54" t="str">
        <f t="shared" si="21"/>
        <v>01000000</v>
      </c>
      <c r="Q54" s="13" t="str">
        <f t="shared" ref="Q54:W69" si="22">Q53</f>
        <v>00000000</v>
      </c>
      <c r="R54">
        <f t="shared" si="15"/>
        <v>0</v>
      </c>
      <c r="S54">
        <f>S53</f>
        <v>0</v>
      </c>
      <c r="T54">
        <f>T53</f>
        <v>-7</v>
      </c>
      <c r="U54">
        <f t="shared" si="18"/>
        <v>7</v>
      </c>
      <c r="V54">
        <f t="shared" si="18"/>
        <v>7</v>
      </c>
      <c r="W54">
        <f t="shared" si="18"/>
        <v>0</v>
      </c>
    </row>
    <row r="55" spans="1:23" x14ac:dyDescent="0.3">
      <c r="K55">
        <f>K54</f>
        <v>1</v>
      </c>
      <c r="L55" s="24" t="str">
        <f>REPT("0",8-LEN(L54))&amp;L54</f>
        <v>01000000</v>
      </c>
      <c r="O55" t="str">
        <f t="shared" si="21"/>
        <v>01000000</v>
      </c>
      <c r="Q55" s="13" t="str">
        <f t="shared" si="22"/>
        <v>00000000</v>
      </c>
      <c r="R55">
        <f t="shared" si="22"/>
        <v>0</v>
      </c>
      <c r="S55">
        <f>S54</f>
        <v>0</v>
      </c>
      <c r="T55">
        <f>T54</f>
        <v>-7</v>
      </c>
      <c r="U55">
        <f>U54</f>
        <v>7</v>
      </c>
      <c r="V55">
        <f>V54</f>
        <v>7</v>
      </c>
      <c r="W55">
        <f>W54</f>
        <v>0</v>
      </c>
    </row>
    <row r="56" spans="1:23" x14ac:dyDescent="0.3">
      <c r="A56" s="41"/>
      <c r="E56" s="41"/>
      <c r="K56">
        <f>K55</f>
        <v>1</v>
      </c>
      <c r="L56" s="24" t="str">
        <f t="shared" ref="L56:L68" si="23">L55</f>
        <v>01000000</v>
      </c>
      <c r="O56" t="str">
        <f t="shared" si="21"/>
        <v>01000000</v>
      </c>
      <c r="Q56" s="13" t="str">
        <f t="shared" si="22"/>
        <v>00000000</v>
      </c>
      <c r="R56">
        <f t="shared" si="22"/>
        <v>0</v>
      </c>
      <c r="S56">
        <f t="shared" si="22"/>
        <v>0</v>
      </c>
      <c r="T56">
        <f t="shared" si="18"/>
        <v>-7</v>
      </c>
      <c r="U56">
        <f t="shared" si="18"/>
        <v>7</v>
      </c>
      <c r="V56">
        <f t="shared" si="18"/>
        <v>7</v>
      </c>
      <c r="W56">
        <f t="shared" si="18"/>
        <v>0</v>
      </c>
    </row>
    <row r="57" spans="1:23" x14ac:dyDescent="0.3">
      <c r="K57">
        <f t="shared" si="20"/>
        <v>1</v>
      </c>
      <c r="L57" s="24" t="str">
        <f>L56</f>
        <v>01000000</v>
      </c>
      <c r="O57" t="str">
        <f t="shared" si="21"/>
        <v>01000000</v>
      </c>
      <c r="Q57" s="13" t="str">
        <f t="shared" si="22"/>
        <v>00000000</v>
      </c>
      <c r="R57">
        <f t="shared" si="22"/>
        <v>0</v>
      </c>
      <c r="S57">
        <f t="shared" si="22"/>
        <v>0</v>
      </c>
      <c r="T57">
        <f>T56</f>
        <v>-7</v>
      </c>
      <c r="U57">
        <f t="shared" si="18"/>
        <v>7</v>
      </c>
      <c r="V57">
        <f t="shared" si="18"/>
        <v>7</v>
      </c>
      <c r="W57">
        <f t="shared" si="18"/>
        <v>0</v>
      </c>
    </row>
    <row r="58" spans="1:23" x14ac:dyDescent="0.3">
      <c r="K58">
        <f>K57</f>
        <v>1</v>
      </c>
      <c r="L58" s="24" t="str">
        <f>REPT("0",8-LEN(L57))&amp;L57</f>
        <v>01000000</v>
      </c>
      <c r="O58" t="str">
        <f t="shared" si="21"/>
        <v>01000000</v>
      </c>
      <c r="Q58" s="13" t="str">
        <f>Q57</f>
        <v>00000000</v>
      </c>
      <c r="R58">
        <f>R57</f>
        <v>0</v>
      </c>
      <c r="S58">
        <f>S57</f>
        <v>0</v>
      </c>
      <c r="T58">
        <f>T57</f>
        <v>-7</v>
      </c>
      <c r="U58">
        <f t="shared" si="18"/>
        <v>7</v>
      </c>
      <c r="V58">
        <f t="shared" si="18"/>
        <v>7</v>
      </c>
      <c r="W58">
        <f t="shared" si="18"/>
        <v>0</v>
      </c>
    </row>
    <row r="59" spans="1:23" x14ac:dyDescent="0.3">
      <c r="K59">
        <f>K58</f>
        <v>1</v>
      </c>
      <c r="L59" s="24" t="str">
        <f>REPT("0",8-LEN(L58))&amp;L58</f>
        <v>01000000</v>
      </c>
      <c r="O59" t="str">
        <f t="shared" si="21"/>
        <v>01000000</v>
      </c>
      <c r="Q59" s="13" t="str">
        <f t="shared" si="22"/>
        <v>00000000</v>
      </c>
      <c r="R59">
        <f t="shared" si="22"/>
        <v>0</v>
      </c>
      <c r="S59">
        <f>S58</f>
        <v>0</v>
      </c>
      <c r="T59">
        <f>T58</f>
        <v>-7</v>
      </c>
      <c r="U59">
        <f t="shared" si="18"/>
        <v>7</v>
      </c>
      <c r="V59">
        <f t="shared" si="18"/>
        <v>7</v>
      </c>
      <c r="W59">
        <f t="shared" si="18"/>
        <v>0</v>
      </c>
    </row>
    <row r="60" spans="1:23" x14ac:dyDescent="0.3">
      <c r="K60">
        <f t="shared" si="20"/>
        <v>1</v>
      </c>
      <c r="L60" s="24" t="str">
        <f t="shared" si="23"/>
        <v>01000000</v>
      </c>
      <c r="O60" t="str">
        <f t="shared" si="21"/>
        <v>01000000</v>
      </c>
      <c r="Q60" s="13" t="str">
        <f t="shared" si="22"/>
        <v>00000000</v>
      </c>
      <c r="R60">
        <f t="shared" si="22"/>
        <v>0</v>
      </c>
      <c r="S60">
        <f t="shared" si="22"/>
        <v>0</v>
      </c>
      <c r="T60">
        <f t="shared" si="18"/>
        <v>-7</v>
      </c>
      <c r="U60">
        <f t="shared" si="18"/>
        <v>7</v>
      </c>
      <c r="V60">
        <f t="shared" si="18"/>
        <v>7</v>
      </c>
      <c r="W60">
        <f t="shared" si="18"/>
        <v>0</v>
      </c>
    </row>
    <row r="61" spans="1:23" x14ac:dyDescent="0.3">
      <c r="K61">
        <f t="shared" si="20"/>
        <v>1</v>
      </c>
      <c r="L61" s="24" t="str">
        <f t="shared" si="23"/>
        <v>01000000</v>
      </c>
      <c r="O61" t="str">
        <f t="shared" ref="O61:O68" si="24">O60</f>
        <v>01000000</v>
      </c>
      <c r="Q61" s="13" t="str">
        <f t="shared" si="22"/>
        <v>00000000</v>
      </c>
      <c r="R61">
        <f t="shared" si="22"/>
        <v>0</v>
      </c>
      <c r="S61">
        <f t="shared" si="22"/>
        <v>0</v>
      </c>
      <c r="T61">
        <f t="shared" si="18"/>
        <v>-7</v>
      </c>
      <c r="U61">
        <f t="shared" si="18"/>
        <v>7</v>
      </c>
      <c r="V61">
        <f t="shared" si="18"/>
        <v>7</v>
      </c>
      <c r="W61">
        <f t="shared" si="18"/>
        <v>0</v>
      </c>
    </row>
    <row r="62" spans="1:23" x14ac:dyDescent="0.3">
      <c r="K62">
        <f t="shared" si="20"/>
        <v>1</v>
      </c>
      <c r="L62" s="24" t="str">
        <f t="shared" si="23"/>
        <v>01000000</v>
      </c>
      <c r="O62" t="str">
        <f t="shared" si="24"/>
        <v>01000000</v>
      </c>
      <c r="Q62" s="13" t="str">
        <f t="shared" si="22"/>
        <v>00000000</v>
      </c>
      <c r="R62">
        <f t="shared" si="22"/>
        <v>0</v>
      </c>
      <c r="S62">
        <f t="shared" si="22"/>
        <v>0</v>
      </c>
      <c r="T62">
        <f t="shared" si="18"/>
        <v>-7</v>
      </c>
      <c r="U62">
        <f t="shared" si="18"/>
        <v>7</v>
      </c>
      <c r="V62">
        <f t="shared" si="18"/>
        <v>7</v>
      </c>
      <c r="W62">
        <f t="shared" si="18"/>
        <v>0</v>
      </c>
    </row>
    <row r="63" spans="1:23" x14ac:dyDescent="0.3">
      <c r="K63">
        <f t="shared" si="20"/>
        <v>1</v>
      </c>
      <c r="L63" s="24" t="str">
        <f t="shared" si="23"/>
        <v>01000000</v>
      </c>
      <c r="O63" t="str">
        <f t="shared" si="24"/>
        <v>01000000</v>
      </c>
      <c r="Q63" s="13" t="str">
        <f t="shared" si="22"/>
        <v>00000000</v>
      </c>
      <c r="R63">
        <f t="shared" si="22"/>
        <v>0</v>
      </c>
      <c r="S63">
        <f t="shared" si="22"/>
        <v>0</v>
      </c>
      <c r="T63">
        <f t="shared" si="22"/>
        <v>-7</v>
      </c>
      <c r="U63">
        <f t="shared" si="22"/>
        <v>7</v>
      </c>
      <c r="V63">
        <f t="shared" si="22"/>
        <v>7</v>
      </c>
      <c r="W63">
        <f t="shared" si="22"/>
        <v>0</v>
      </c>
    </row>
    <row r="64" spans="1:23" x14ac:dyDescent="0.3">
      <c r="K64">
        <f>K63</f>
        <v>1</v>
      </c>
      <c r="L64" s="24" t="str">
        <f t="shared" si="23"/>
        <v>01000000</v>
      </c>
      <c r="O64" t="str">
        <f t="shared" si="24"/>
        <v>01000000</v>
      </c>
      <c r="Q64" s="13" t="str">
        <f t="shared" si="22"/>
        <v>00000000</v>
      </c>
      <c r="R64">
        <f t="shared" si="22"/>
        <v>0</v>
      </c>
      <c r="S64">
        <f t="shared" si="22"/>
        <v>0</v>
      </c>
      <c r="T64">
        <f t="shared" si="22"/>
        <v>-7</v>
      </c>
      <c r="U64">
        <f t="shared" si="22"/>
        <v>7</v>
      </c>
      <c r="V64">
        <f t="shared" si="22"/>
        <v>7</v>
      </c>
      <c r="W64">
        <f t="shared" si="22"/>
        <v>0</v>
      </c>
    </row>
    <row r="65" spans="1:24" x14ac:dyDescent="0.3">
      <c r="K65">
        <f>K64</f>
        <v>1</v>
      </c>
      <c r="L65" s="24" t="str">
        <f t="shared" si="23"/>
        <v>01000000</v>
      </c>
      <c r="O65" t="str">
        <f t="shared" si="24"/>
        <v>01000000</v>
      </c>
      <c r="Q65" s="13" t="str">
        <f t="shared" si="22"/>
        <v>00000000</v>
      </c>
      <c r="R65">
        <f t="shared" si="22"/>
        <v>0</v>
      </c>
      <c r="S65">
        <f t="shared" si="22"/>
        <v>0</v>
      </c>
      <c r="T65">
        <f t="shared" si="22"/>
        <v>-7</v>
      </c>
      <c r="U65">
        <f t="shared" si="22"/>
        <v>7</v>
      </c>
      <c r="V65">
        <f t="shared" si="22"/>
        <v>7</v>
      </c>
      <c r="W65">
        <f t="shared" si="22"/>
        <v>0</v>
      </c>
      <c r="X65" s="21"/>
    </row>
    <row r="66" spans="1:24" x14ac:dyDescent="0.3">
      <c r="A66" s="41"/>
      <c r="K66">
        <f>K65</f>
        <v>1</v>
      </c>
      <c r="L66" s="24" t="str">
        <f t="shared" si="23"/>
        <v>01000000</v>
      </c>
      <c r="O66" t="str">
        <f t="shared" si="24"/>
        <v>01000000</v>
      </c>
      <c r="Q66" s="13" t="str">
        <f t="shared" si="22"/>
        <v>00000000</v>
      </c>
      <c r="R66">
        <f t="shared" si="22"/>
        <v>0</v>
      </c>
      <c r="S66">
        <f t="shared" si="22"/>
        <v>0</v>
      </c>
      <c r="T66">
        <f t="shared" si="22"/>
        <v>-7</v>
      </c>
      <c r="U66">
        <f t="shared" si="22"/>
        <v>7</v>
      </c>
      <c r="V66">
        <f t="shared" si="22"/>
        <v>7</v>
      </c>
      <c r="W66">
        <f t="shared" si="22"/>
        <v>0</v>
      </c>
      <c r="X66" s="21"/>
    </row>
    <row r="67" spans="1:24" x14ac:dyDescent="0.3">
      <c r="A67" s="41"/>
      <c r="B67" s="21"/>
      <c r="C67" s="21"/>
      <c r="D67" s="41"/>
      <c r="E67" s="21"/>
      <c r="K67">
        <f>K66</f>
        <v>1</v>
      </c>
      <c r="L67" s="24" t="str">
        <f t="shared" si="23"/>
        <v>01000000</v>
      </c>
      <c r="O67" t="str">
        <f t="shared" si="24"/>
        <v>01000000</v>
      </c>
      <c r="Q67" s="13" t="str">
        <f t="shared" si="22"/>
        <v>00000000</v>
      </c>
      <c r="R67">
        <f t="shared" si="22"/>
        <v>0</v>
      </c>
      <c r="S67">
        <f t="shared" si="22"/>
        <v>0</v>
      </c>
      <c r="T67">
        <f t="shared" si="22"/>
        <v>-7</v>
      </c>
      <c r="U67">
        <f t="shared" si="22"/>
        <v>7</v>
      </c>
      <c r="V67">
        <f t="shared" si="22"/>
        <v>7</v>
      </c>
      <c r="W67">
        <f t="shared" si="22"/>
        <v>0</v>
      </c>
      <c r="X67" s="21"/>
    </row>
    <row r="68" spans="1:24" x14ac:dyDescent="0.3">
      <c r="A68" s="41"/>
      <c r="B68" s="21"/>
      <c r="C68" s="21"/>
      <c r="D68" s="41"/>
      <c r="E68" s="21"/>
      <c r="K68">
        <f>K67</f>
        <v>1</v>
      </c>
      <c r="L68" s="24" t="str">
        <f t="shared" si="23"/>
        <v>01000000</v>
      </c>
      <c r="O68" t="str">
        <f t="shared" si="24"/>
        <v>01000000</v>
      </c>
      <c r="Q68" s="13" t="str">
        <f t="shared" si="22"/>
        <v>00000000</v>
      </c>
      <c r="R68">
        <f t="shared" si="22"/>
        <v>0</v>
      </c>
      <c r="S68">
        <f t="shared" si="22"/>
        <v>0</v>
      </c>
      <c r="T68">
        <f t="shared" si="22"/>
        <v>-7</v>
      </c>
      <c r="U68">
        <f t="shared" si="22"/>
        <v>7</v>
      </c>
      <c r="V68">
        <f t="shared" si="22"/>
        <v>7</v>
      </c>
      <c r="W68">
        <f t="shared" si="22"/>
        <v>0</v>
      </c>
      <c r="X68" s="21"/>
    </row>
    <row r="69" spans="1:24" x14ac:dyDescent="0.3">
      <c r="A69" s="6" t="s">
        <v>21</v>
      </c>
      <c r="B69" s="7"/>
      <c r="C69" s="7" t="s">
        <v>96</v>
      </c>
      <c r="D69" s="7">
        <v>1</v>
      </c>
      <c r="E69" s="7"/>
      <c r="F69" s="7"/>
      <c r="G69" s="7"/>
      <c r="H69" s="7" t="str">
        <f>IF(LEN(ABS(L69))&gt;8,LEN(ABS(L69)),"-")</f>
        <v>-</v>
      </c>
      <c r="I69" s="7"/>
      <c r="J69" s="7"/>
      <c r="K69" s="7">
        <f>K67</f>
        <v>1</v>
      </c>
      <c r="L69" s="52">
        <f>L68-O68</f>
        <v>0</v>
      </c>
      <c r="M69" s="7"/>
      <c r="N69" s="7"/>
      <c r="O69" s="7" t="str">
        <f>O68</f>
        <v>01000000</v>
      </c>
      <c r="P69" s="7"/>
      <c r="Q69" s="15" t="str">
        <f t="shared" si="22"/>
        <v>00000000</v>
      </c>
      <c r="R69" s="7">
        <f t="shared" si="22"/>
        <v>0</v>
      </c>
      <c r="S69" s="7">
        <f t="shared" si="22"/>
        <v>0</v>
      </c>
      <c r="T69" s="7">
        <f t="shared" si="22"/>
        <v>-7</v>
      </c>
      <c r="U69" s="7">
        <f t="shared" si="22"/>
        <v>7</v>
      </c>
      <c r="V69" s="8">
        <f t="shared" si="22"/>
        <v>7</v>
      </c>
      <c r="X69" s="21"/>
    </row>
    <row r="70" spans="1:24" x14ac:dyDescent="0.3">
      <c r="A70" s="9" t="s">
        <v>97</v>
      </c>
      <c r="H70" t="str">
        <f t="shared" ref="H70:H90" si="25">IF(LEN(ABS(L70))&gt;8,LEN(ABS(L70)),"-")</f>
        <v>-</v>
      </c>
      <c r="K70">
        <f>IF(LEN(ABS(L69))&gt;8,LEFT(ABS(L69),1),K69)</f>
        <v>1</v>
      </c>
      <c r="L70" s="24">
        <f>L69</f>
        <v>0</v>
      </c>
      <c r="O70" t="str">
        <f t="shared" ref="O70:O89" si="26">O69</f>
        <v>01000000</v>
      </c>
      <c r="Q70" s="13" t="str">
        <f t="shared" ref="Q70:V85" si="27">Q69</f>
        <v>00000000</v>
      </c>
      <c r="R70">
        <f>IF(L69&gt;=0,R69+1,R69)</f>
        <v>1</v>
      </c>
      <c r="S70">
        <f t="shared" si="27"/>
        <v>0</v>
      </c>
      <c r="T70">
        <f t="shared" si="27"/>
        <v>-7</v>
      </c>
      <c r="U70">
        <f t="shared" si="27"/>
        <v>7</v>
      </c>
      <c r="V70" s="10">
        <f t="shared" si="27"/>
        <v>7</v>
      </c>
      <c r="X70" s="21"/>
    </row>
    <row r="71" spans="1:24" x14ac:dyDescent="0.3">
      <c r="A71" s="9" t="s">
        <v>21</v>
      </c>
      <c r="D71">
        <v>2</v>
      </c>
      <c r="H71" t="str">
        <f t="shared" si="25"/>
        <v>-</v>
      </c>
      <c r="K71">
        <f>K70</f>
        <v>1</v>
      </c>
      <c r="L71" s="24">
        <f>IF(L70&gt;=0,L70-O70,L70)</f>
        <v>-1000000</v>
      </c>
      <c r="O71" t="str">
        <f t="shared" si="26"/>
        <v>01000000</v>
      </c>
      <c r="Q71" s="13" t="str">
        <f t="shared" si="27"/>
        <v>00000000</v>
      </c>
      <c r="R71">
        <f t="shared" si="27"/>
        <v>1</v>
      </c>
      <c r="S71">
        <f t="shared" si="27"/>
        <v>0</v>
      </c>
      <c r="T71">
        <f t="shared" si="27"/>
        <v>-7</v>
      </c>
      <c r="U71">
        <f t="shared" si="27"/>
        <v>7</v>
      </c>
      <c r="V71" s="10">
        <f t="shared" si="27"/>
        <v>7</v>
      </c>
      <c r="X71" s="21"/>
    </row>
    <row r="72" spans="1:24" x14ac:dyDescent="0.3">
      <c r="A72" s="9" t="s">
        <v>97</v>
      </c>
      <c r="H72" t="str">
        <f t="shared" si="25"/>
        <v>-</v>
      </c>
      <c r="K72">
        <f>IF(LEN(ABS(L71))&gt;8,LEFT(ABS(L71),1),K71)</f>
        <v>1</v>
      </c>
      <c r="L72" s="24">
        <f>IF(L71&gt;0,RIGHT(L71,8)*1,L71)</f>
        <v>-1000000</v>
      </c>
      <c r="O72" t="str">
        <f t="shared" si="26"/>
        <v>01000000</v>
      </c>
      <c r="Q72" s="13" t="str">
        <f t="shared" si="27"/>
        <v>00000000</v>
      </c>
      <c r="R72">
        <f>IF(L71&gt;=0,R71+1,R71)</f>
        <v>1</v>
      </c>
      <c r="S72">
        <f t="shared" si="27"/>
        <v>0</v>
      </c>
      <c r="T72">
        <f t="shared" si="27"/>
        <v>-7</v>
      </c>
      <c r="U72">
        <f t="shared" si="27"/>
        <v>7</v>
      </c>
      <c r="V72" s="10">
        <f t="shared" si="27"/>
        <v>7</v>
      </c>
      <c r="X72" s="21"/>
    </row>
    <row r="73" spans="1:24" x14ac:dyDescent="0.3">
      <c r="A73" s="9" t="s">
        <v>21</v>
      </c>
      <c r="D73">
        <v>3</v>
      </c>
      <c r="H73" t="str">
        <f t="shared" si="25"/>
        <v>-</v>
      </c>
      <c r="K73">
        <f>K72</f>
        <v>1</v>
      </c>
      <c r="L73" s="24">
        <f>IF(L72&gt;=0,L72-O72,L72)</f>
        <v>-1000000</v>
      </c>
      <c r="O73" t="str">
        <f t="shared" si="26"/>
        <v>01000000</v>
      </c>
      <c r="Q73" s="13" t="str">
        <f t="shared" si="27"/>
        <v>00000000</v>
      </c>
      <c r="R73">
        <f t="shared" si="27"/>
        <v>1</v>
      </c>
      <c r="S73">
        <f t="shared" si="27"/>
        <v>0</v>
      </c>
      <c r="T73">
        <f t="shared" si="27"/>
        <v>-7</v>
      </c>
      <c r="U73">
        <f t="shared" si="27"/>
        <v>7</v>
      </c>
      <c r="V73" s="10">
        <f t="shared" si="27"/>
        <v>7</v>
      </c>
      <c r="X73" s="21"/>
    </row>
    <row r="74" spans="1:24" x14ac:dyDescent="0.3">
      <c r="A74" s="9" t="s">
        <v>97</v>
      </c>
      <c r="H74" t="str">
        <f t="shared" si="25"/>
        <v>-</v>
      </c>
      <c r="K74">
        <f>IF(LEN(ABS(L73))&gt;8,LEFT(ABS(L73),1),K73)</f>
        <v>1</v>
      </c>
      <c r="L74" s="24">
        <f>IF(L73&gt;0,RIGHT(L73,8)*1,L73)</f>
        <v>-1000000</v>
      </c>
      <c r="O74" t="str">
        <f t="shared" si="26"/>
        <v>01000000</v>
      </c>
      <c r="Q74" s="13" t="str">
        <f t="shared" si="27"/>
        <v>00000000</v>
      </c>
      <c r="R74">
        <f>IF(L73&gt;=0,R73+1,R73)</f>
        <v>1</v>
      </c>
      <c r="S74">
        <f t="shared" si="27"/>
        <v>0</v>
      </c>
      <c r="T74">
        <f t="shared" si="27"/>
        <v>-7</v>
      </c>
      <c r="U74">
        <f t="shared" si="27"/>
        <v>7</v>
      </c>
      <c r="V74" s="10">
        <f t="shared" si="27"/>
        <v>7</v>
      </c>
      <c r="X74" s="21"/>
    </row>
    <row r="75" spans="1:24" x14ac:dyDescent="0.3">
      <c r="A75" s="9" t="s">
        <v>21</v>
      </c>
      <c r="D75">
        <v>4</v>
      </c>
      <c r="H75" t="str">
        <f t="shared" si="25"/>
        <v>-</v>
      </c>
      <c r="K75">
        <f>K74</f>
        <v>1</v>
      </c>
      <c r="L75" s="24">
        <f>IF(L74&gt;=0,L74-O74,L74)</f>
        <v>-1000000</v>
      </c>
      <c r="O75" t="str">
        <f t="shared" si="26"/>
        <v>01000000</v>
      </c>
      <c r="Q75" s="13" t="str">
        <f t="shared" si="27"/>
        <v>00000000</v>
      </c>
      <c r="R75">
        <f t="shared" si="27"/>
        <v>1</v>
      </c>
      <c r="S75">
        <f t="shared" si="27"/>
        <v>0</v>
      </c>
      <c r="T75">
        <f t="shared" si="27"/>
        <v>-7</v>
      </c>
      <c r="U75">
        <f t="shared" si="27"/>
        <v>7</v>
      </c>
      <c r="V75" s="10">
        <f t="shared" si="27"/>
        <v>7</v>
      </c>
      <c r="X75" s="21"/>
    </row>
    <row r="76" spans="1:24" x14ac:dyDescent="0.3">
      <c r="A76" s="9" t="s">
        <v>97</v>
      </c>
      <c r="H76" t="str">
        <f t="shared" si="25"/>
        <v>-</v>
      </c>
      <c r="K76">
        <f>IF(LEN(ABS(L75))&gt;8,LEFT(ABS(L75),1),K75)</f>
        <v>1</v>
      </c>
      <c r="L76" s="24">
        <f>IF(L75&gt;0,RIGHT(L75,8)*1,L75)</f>
        <v>-1000000</v>
      </c>
      <c r="O76" t="str">
        <f t="shared" si="26"/>
        <v>01000000</v>
      </c>
      <c r="Q76" s="13" t="str">
        <f t="shared" si="27"/>
        <v>00000000</v>
      </c>
      <c r="R76">
        <f>IF(L75&gt;=0,R75+1,R75)</f>
        <v>1</v>
      </c>
      <c r="S76">
        <f t="shared" si="27"/>
        <v>0</v>
      </c>
      <c r="T76">
        <f t="shared" si="27"/>
        <v>-7</v>
      </c>
      <c r="U76">
        <f t="shared" si="27"/>
        <v>7</v>
      </c>
      <c r="V76" s="10">
        <f t="shared" si="27"/>
        <v>7</v>
      </c>
      <c r="X76" s="21"/>
    </row>
    <row r="77" spans="1:24" x14ac:dyDescent="0.3">
      <c r="A77" s="9" t="s">
        <v>21</v>
      </c>
      <c r="D77">
        <v>5</v>
      </c>
      <c r="H77" t="str">
        <f t="shared" si="25"/>
        <v>-</v>
      </c>
      <c r="K77">
        <f>K76</f>
        <v>1</v>
      </c>
      <c r="L77" s="24">
        <f>IF(L76&gt;=0,L76-O76,L76)</f>
        <v>-1000000</v>
      </c>
      <c r="O77" t="str">
        <f t="shared" si="26"/>
        <v>01000000</v>
      </c>
      <c r="Q77" s="13" t="str">
        <f t="shared" si="27"/>
        <v>00000000</v>
      </c>
      <c r="R77">
        <f t="shared" si="27"/>
        <v>1</v>
      </c>
      <c r="S77">
        <f t="shared" si="27"/>
        <v>0</v>
      </c>
      <c r="T77">
        <f t="shared" si="27"/>
        <v>-7</v>
      </c>
      <c r="U77">
        <f t="shared" si="27"/>
        <v>7</v>
      </c>
      <c r="V77" s="10">
        <f t="shared" si="27"/>
        <v>7</v>
      </c>
      <c r="X77" s="21"/>
    </row>
    <row r="78" spans="1:24" x14ac:dyDescent="0.3">
      <c r="A78" s="9" t="s">
        <v>97</v>
      </c>
      <c r="H78" t="str">
        <f t="shared" si="25"/>
        <v>-</v>
      </c>
      <c r="K78">
        <f>IF(LEN(ABS(L77))&gt;8,LEFT(ABS(L77),1),K77)</f>
        <v>1</v>
      </c>
      <c r="L78" s="24">
        <f>IF(L77&gt;0,RIGHT(L77,8)*1,L77)</f>
        <v>-1000000</v>
      </c>
      <c r="O78" t="str">
        <f t="shared" si="26"/>
        <v>01000000</v>
      </c>
      <c r="Q78" s="13" t="str">
        <f t="shared" si="27"/>
        <v>00000000</v>
      </c>
      <c r="R78">
        <f>IF(L77&gt;=0,R77+1,R77)</f>
        <v>1</v>
      </c>
      <c r="S78">
        <f t="shared" si="27"/>
        <v>0</v>
      </c>
      <c r="T78">
        <f t="shared" si="27"/>
        <v>-7</v>
      </c>
      <c r="U78">
        <f t="shared" si="27"/>
        <v>7</v>
      </c>
      <c r="V78" s="10">
        <f t="shared" si="27"/>
        <v>7</v>
      </c>
      <c r="X78" s="21"/>
    </row>
    <row r="79" spans="1:24" x14ac:dyDescent="0.3">
      <c r="A79" s="9" t="s">
        <v>21</v>
      </c>
      <c r="D79">
        <v>6</v>
      </c>
      <c r="H79" t="str">
        <f t="shared" si="25"/>
        <v>-</v>
      </c>
      <c r="K79">
        <f>K78</f>
        <v>1</v>
      </c>
      <c r="L79" s="24">
        <f>IF(L78&gt;=0,L78-O78,L78)</f>
        <v>-1000000</v>
      </c>
      <c r="O79" t="str">
        <f t="shared" si="26"/>
        <v>01000000</v>
      </c>
      <c r="Q79" s="13" t="str">
        <f t="shared" si="27"/>
        <v>00000000</v>
      </c>
      <c r="R79">
        <f t="shared" si="27"/>
        <v>1</v>
      </c>
      <c r="S79">
        <f t="shared" si="27"/>
        <v>0</v>
      </c>
      <c r="T79">
        <f t="shared" si="27"/>
        <v>-7</v>
      </c>
      <c r="U79">
        <f t="shared" si="27"/>
        <v>7</v>
      </c>
      <c r="V79" s="10">
        <f t="shared" si="27"/>
        <v>7</v>
      </c>
      <c r="X79" s="21"/>
    </row>
    <row r="80" spans="1:24" x14ac:dyDescent="0.3">
      <c r="A80" s="9" t="s">
        <v>97</v>
      </c>
      <c r="H80" t="str">
        <f t="shared" si="25"/>
        <v>-</v>
      </c>
      <c r="K80">
        <f>IF(LEN(ABS(L79))&gt;8,LEFT(ABS(L79),1),K79)</f>
        <v>1</v>
      </c>
      <c r="L80" s="24">
        <f>IF(L79&gt;0,RIGHT(L79,8)*1,L79)</f>
        <v>-1000000</v>
      </c>
      <c r="O80" t="str">
        <f t="shared" si="26"/>
        <v>01000000</v>
      </c>
      <c r="Q80" s="13" t="str">
        <f t="shared" si="27"/>
        <v>00000000</v>
      </c>
      <c r="R80">
        <f>IF(L79&gt;=0,R79+1,R79)</f>
        <v>1</v>
      </c>
      <c r="S80">
        <f t="shared" si="27"/>
        <v>0</v>
      </c>
      <c r="T80">
        <f t="shared" si="27"/>
        <v>-7</v>
      </c>
      <c r="U80">
        <f t="shared" si="27"/>
        <v>7</v>
      </c>
      <c r="V80" s="10">
        <f t="shared" si="27"/>
        <v>7</v>
      </c>
      <c r="X80" s="21"/>
    </row>
    <row r="81" spans="1:24" x14ac:dyDescent="0.3">
      <c r="A81" s="9" t="s">
        <v>21</v>
      </c>
      <c r="D81">
        <v>7</v>
      </c>
      <c r="H81" t="str">
        <f t="shared" si="25"/>
        <v>-</v>
      </c>
      <c r="K81">
        <f>K80</f>
        <v>1</v>
      </c>
      <c r="L81" s="24">
        <f>IF(L80&gt;=0,L80-O80,L80)</f>
        <v>-1000000</v>
      </c>
      <c r="O81" t="str">
        <f t="shared" si="26"/>
        <v>01000000</v>
      </c>
      <c r="Q81" s="13" t="str">
        <f t="shared" si="27"/>
        <v>00000000</v>
      </c>
      <c r="R81">
        <f t="shared" si="27"/>
        <v>1</v>
      </c>
      <c r="S81">
        <f t="shared" si="27"/>
        <v>0</v>
      </c>
      <c r="T81">
        <f t="shared" si="27"/>
        <v>-7</v>
      </c>
      <c r="U81">
        <f t="shared" si="27"/>
        <v>7</v>
      </c>
      <c r="V81" s="10">
        <f t="shared" si="27"/>
        <v>7</v>
      </c>
      <c r="X81" s="21"/>
    </row>
    <row r="82" spans="1:24" x14ac:dyDescent="0.3">
      <c r="A82" s="9" t="s">
        <v>97</v>
      </c>
      <c r="H82" t="str">
        <f t="shared" si="25"/>
        <v>-</v>
      </c>
      <c r="K82">
        <f>IF(LEN(ABS(L81))&gt;8,LEFT(ABS(L81),1),K81)</f>
        <v>1</v>
      </c>
      <c r="L82" s="24">
        <f>IF(L81&gt;0,RIGHT(L81,8)*1,L81)</f>
        <v>-1000000</v>
      </c>
      <c r="O82" t="str">
        <f t="shared" si="26"/>
        <v>01000000</v>
      </c>
      <c r="Q82" s="13" t="str">
        <f t="shared" si="27"/>
        <v>00000000</v>
      </c>
      <c r="R82">
        <f>IF(L81&gt;=0,R81+1,R81)</f>
        <v>1</v>
      </c>
      <c r="S82">
        <f t="shared" si="27"/>
        <v>0</v>
      </c>
      <c r="T82">
        <f t="shared" si="27"/>
        <v>-7</v>
      </c>
      <c r="U82">
        <f t="shared" si="27"/>
        <v>7</v>
      </c>
      <c r="V82" s="10">
        <f t="shared" si="27"/>
        <v>7</v>
      </c>
      <c r="X82" s="21"/>
    </row>
    <row r="83" spans="1:24" x14ac:dyDescent="0.3">
      <c r="A83" s="9" t="s">
        <v>21</v>
      </c>
      <c r="D83">
        <v>8</v>
      </c>
      <c r="H83" t="str">
        <f t="shared" si="25"/>
        <v>-</v>
      </c>
      <c r="K83">
        <f>K82</f>
        <v>1</v>
      </c>
      <c r="L83" s="24">
        <f>IF(L82&gt;=0,L82-O82,L82)</f>
        <v>-1000000</v>
      </c>
      <c r="O83" t="str">
        <f t="shared" si="26"/>
        <v>01000000</v>
      </c>
      <c r="Q83" s="13" t="str">
        <f t="shared" si="27"/>
        <v>00000000</v>
      </c>
      <c r="R83">
        <f t="shared" si="27"/>
        <v>1</v>
      </c>
      <c r="S83">
        <f t="shared" si="27"/>
        <v>0</v>
      </c>
      <c r="T83">
        <f t="shared" si="27"/>
        <v>-7</v>
      </c>
      <c r="U83">
        <f t="shared" si="27"/>
        <v>7</v>
      </c>
      <c r="V83" s="10">
        <f t="shared" si="27"/>
        <v>7</v>
      </c>
      <c r="X83" s="21"/>
    </row>
    <row r="84" spans="1:24" x14ac:dyDescent="0.3">
      <c r="A84" s="9" t="s">
        <v>97</v>
      </c>
      <c r="H84" t="str">
        <f t="shared" si="25"/>
        <v>-</v>
      </c>
      <c r="K84">
        <f>IF(LEN(ABS(L83))&gt;8,LEFT(ABS(L83),1),K83)</f>
        <v>1</v>
      </c>
      <c r="L84" s="24">
        <f>IF(L83&gt;0,RIGHT(L83,8)*1,L83)</f>
        <v>-1000000</v>
      </c>
      <c r="O84" t="str">
        <f t="shared" si="26"/>
        <v>01000000</v>
      </c>
      <c r="Q84" s="13" t="str">
        <f t="shared" si="27"/>
        <v>00000000</v>
      </c>
      <c r="R84">
        <f>IF(L83&gt;=0,R83+1,R83)</f>
        <v>1</v>
      </c>
      <c r="S84">
        <f t="shared" si="27"/>
        <v>0</v>
      </c>
      <c r="T84">
        <f t="shared" si="27"/>
        <v>-7</v>
      </c>
      <c r="U84">
        <f t="shared" si="27"/>
        <v>7</v>
      </c>
      <c r="V84" s="10">
        <f t="shared" si="27"/>
        <v>7</v>
      </c>
      <c r="X84" s="21"/>
    </row>
    <row r="85" spans="1:24" x14ac:dyDescent="0.3">
      <c r="A85" s="9" t="s">
        <v>21</v>
      </c>
      <c r="D85">
        <v>9</v>
      </c>
      <c r="H85" t="str">
        <f t="shared" si="25"/>
        <v>-</v>
      </c>
      <c r="K85">
        <f>K84</f>
        <v>1</v>
      </c>
      <c r="L85" s="24">
        <f>IF(L84&gt;=0,L84-O84,L84)</f>
        <v>-1000000</v>
      </c>
      <c r="O85" t="str">
        <f t="shared" si="26"/>
        <v>01000000</v>
      </c>
      <c r="Q85" s="13" t="str">
        <f t="shared" si="27"/>
        <v>00000000</v>
      </c>
      <c r="R85">
        <f t="shared" si="27"/>
        <v>1</v>
      </c>
      <c r="S85">
        <f t="shared" si="27"/>
        <v>0</v>
      </c>
      <c r="T85">
        <f t="shared" si="27"/>
        <v>-7</v>
      </c>
      <c r="U85">
        <f t="shared" si="27"/>
        <v>7</v>
      </c>
      <c r="V85" s="10">
        <f t="shared" si="27"/>
        <v>7</v>
      </c>
      <c r="X85" s="21"/>
    </row>
    <row r="86" spans="1:24" x14ac:dyDescent="0.3">
      <c r="A86" s="9" t="s">
        <v>97</v>
      </c>
      <c r="H86" t="str">
        <f t="shared" si="25"/>
        <v>-</v>
      </c>
      <c r="K86">
        <f>IF(LEN(ABS(L85))&gt;8,LEFT(ABS(L85),1),K85)</f>
        <v>1</v>
      </c>
      <c r="L86" s="24">
        <f>IF(L85&gt;0,RIGHT(L85,8)*1,L85)</f>
        <v>-1000000</v>
      </c>
      <c r="O86" t="str">
        <f t="shared" si="26"/>
        <v>01000000</v>
      </c>
      <c r="Q86" s="13" t="str">
        <f t="shared" ref="Q86:R88" si="28">Q85</f>
        <v>00000000</v>
      </c>
      <c r="R86">
        <f>IF(L85&gt;=0,R85+1,R85)</f>
        <v>1</v>
      </c>
      <c r="S86">
        <f t="shared" ref="S86:V97" si="29">S85</f>
        <v>0</v>
      </c>
      <c r="T86">
        <f t="shared" si="29"/>
        <v>-7</v>
      </c>
      <c r="U86">
        <f t="shared" si="29"/>
        <v>7</v>
      </c>
      <c r="V86" s="10">
        <f t="shared" si="29"/>
        <v>7</v>
      </c>
      <c r="X86" s="21"/>
    </row>
    <row r="87" spans="1:24" x14ac:dyDescent="0.3">
      <c r="A87" s="9" t="s">
        <v>21</v>
      </c>
      <c r="D87">
        <v>10</v>
      </c>
      <c r="H87" t="str">
        <f t="shared" si="25"/>
        <v>-</v>
      </c>
      <c r="K87">
        <f>K86</f>
        <v>1</v>
      </c>
      <c r="L87" s="24">
        <f>IF(L86&gt;=0,L86-O86,L86)</f>
        <v>-1000000</v>
      </c>
      <c r="O87" t="str">
        <f t="shared" si="26"/>
        <v>01000000</v>
      </c>
      <c r="Q87" s="13" t="str">
        <f t="shared" si="28"/>
        <v>00000000</v>
      </c>
      <c r="R87">
        <f t="shared" si="28"/>
        <v>1</v>
      </c>
      <c r="S87">
        <f t="shared" si="29"/>
        <v>0</v>
      </c>
      <c r="T87">
        <f t="shared" si="29"/>
        <v>-7</v>
      </c>
      <c r="U87">
        <f t="shared" si="29"/>
        <v>7</v>
      </c>
      <c r="V87" s="10">
        <f t="shared" si="29"/>
        <v>7</v>
      </c>
      <c r="X87" s="21"/>
    </row>
    <row r="88" spans="1:24" x14ac:dyDescent="0.3">
      <c r="A88" s="9" t="s">
        <v>97</v>
      </c>
      <c r="H88" t="str">
        <f t="shared" si="25"/>
        <v>-</v>
      </c>
      <c r="K88">
        <f>IF(LEN(ABS(L87))&gt;8,LEFT(ABS(L87),1),K87)</f>
        <v>1</v>
      </c>
      <c r="L88" s="24">
        <f>IF(L87&gt;0,RIGHT(L87,8)*1,L87)</f>
        <v>-1000000</v>
      </c>
      <c r="O88" t="str">
        <f t="shared" si="26"/>
        <v>01000000</v>
      </c>
      <c r="Q88" s="13" t="str">
        <f t="shared" si="28"/>
        <v>00000000</v>
      </c>
      <c r="R88">
        <f>IF(L87&gt;=0,RIGHT(R87+1,1)*1,R87)</f>
        <v>1</v>
      </c>
      <c r="S88">
        <f t="shared" si="29"/>
        <v>0</v>
      </c>
      <c r="T88">
        <f t="shared" si="29"/>
        <v>-7</v>
      </c>
      <c r="U88">
        <f t="shared" si="29"/>
        <v>7</v>
      </c>
      <c r="V88" s="10">
        <f t="shared" si="29"/>
        <v>7</v>
      </c>
      <c r="X88" s="21"/>
    </row>
    <row r="89" spans="1:24" x14ac:dyDescent="0.3">
      <c r="A89" s="9" t="s">
        <v>16</v>
      </c>
      <c r="D89" t="s">
        <v>98</v>
      </c>
      <c r="H89" t="str">
        <f t="shared" si="25"/>
        <v>-</v>
      </c>
      <c r="K89">
        <f>K88</f>
        <v>1</v>
      </c>
      <c r="L89" s="24">
        <f>L88+O88</f>
        <v>0</v>
      </c>
      <c r="O89" t="str">
        <f t="shared" si="26"/>
        <v>01000000</v>
      </c>
      <c r="Q89" s="13" t="str">
        <f>Q88</f>
        <v>00000000</v>
      </c>
      <c r="R89">
        <f>R88</f>
        <v>1</v>
      </c>
      <c r="S89">
        <f t="shared" si="29"/>
        <v>0</v>
      </c>
      <c r="T89">
        <f t="shared" si="29"/>
        <v>-7</v>
      </c>
      <c r="U89">
        <f t="shared" si="29"/>
        <v>7</v>
      </c>
      <c r="V89" s="10">
        <f t="shared" si="29"/>
        <v>7</v>
      </c>
      <c r="X89" s="21"/>
    </row>
    <row r="90" spans="1:24" x14ac:dyDescent="0.3">
      <c r="A90" s="11" t="s">
        <v>106</v>
      </c>
      <c r="B90" s="1"/>
      <c r="C90" s="1"/>
      <c r="D90" s="1"/>
      <c r="E90" s="1"/>
      <c r="F90" s="1"/>
      <c r="G90" s="1"/>
      <c r="H90" s="1" t="str">
        <f t="shared" si="25"/>
        <v>-</v>
      </c>
      <c r="I90" s="1"/>
      <c r="J90" s="1"/>
      <c r="K90" s="1">
        <f>IF(LEN(ABS(L89))&gt;8,LEFT(ABS(L89),1),K89)</f>
        <v>1</v>
      </c>
      <c r="L90" s="51">
        <f>(L89&amp;LEFT(Q89,1))*1</f>
        <v>0</v>
      </c>
      <c r="M90" s="1"/>
      <c r="N90" s="1"/>
      <c r="O90" s="1" t="str">
        <f>O89</f>
        <v>01000000</v>
      </c>
      <c r="P90" s="1"/>
      <c r="Q90" s="16" t="str">
        <f>(RIGHT(Q89,7)&amp;R89)</f>
        <v>00000001</v>
      </c>
      <c r="R90" s="1">
        <f>0</f>
        <v>0</v>
      </c>
      <c r="S90" s="1">
        <f t="shared" si="29"/>
        <v>0</v>
      </c>
      <c r="T90" s="1">
        <f t="shared" si="29"/>
        <v>-7</v>
      </c>
      <c r="U90" s="1">
        <f t="shared" si="29"/>
        <v>7</v>
      </c>
      <c r="V90" s="12">
        <f t="shared" si="29"/>
        <v>7</v>
      </c>
      <c r="X90" s="21"/>
    </row>
    <row r="91" spans="1:24" x14ac:dyDescent="0.3">
      <c r="K91">
        <f>K90</f>
        <v>1</v>
      </c>
      <c r="L91" s="24">
        <f>L90</f>
        <v>0</v>
      </c>
      <c r="O91" t="str">
        <f>O90</f>
        <v>01000000</v>
      </c>
      <c r="Q91" s="13" t="str">
        <f>Q90</f>
        <v>00000001</v>
      </c>
      <c r="R91">
        <f>R90</f>
        <v>0</v>
      </c>
      <c r="S91">
        <f t="shared" si="29"/>
        <v>0</v>
      </c>
      <c r="T91">
        <f t="shared" si="29"/>
        <v>-7</v>
      </c>
      <c r="U91">
        <f t="shared" si="29"/>
        <v>7</v>
      </c>
      <c r="V91">
        <f t="shared" si="29"/>
        <v>7</v>
      </c>
      <c r="X91" s="21"/>
    </row>
    <row r="92" spans="1:24" x14ac:dyDescent="0.3">
      <c r="A92" s="6" t="s">
        <v>21</v>
      </c>
      <c r="B92" s="7"/>
      <c r="C92" s="7" t="s">
        <v>99</v>
      </c>
      <c r="D92" s="7">
        <v>1</v>
      </c>
      <c r="E92" s="7"/>
      <c r="F92" s="7"/>
      <c r="G92" s="7"/>
      <c r="H92" s="7" t="str">
        <f>IF(LEN(ABS(L92))&gt;8,LEN(ABS(L92)),"-")</f>
        <v>-</v>
      </c>
      <c r="I92" s="7"/>
      <c r="J92" s="7"/>
      <c r="K92" s="7">
        <f>K91</f>
        <v>1</v>
      </c>
      <c r="L92" s="52">
        <f>L91-O91</f>
        <v>-1000000</v>
      </c>
      <c r="M92" s="7"/>
      <c r="N92" s="7"/>
      <c r="O92" s="7" t="str">
        <f>O91</f>
        <v>01000000</v>
      </c>
      <c r="P92" s="7"/>
      <c r="Q92" s="15" t="str">
        <f>Q91</f>
        <v>00000001</v>
      </c>
      <c r="R92" s="7">
        <f>R91</f>
        <v>0</v>
      </c>
      <c r="S92" s="7">
        <f t="shared" si="29"/>
        <v>0</v>
      </c>
      <c r="T92" s="7">
        <f t="shared" si="29"/>
        <v>-7</v>
      </c>
      <c r="U92" s="7">
        <f t="shared" si="29"/>
        <v>7</v>
      </c>
      <c r="V92" s="7">
        <f t="shared" si="29"/>
        <v>7</v>
      </c>
      <c r="W92" s="9"/>
      <c r="X92" s="21"/>
    </row>
    <row r="93" spans="1:24" x14ac:dyDescent="0.3">
      <c r="A93" s="9" t="s">
        <v>97</v>
      </c>
      <c r="H93" t="str">
        <f t="shared" ref="H93:H113" si="30">IF(LEN(ABS(L93))&gt;8,LEN(ABS(L93)),"-")</f>
        <v>-</v>
      </c>
      <c r="K93">
        <f>IF(LEN(ABS(L92))&gt;8,LEFT(ABS(L92),1),K92)</f>
        <v>1</v>
      </c>
      <c r="L93" s="24">
        <f>L92</f>
        <v>-1000000</v>
      </c>
      <c r="O93" t="str">
        <f t="shared" ref="O93:O113" si="31">O92</f>
        <v>01000000</v>
      </c>
      <c r="Q93" s="13" t="str">
        <f t="shared" ref="Q93:V108" si="32">Q92</f>
        <v>00000001</v>
      </c>
      <c r="R93">
        <f>IF(L92&gt;=0,R92+1,R92)</f>
        <v>0</v>
      </c>
      <c r="S93">
        <f t="shared" si="29"/>
        <v>0</v>
      </c>
      <c r="T93">
        <f t="shared" si="29"/>
        <v>-7</v>
      </c>
      <c r="U93">
        <f t="shared" si="29"/>
        <v>7</v>
      </c>
      <c r="V93" s="10">
        <f t="shared" si="29"/>
        <v>7</v>
      </c>
      <c r="X93" s="21"/>
    </row>
    <row r="94" spans="1:24" x14ac:dyDescent="0.3">
      <c r="A94" s="9" t="s">
        <v>21</v>
      </c>
      <c r="D94">
        <v>2</v>
      </c>
      <c r="H94" t="str">
        <f t="shared" si="30"/>
        <v>-</v>
      </c>
      <c r="K94">
        <f>K93</f>
        <v>1</v>
      </c>
      <c r="L94" s="24">
        <f>IF(L93&gt;=0,L93-O93,L93)</f>
        <v>-1000000</v>
      </c>
      <c r="O94" t="str">
        <f t="shared" si="31"/>
        <v>01000000</v>
      </c>
      <c r="Q94" s="13" t="str">
        <f t="shared" si="32"/>
        <v>00000001</v>
      </c>
      <c r="R94">
        <f t="shared" si="32"/>
        <v>0</v>
      </c>
      <c r="S94">
        <f t="shared" si="29"/>
        <v>0</v>
      </c>
      <c r="T94">
        <f t="shared" si="29"/>
        <v>-7</v>
      </c>
      <c r="U94">
        <f t="shared" si="29"/>
        <v>7</v>
      </c>
      <c r="V94" s="10">
        <f t="shared" si="29"/>
        <v>7</v>
      </c>
      <c r="X94" s="21"/>
    </row>
    <row r="95" spans="1:24" x14ac:dyDescent="0.3">
      <c r="A95" s="9" t="s">
        <v>97</v>
      </c>
      <c r="H95" t="str">
        <f t="shared" si="30"/>
        <v>-</v>
      </c>
      <c r="K95">
        <f>IF(LEN(ABS(L94))&gt;8,LEFT(ABS(L94),1),K94)</f>
        <v>1</v>
      </c>
      <c r="L95" s="24">
        <f>L94</f>
        <v>-1000000</v>
      </c>
      <c r="O95" t="str">
        <f t="shared" si="31"/>
        <v>01000000</v>
      </c>
      <c r="Q95" s="13" t="str">
        <f t="shared" si="32"/>
        <v>00000001</v>
      </c>
      <c r="R95">
        <f>IF(L94&gt;=0,R94+1,R94)</f>
        <v>0</v>
      </c>
      <c r="S95">
        <f t="shared" si="29"/>
        <v>0</v>
      </c>
      <c r="T95">
        <f t="shared" si="29"/>
        <v>-7</v>
      </c>
      <c r="U95">
        <f t="shared" si="29"/>
        <v>7</v>
      </c>
      <c r="V95" s="10">
        <f t="shared" si="29"/>
        <v>7</v>
      </c>
    </row>
    <row r="96" spans="1:24" x14ac:dyDescent="0.3">
      <c r="A96" s="9" t="s">
        <v>21</v>
      </c>
      <c r="D96">
        <v>3</v>
      </c>
      <c r="H96" t="str">
        <f t="shared" si="30"/>
        <v>-</v>
      </c>
      <c r="K96">
        <f>K95</f>
        <v>1</v>
      </c>
      <c r="L96" s="24">
        <f>IF(L95&gt;=0,L95-O95,L95)</f>
        <v>-1000000</v>
      </c>
      <c r="O96" t="str">
        <f t="shared" si="31"/>
        <v>01000000</v>
      </c>
      <c r="Q96" s="13" t="str">
        <f t="shared" si="32"/>
        <v>00000001</v>
      </c>
      <c r="R96">
        <f t="shared" si="32"/>
        <v>0</v>
      </c>
      <c r="S96">
        <f t="shared" si="29"/>
        <v>0</v>
      </c>
      <c r="T96">
        <f t="shared" si="29"/>
        <v>-7</v>
      </c>
      <c r="U96">
        <f t="shared" si="29"/>
        <v>7</v>
      </c>
      <c r="V96" s="10">
        <f t="shared" si="29"/>
        <v>7</v>
      </c>
    </row>
    <row r="97" spans="1:24" x14ac:dyDescent="0.3">
      <c r="A97" s="9" t="s">
        <v>97</v>
      </c>
      <c r="H97" t="str">
        <f t="shared" si="30"/>
        <v>-</v>
      </c>
      <c r="K97">
        <f>IF(LEN(ABS(L96))&gt;8,LEFT(ABS(L96),1),K96)</f>
        <v>1</v>
      </c>
      <c r="L97" s="24">
        <f>L96</f>
        <v>-1000000</v>
      </c>
      <c r="O97" t="str">
        <f t="shared" si="31"/>
        <v>01000000</v>
      </c>
      <c r="Q97" s="13" t="str">
        <f t="shared" si="32"/>
        <v>00000001</v>
      </c>
      <c r="R97">
        <f>IF(L96&gt;=0,R96+1,R96)</f>
        <v>0</v>
      </c>
      <c r="S97">
        <f t="shared" si="29"/>
        <v>0</v>
      </c>
      <c r="T97">
        <f t="shared" si="29"/>
        <v>-7</v>
      </c>
      <c r="U97">
        <f t="shared" si="29"/>
        <v>7</v>
      </c>
      <c r="V97" s="10">
        <f t="shared" si="29"/>
        <v>7</v>
      </c>
      <c r="X97" s="21"/>
    </row>
    <row r="98" spans="1:24" x14ac:dyDescent="0.3">
      <c r="A98" s="9" t="s">
        <v>21</v>
      </c>
      <c r="D98">
        <v>4</v>
      </c>
      <c r="H98" t="str">
        <f t="shared" si="30"/>
        <v>-</v>
      </c>
      <c r="K98">
        <f>K97</f>
        <v>1</v>
      </c>
      <c r="L98" s="24">
        <f>IF(L97&gt;=0,L97-O97,L97)</f>
        <v>-1000000</v>
      </c>
      <c r="O98" t="str">
        <f t="shared" si="31"/>
        <v>01000000</v>
      </c>
      <c r="Q98" s="13" t="str">
        <f t="shared" si="32"/>
        <v>00000001</v>
      </c>
      <c r="R98">
        <f t="shared" si="32"/>
        <v>0</v>
      </c>
      <c r="S98">
        <f t="shared" si="32"/>
        <v>0</v>
      </c>
      <c r="T98">
        <f t="shared" si="32"/>
        <v>-7</v>
      </c>
      <c r="U98">
        <f t="shared" si="32"/>
        <v>7</v>
      </c>
      <c r="V98" s="10">
        <f t="shared" si="32"/>
        <v>7</v>
      </c>
      <c r="X98" s="21"/>
    </row>
    <row r="99" spans="1:24" x14ac:dyDescent="0.3">
      <c r="A99" s="9" t="s">
        <v>97</v>
      </c>
      <c r="H99" t="str">
        <f t="shared" si="30"/>
        <v>-</v>
      </c>
      <c r="K99">
        <f>IF(LEN(ABS(L98))&gt;8,LEFT(ABS(L98),1),K98)</f>
        <v>1</v>
      </c>
      <c r="L99" s="24">
        <f>L98</f>
        <v>-1000000</v>
      </c>
      <c r="O99" t="str">
        <f t="shared" si="31"/>
        <v>01000000</v>
      </c>
      <c r="Q99" s="13" t="str">
        <f t="shared" si="32"/>
        <v>00000001</v>
      </c>
      <c r="R99">
        <f>IF(L98&gt;=0,R98+1,R98)</f>
        <v>0</v>
      </c>
      <c r="S99">
        <f t="shared" si="32"/>
        <v>0</v>
      </c>
      <c r="T99">
        <f t="shared" si="32"/>
        <v>-7</v>
      </c>
      <c r="U99">
        <f t="shared" si="32"/>
        <v>7</v>
      </c>
      <c r="V99" s="10">
        <f t="shared" si="32"/>
        <v>7</v>
      </c>
      <c r="X99" s="21"/>
    </row>
    <row r="100" spans="1:24" ht="13.8" customHeight="1" x14ac:dyDescent="0.3">
      <c r="A100" s="9" t="s">
        <v>21</v>
      </c>
      <c r="D100">
        <v>5</v>
      </c>
      <c r="H100" t="str">
        <f t="shared" si="30"/>
        <v>-</v>
      </c>
      <c r="K100">
        <f>K99</f>
        <v>1</v>
      </c>
      <c r="L100" s="24">
        <f>IF(L99&gt;=0,L99-O99,L99)</f>
        <v>-1000000</v>
      </c>
      <c r="O100" t="str">
        <f t="shared" si="31"/>
        <v>01000000</v>
      </c>
      <c r="Q100" s="13" t="str">
        <f t="shared" si="32"/>
        <v>00000001</v>
      </c>
      <c r="R100">
        <f t="shared" si="32"/>
        <v>0</v>
      </c>
      <c r="S100">
        <f t="shared" si="32"/>
        <v>0</v>
      </c>
      <c r="T100">
        <f t="shared" si="32"/>
        <v>-7</v>
      </c>
      <c r="U100">
        <f t="shared" si="32"/>
        <v>7</v>
      </c>
      <c r="V100" s="10">
        <f t="shared" si="32"/>
        <v>7</v>
      </c>
      <c r="X100" s="21"/>
    </row>
    <row r="101" spans="1:24" x14ac:dyDescent="0.3">
      <c r="A101" s="9" t="s">
        <v>97</v>
      </c>
      <c r="H101" t="str">
        <f t="shared" si="30"/>
        <v>-</v>
      </c>
      <c r="K101">
        <f>IF(LEN(ABS(L100))&gt;8,LEFT(ABS(L100),1),K100)</f>
        <v>1</v>
      </c>
      <c r="L101" s="24">
        <f>L100</f>
        <v>-1000000</v>
      </c>
      <c r="O101" t="str">
        <f t="shared" si="31"/>
        <v>01000000</v>
      </c>
      <c r="Q101" s="13" t="str">
        <f t="shared" si="32"/>
        <v>00000001</v>
      </c>
      <c r="R101">
        <f>IF(L100&gt;=0,R100+1,R100)</f>
        <v>0</v>
      </c>
      <c r="S101">
        <f t="shared" si="32"/>
        <v>0</v>
      </c>
      <c r="T101">
        <f t="shared" si="32"/>
        <v>-7</v>
      </c>
      <c r="U101">
        <f t="shared" si="32"/>
        <v>7</v>
      </c>
      <c r="V101" s="10">
        <f t="shared" si="32"/>
        <v>7</v>
      </c>
      <c r="X101" s="21"/>
    </row>
    <row r="102" spans="1:24" x14ac:dyDescent="0.3">
      <c r="A102" s="9" t="s">
        <v>21</v>
      </c>
      <c r="D102">
        <v>6</v>
      </c>
      <c r="H102" t="str">
        <f t="shared" si="30"/>
        <v>-</v>
      </c>
      <c r="K102">
        <f>K101</f>
        <v>1</v>
      </c>
      <c r="L102" s="24">
        <f>IF(L101&gt;=0,L101-O101,L101)</f>
        <v>-1000000</v>
      </c>
      <c r="O102" t="str">
        <f t="shared" si="31"/>
        <v>01000000</v>
      </c>
      <c r="Q102" s="13" t="str">
        <f t="shared" si="32"/>
        <v>00000001</v>
      </c>
      <c r="R102">
        <f t="shared" si="32"/>
        <v>0</v>
      </c>
      <c r="S102">
        <f t="shared" si="32"/>
        <v>0</v>
      </c>
      <c r="T102">
        <f t="shared" si="32"/>
        <v>-7</v>
      </c>
      <c r="U102">
        <f t="shared" si="32"/>
        <v>7</v>
      </c>
      <c r="V102" s="10">
        <f t="shared" si="32"/>
        <v>7</v>
      </c>
    </row>
    <row r="103" spans="1:24" x14ac:dyDescent="0.3">
      <c r="A103" s="9" t="s">
        <v>97</v>
      </c>
      <c r="H103" t="str">
        <f t="shared" si="30"/>
        <v>-</v>
      </c>
      <c r="K103">
        <f>IF(LEN(ABS(L102))&gt;8,LEFT(ABS(L102),1),K102)</f>
        <v>1</v>
      </c>
      <c r="L103" s="24">
        <f>L102</f>
        <v>-1000000</v>
      </c>
      <c r="O103" t="str">
        <f t="shared" si="31"/>
        <v>01000000</v>
      </c>
      <c r="Q103" s="13" t="str">
        <f t="shared" si="32"/>
        <v>00000001</v>
      </c>
      <c r="R103">
        <f>IF(L102&gt;=0,R102+1,R102)</f>
        <v>0</v>
      </c>
      <c r="S103">
        <f t="shared" si="32"/>
        <v>0</v>
      </c>
      <c r="T103">
        <f t="shared" si="32"/>
        <v>-7</v>
      </c>
      <c r="U103">
        <f t="shared" si="32"/>
        <v>7</v>
      </c>
      <c r="V103" s="10">
        <f t="shared" si="32"/>
        <v>7</v>
      </c>
    </row>
    <row r="104" spans="1:24" x14ac:dyDescent="0.3">
      <c r="A104" s="9" t="s">
        <v>21</v>
      </c>
      <c r="D104">
        <v>7</v>
      </c>
      <c r="H104" t="str">
        <f t="shared" si="30"/>
        <v>-</v>
      </c>
      <c r="K104">
        <f>K103</f>
        <v>1</v>
      </c>
      <c r="L104" s="24">
        <f>IF(L103&gt;=0,L103-O103,L103)</f>
        <v>-1000000</v>
      </c>
      <c r="O104" t="str">
        <f t="shared" si="31"/>
        <v>01000000</v>
      </c>
      <c r="Q104" s="13" t="str">
        <f t="shared" si="32"/>
        <v>00000001</v>
      </c>
      <c r="R104">
        <f t="shared" si="32"/>
        <v>0</v>
      </c>
      <c r="S104">
        <f t="shared" si="32"/>
        <v>0</v>
      </c>
      <c r="T104">
        <f t="shared" si="32"/>
        <v>-7</v>
      </c>
      <c r="U104">
        <f t="shared" si="32"/>
        <v>7</v>
      </c>
      <c r="V104" s="10">
        <f t="shared" si="32"/>
        <v>7</v>
      </c>
    </row>
    <row r="105" spans="1:24" x14ac:dyDescent="0.3">
      <c r="A105" s="9" t="s">
        <v>97</v>
      </c>
      <c r="H105" t="str">
        <f t="shared" si="30"/>
        <v>-</v>
      </c>
      <c r="K105">
        <f>IF(LEN(ABS(L104))&gt;8,LEFT(ABS(L104),1),K104)</f>
        <v>1</v>
      </c>
      <c r="L105" s="24">
        <f>L104</f>
        <v>-1000000</v>
      </c>
      <c r="O105" t="str">
        <f t="shared" si="31"/>
        <v>01000000</v>
      </c>
      <c r="Q105" s="13" t="str">
        <f t="shared" si="32"/>
        <v>00000001</v>
      </c>
      <c r="R105">
        <f>IF(L104&gt;=0,R104+1,R104)</f>
        <v>0</v>
      </c>
      <c r="S105">
        <f t="shared" si="32"/>
        <v>0</v>
      </c>
      <c r="T105">
        <f t="shared" si="32"/>
        <v>-7</v>
      </c>
      <c r="U105">
        <f t="shared" si="32"/>
        <v>7</v>
      </c>
      <c r="V105" s="10">
        <f t="shared" si="32"/>
        <v>7</v>
      </c>
    </row>
    <row r="106" spans="1:24" x14ac:dyDescent="0.3">
      <c r="A106" s="9" t="s">
        <v>21</v>
      </c>
      <c r="D106">
        <v>8</v>
      </c>
      <c r="H106" t="str">
        <f t="shared" si="30"/>
        <v>-</v>
      </c>
      <c r="K106">
        <f>K105</f>
        <v>1</v>
      </c>
      <c r="L106" s="24">
        <f>IF(L105&gt;=0,L105-O105,L105)</f>
        <v>-1000000</v>
      </c>
      <c r="O106" t="str">
        <f t="shared" si="31"/>
        <v>01000000</v>
      </c>
      <c r="Q106" s="13" t="str">
        <f t="shared" si="32"/>
        <v>00000001</v>
      </c>
      <c r="R106">
        <f t="shared" si="32"/>
        <v>0</v>
      </c>
      <c r="S106">
        <f t="shared" si="32"/>
        <v>0</v>
      </c>
      <c r="T106">
        <f t="shared" si="32"/>
        <v>-7</v>
      </c>
      <c r="U106">
        <f t="shared" si="32"/>
        <v>7</v>
      </c>
      <c r="V106" s="10">
        <f t="shared" si="32"/>
        <v>7</v>
      </c>
    </row>
    <row r="107" spans="1:24" x14ac:dyDescent="0.3">
      <c r="A107" s="9" t="s">
        <v>97</v>
      </c>
      <c r="H107" t="str">
        <f t="shared" si="30"/>
        <v>-</v>
      </c>
      <c r="K107">
        <f>IF(LEN(ABS(L106))&gt;8,LEFT(ABS(L106),1),K106)</f>
        <v>1</v>
      </c>
      <c r="L107" s="24">
        <f>L106</f>
        <v>-1000000</v>
      </c>
      <c r="O107" t="str">
        <f t="shared" si="31"/>
        <v>01000000</v>
      </c>
      <c r="Q107" s="13" t="str">
        <f t="shared" si="32"/>
        <v>00000001</v>
      </c>
      <c r="R107">
        <f>IF(L106&gt;=0,R106+1,R106)</f>
        <v>0</v>
      </c>
      <c r="S107">
        <f t="shared" si="32"/>
        <v>0</v>
      </c>
      <c r="T107">
        <f t="shared" si="32"/>
        <v>-7</v>
      </c>
      <c r="U107">
        <f t="shared" si="32"/>
        <v>7</v>
      </c>
      <c r="V107" s="10">
        <f t="shared" si="32"/>
        <v>7</v>
      </c>
    </row>
    <row r="108" spans="1:24" x14ac:dyDescent="0.3">
      <c r="A108" s="9" t="s">
        <v>21</v>
      </c>
      <c r="D108">
        <v>9</v>
      </c>
      <c r="H108" t="str">
        <f t="shared" si="30"/>
        <v>-</v>
      </c>
      <c r="K108">
        <f>K107</f>
        <v>1</v>
      </c>
      <c r="L108" s="24">
        <f>IF(L107&gt;=0,L107-O107,L107)</f>
        <v>-1000000</v>
      </c>
      <c r="O108" t="str">
        <f t="shared" si="31"/>
        <v>01000000</v>
      </c>
      <c r="Q108" s="13" t="str">
        <f t="shared" si="32"/>
        <v>00000001</v>
      </c>
      <c r="R108">
        <f t="shared" si="32"/>
        <v>0</v>
      </c>
      <c r="S108">
        <f t="shared" si="32"/>
        <v>0</v>
      </c>
      <c r="T108">
        <f t="shared" si="32"/>
        <v>-7</v>
      </c>
      <c r="U108">
        <f t="shared" si="32"/>
        <v>7</v>
      </c>
      <c r="V108" s="10">
        <f t="shared" si="32"/>
        <v>7</v>
      </c>
    </row>
    <row r="109" spans="1:24" x14ac:dyDescent="0.3">
      <c r="A109" s="9" t="s">
        <v>97</v>
      </c>
      <c r="H109" t="str">
        <f t="shared" si="30"/>
        <v>-</v>
      </c>
      <c r="K109">
        <f>IF(LEN(ABS(L108))&gt;8,LEFT(ABS(L108),1),K108)</f>
        <v>1</v>
      </c>
      <c r="L109" s="24">
        <f>L108</f>
        <v>-1000000</v>
      </c>
      <c r="O109" t="str">
        <f t="shared" si="31"/>
        <v>01000000</v>
      </c>
      <c r="Q109" s="13" t="str">
        <f t="shared" ref="Q109:R111" si="33">Q108</f>
        <v>00000001</v>
      </c>
      <c r="R109">
        <f>IF(L108&gt;=0,R108+1,R108)</f>
        <v>0</v>
      </c>
      <c r="S109">
        <f t="shared" ref="S109:V113" si="34">S108</f>
        <v>0</v>
      </c>
      <c r="T109">
        <f t="shared" si="34"/>
        <v>-7</v>
      </c>
      <c r="U109">
        <f t="shared" si="34"/>
        <v>7</v>
      </c>
      <c r="V109" s="10">
        <f t="shared" si="34"/>
        <v>7</v>
      </c>
    </row>
    <row r="110" spans="1:24" x14ac:dyDescent="0.3">
      <c r="A110" s="9" t="s">
        <v>21</v>
      </c>
      <c r="D110">
        <v>10</v>
      </c>
      <c r="H110" t="str">
        <f t="shared" si="30"/>
        <v>-</v>
      </c>
      <c r="K110">
        <f>K109</f>
        <v>1</v>
      </c>
      <c r="L110" s="24">
        <f>IF(L109&gt;=0,L109-O109,L109)</f>
        <v>-1000000</v>
      </c>
      <c r="O110" t="str">
        <f t="shared" si="31"/>
        <v>01000000</v>
      </c>
      <c r="Q110" s="13" t="str">
        <f t="shared" si="33"/>
        <v>00000001</v>
      </c>
      <c r="R110">
        <f t="shared" si="33"/>
        <v>0</v>
      </c>
      <c r="S110">
        <f t="shared" si="34"/>
        <v>0</v>
      </c>
      <c r="T110">
        <f t="shared" si="34"/>
        <v>-7</v>
      </c>
      <c r="U110">
        <f t="shared" si="34"/>
        <v>7</v>
      </c>
      <c r="V110" s="10">
        <f t="shared" si="34"/>
        <v>7</v>
      </c>
    </row>
    <row r="111" spans="1:24" x14ac:dyDescent="0.3">
      <c r="A111" s="9" t="s">
        <v>97</v>
      </c>
      <c r="H111" t="str">
        <f t="shared" si="30"/>
        <v>-</v>
      </c>
      <c r="K111">
        <f>IF(LEN(ABS(L110))&gt;8,LEFT(ABS(L110),1),K110)</f>
        <v>1</v>
      </c>
      <c r="L111" s="24">
        <f>L110</f>
        <v>-1000000</v>
      </c>
      <c r="O111" t="str">
        <f t="shared" si="31"/>
        <v>01000000</v>
      </c>
      <c r="Q111" s="13" t="str">
        <f t="shared" si="33"/>
        <v>00000001</v>
      </c>
      <c r="R111">
        <f>IF(L110&gt;=0,RIGHT(R110+1,1)*1,R110)</f>
        <v>0</v>
      </c>
      <c r="S111">
        <f t="shared" si="34"/>
        <v>0</v>
      </c>
      <c r="T111">
        <f t="shared" si="34"/>
        <v>-7</v>
      </c>
      <c r="U111">
        <f t="shared" si="34"/>
        <v>7</v>
      </c>
      <c r="V111" s="10">
        <f t="shared" si="34"/>
        <v>7</v>
      </c>
    </row>
    <row r="112" spans="1:24" x14ac:dyDescent="0.3">
      <c r="A112" s="9" t="s">
        <v>16</v>
      </c>
      <c r="D112" t="s">
        <v>98</v>
      </c>
      <c r="H112" t="str">
        <f t="shared" si="30"/>
        <v>-</v>
      </c>
      <c r="K112">
        <f>K111</f>
        <v>1</v>
      </c>
      <c r="L112" s="24">
        <f>L111+O111</f>
        <v>0</v>
      </c>
      <c r="O112" t="str">
        <f t="shared" si="31"/>
        <v>01000000</v>
      </c>
      <c r="Q112" s="13" t="str">
        <f>Q109</f>
        <v>00000001</v>
      </c>
      <c r="R112">
        <f>R111</f>
        <v>0</v>
      </c>
      <c r="S112">
        <f t="shared" si="34"/>
        <v>0</v>
      </c>
      <c r="T112">
        <f t="shared" si="34"/>
        <v>-7</v>
      </c>
      <c r="U112">
        <f t="shared" si="34"/>
        <v>7</v>
      </c>
      <c r="V112" s="10">
        <f t="shared" si="34"/>
        <v>7</v>
      </c>
    </row>
    <row r="113" spans="1:22" x14ac:dyDescent="0.3">
      <c r="A113" s="11" t="s">
        <v>106</v>
      </c>
      <c r="B113" s="1"/>
      <c r="C113" s="1"/>
      <c r="D113" s="1"/>
      <c r="E113" s="1"/>
      <c r="F113" s="1"/>
      <c r="G113" s="1"/>
      <c r="H113" s="1" t="str">
        <f t="shared" si="30"/>
        <v>-</v>
      </c>
      <c r="I113" s="1"/>
      <c r="J113" s="1"/>
      <c r="K113" s="1">
        <f>IF(LEN(ABS(L112))&gt;8,LEFT(ABS(L112),1),K112)</f>
        <v>1</v>
      </c>
      <c r="L113" s="51">
        <f>(L112&amp;LEFT(Q112,1))*1</f>
        <v>0</v>
      </c>
      <c r="M113" s="1"/>
      <c r="N113" s="1"/>
      <c r="O113" s="1" t="str">
        <f t="shared" si="31"/>
        <v>01000000</v>
      </c>
      <c r="P113" s="1"/>
      <c r="Q113" s="16" t="str">
        <f>(RIGHT(Q112,7)&amp;R112)</f>
        <v>00000010</v>
      </c>
      <c r="R113" s="1">
        <f>0</f>
        <v>0</v>
      </c>
      <c r="S113" s="1">
        <f t="shared" si="34"/>
        <v>0</v>
      </c>
      <c r="T113" s="1">
        <f t="shared" si="34"/>
        <v>-7</v>
      </c>
      <c r="U113" s="1">
        <f t="shared" si="34"/>
        <v>7</v>
      </c>
      <c r="V113" s="12">
        <f t="shared" si="34"/>
        <v>7</v>
      </c>
    </row>
    <row r="114" spans="1:22" x14ac:dyDescent="0.3">
      <c r="K114">
        <f>K113</f>
        <v>1</v>
      </c>
      <c r="Q114" s="13"/>
    </row>
    <row r="115" spans="1:22" x14ac:dyDescent="0.3">
      <c r="A115" s="6" t="s">
        <v>21</v>
      </c>
      <c r="B115" s="7"/>
      <c r="C115" s="7" t="s">
        <v>100</v>
      </c>
      <c r="D115" s="7">
        <v>1</v>
      </c>
      <c r="E115" s="7"/>
      <c r="F115" s="7"/>
      <c r="G115" s="7"/>
      <c r="H115" s="7" t="str">
        <f>IF(LEN(ABS(L115))&gt;8,LEN(ABS(L115)),"-")</f>
        <v>-</v>
      </c>
      <c r="I115" s="7"/>
      <c r="J115" s="7"/>
      <c r="K115" s="7">
        <f>K114</f>
        <v>1</v>
      </c>
      <c r="L115" s="52">
        <f>L113-O113</f>
        <v>-1000000</v>
      </c>
      <c r="M115" s="7"/>
      <c r="N115" s="7"/>
      <c r="O115" s="7" t="str">
        <f>O113</f>
        <v>01000000</v>
      </c>
      <c r="P115" s="7"/>
      <c r="Q115" s="15" t="str">
        <f t="shared" ref="Q115:V115" si="35">Q113</f>
        <v>00000010</v>
      </c>
      <c r="R115" s="7">
        <f t="shared" si="35"/>
        <v>0</v>
      </c>
      <c r="S115" s="7">
        <f t="shared" si="35"/>
        <v>0</v>
      </c>
      <c r="T115" s="7">
        <f t="shared" si="35"/>
        <v>-7</v>
      </c>
      <c r="U115" s="7">
        <f t="shared" si="35"/>
        <v>7</v>
      </c>
      <c r="V115" s="8">
        <f t="shared" si="35"/>
        <v>7</v>
      </c>
    </row>
    <row r="116" spans="1:22" x14ac:dyDescent="0.3">
      <c r="A116" s="9" t="s">
        <v>97</v>
      </c>
      <c r="H116" t="str">
        <f t="shared" ref="H116:H136" si="36">IF(LEN(ABS(L116))&gt;8,LEN(ABS(L116)),"-")</f>
        <v>-</v>
      </c>
      <c r="K116">
        <f>IF(LEN(ABS(L115))&gt;8,LEFT(ABS(L115),1),K115)</f>
        <v>1</v>
      </c>
      <c r="L116" s="24">
        <f>L115</f>
        <v>-1000000</v>
      </c>
      <c r="O116" t="str">
        <f t="shared" ref="O116:O136" si="37">O115</f>
        <v>01000000</v>
      </c>
      <c r="Q116" s="13" t="str">
        <f t="shared" ref="Q116:R131" si="38">Q115</f>
        <v>00000010</v>
      </c>
      <c r="R116">
        <f>IF(L115&gt;=0,R115+1,R115)</f>
        <v>0</v>
      </c>
      <c r="S116">
        <f t="shared" ref="S116:V131" si="39">S115</f>
        <v>0</v>
      </c>
      <c r="T116">
        <f t="shared" si="39"/>
        <v>-7</v>
      </c>
      <c r="U116">
        <f t="shared" si="39"/>
        <v>7</v>
      </c>
      <c r="V116" s="10">
        <f t="shared" si="39"/>
        <v>7</v>
      </c>
    </row>
    <row r="117" spans="1:22" x14ac:dyDescent="0.3">
      <c r="A117" s="9" t="s">
        <v>21</v>
      </c>
      <c r="D117">
        <v>2</v>
      </c>
      <c r="H117" t="str">
        <f t="shared" si="36"/>
        <v>-</v>
      </c>
      <c r="K117">
        <f>K116</f>
        <v>1</v>
      </c>
      <c r="L117" s="24">
        <f>IF(L116&gt;=0,L116-O116,L116)</f>
        <v>-1000000</v>
      </c>
      <c r="O117" t="str">
        <f t="shared" si="37"/>
        <v>01000000</v>
      </c>
      <c r="Q117" s="13" t="str">
        <f t="shared" si="38"/>
        <v>00000010</v>
      </c>
      <c r="R117">
        <f t="shared" si="38"/>
        <v>0</v>
      </c>
      <c r="S117">
        <f t="shared" si="39"/>
        <v>0</v>
      </c>
      <c r="T117">
        <f t="shared" si="39"/>
        <v>-7</v>
      </c>
      <c r="U117">
        <f t="shared" si="39"/>
        <v>7</v>
      </c>
      <c r="V117" s="10">
        <f t="shared" si="39"/>
        <v>7</v>
      </c>
    </row>
    <row r="118" spans="1:22" x14ac:dyDescent="0.3">
      <c r="A118" s="9" t="s">
        <v>97</v>
      </c>
      <c r="H118" t="str">
        <f t="shared" si="36"/>
        <v>-</v>
      </c>
      <c r="K118">
        <f>IF(LEN(ABS(L117))&gt;8,LEFT(ABS(L117),1),K117)</f>
        <v>1</v>
      </c>
      <c r="L118" s="24">
        <f>L117</f>
        <v>-1000000</v>
      </c>
      <c r="O118" t="str">
        <f t="shared" si="37"/>
        <v>01000000</v>
      </c>
      <c r="Q118" s="13" t="str">
        <f t="shared" si="38"/>
        <v>00000010</v>
      </c>
      <c r="R118">
        <f>IF(L117&gt;=0,R117+1,R117)</f>
        <v>0</v>
      </c>
      <c r="S118">
        <f t="shared" si="39"/>
        <v>0</v>
      </c>
      <c r="T118">
        <f t="shared" si="39"/>
        <v>-7</v>
      </c>
      <c r="U118">
        <f t="shared" si="39"/>
        <v>7</v>
      </c>
      <c r="V118" s="10">
        <f t="shared" si="39"/>
        <v>7</v>
      </c>
    </row>
    <row r="119" spans="1:22" x14ac:dyDescent="0.3">
      <c r="A119" s="9" t="s">
        <v>21</v>
      </c>
      <c r="D119">
        <v>3</v>
      </c>
      <c r="H119" t="str">
        <f t="shared" si="36"/>
        <v>-</v>
      </c>
      <c r="K119">
        <f>K118</f>
        <v>1</v>
      </c>
      <c r="L119" s="24">
        <f>IF(L118&gt;=0,L118-O118,L118)</f>
        <v>-1000000</v>
      </c>
      <c r="O119" t="str">
        <f t="shared" si="37"/>
        <v>01000000</v>
      </c>
      <c r="Q119" s="13" t="str">
        <f t="shared" si="38"/>
        <v>00000010</v>
      </c>
      <c r="R119">
        <f t="shared" si="38"/>
        <v>0</v>
      </c>
      <c r="S119">
        <f t="shared" si="39"/>
        <v>0</v>
      </c>
      <c r="T119">
        <f t="shared" si="39"/>
        <v>-7</v>
      </c>
      <c r="U119">
        <f t="shared" si="39"/>
        <v>7</v>
      </c>
      <c r="V119" s="10">
        <f t="shared" si="39"/>
        <v>7</v>
      </c>
    </row>
    <row r="120" spans="1:22" x14ac:dyDescent="0.3">
      <c r="A120" s="9" t="s">
        <v>97</v>
      </c>
      <c r="H120" t="str">
        <f t="shared" si="36"/>
        <v>-</v>
      </c>
      <c r="K120">
        <f>IF(LEN(ABS(L119))&gt;8,LEFT(ABS(L119),1),K119)</f>
        <v>1</v>
      </c>
      <c r="L120" s="24">
        <f>L119</f>
        <v>-1000000</v>
      </c>
      <c r="O120" t="str">
        <f t="shared" si="37"/>
        <v>01000000</v>
      </c>
      <c r="Q120" s="13" t="str">
        <f t="shared" si="38"/>
        <v>00000010</v>
      </c>
      <c r="R120">
        <f>IF(L119&gt;=0,R119+1,R119)</f>
        <v>0</v>
      </c>
      <c r="S120">
        <f t="shared" si="39"/>
        <v>0</v>
      </c>
      <c r="T120">
        <f t="shared" si="39"/>
        <v>-7</v>
      </c>
      <c r="U120">
        <f t="shared" si="39"/>
        <v>7</v>
      </c>
      <c r="V120" s="10">
        <f t="shared" si="39"/>
        <v>7</v>
      </c>
    </row>
    <row r="121" spans="1:22" x14ac:dyDescent="0.3">
      <c r="A121" s="9" t="s">
        <v>21</v>
      </c>
      <c r="D121">
        <v>4</v>
      </c>
      <c r="H121" t="str">
        <f t="shared" si="36"/>
        <v>-</v>
      </c>
      <c r="K121">
        <f>K120</f>
        <v>1</v>
      </c>
      <c r="L121" s="24">
        <f>IF(L120&gt;=0,L120-O120,L120)</f>
        <v>-1000000</v>
      </c>
      <c r="O121" t="str">
        <f t="shared" si="37"/>
        <v>01000000</v>
      </c>
      <c r="Q121" s="13" t="str">
        <f t="shared" si="38"/>
        <v>00000010</v>
      </c>
      <c r="R121">
        <f t="shared" si="38"/>
        <v>0</v>
      </c>
      <c r="S121">
        <f t="shared" si="39"/>
        <v>0</v>
      </c>
      <c r="T121">
        <f t="shared" si="39"/>
        <v>-7</v>
      </c>
      <c r="U121">
        <f t="shared" si="39"/>
        <v>7</v>
      </c>
      <c r="V121" s="10">
        <f t="shared" si="39"/>
        <v>7</v>
      </c>
    </row>
    <row r="122" spans="1:22" x14ac:dyDescent="0.3">
      <c r="A122" s="9" t="s">
        <v>97</v>
      </c>
      <c r="H122" t="str">
        <f t="shared" si="36"/>
        <v>-</v>
      </c>
      <c r="K122">
        <f>IF(LEN(ABS(L121))&gt;8,LEFT(ABS(L121),1),K121)</f>
        <v>1</v>
      </c>
      <c r="L122" s="24">
        <f>L121</f>
        <v>-1000000</v>
      </c>
      <c r="O122" t="str">
        <f t="shared" si="37"/>
        <v>01000000</v>
      </c>
      <c r="Q122" s="13" t="str">
        <f t="shared" si="38"/>
        <v>00000010</v>
      </c>
      <c r="R122">
        <f>IF(L121&gt;=0,R121+1,R121)</f>
        <v>0</v>
      </c>
      <c r="S122">
        <f t="shared" si="39"/>
        <v>0</v>
      </c>
      <c r="T122">
        <f t="shared" si="39"/>
        <v>-7</v>
      </c>
      <c r="U122">
        <f t="shared" si="39"/>
        <v>7</v>
      </c>
      <c r="V122" s="10">
        <f t="shared" si="39"/>
        <v>7</v>
      </c>
    </row>
    <row r="123" spans="1:22" x14ac:dyDescent="0.3">
      <c r="A123" s="9" t="s">
        <v>21</v>
      </c>
      <c r="D123">
        <v>5</v>
      </c>
      <c r="H123" t="str">
        <f t="shared" si="36"/>
        <v>-</v>
      </c>
      <c r="K123">
        <f>K122</f>
        <v>1</v>
      </c>
      <c r="L123" s="24">
        <f>IF(L122&gt;=0,L122-O122,L122)</f>
        <v>-1000000</v>
      </c>
      <c r="O123" t="str">
        <f t="shared" si="37"/>
        <v>01000000</v>
      </c>
      <c r="Q123" s="13" t="str">
        <f t="shared" si="38"/>
        <v>00000010</v>
      </c>
      <c r="R123">
        <f t="shared" si="38"/>
        <v>0</v>
      </c>
      <c r="S123">
        <f t="shared" si="39"/>
        <v>0</v>
      </c>
      <c r="T123">
        <f t="shared" si="39"/>
        <v>-7</v>
      </c>
      <c r="U123">
        <f t="shared" si="39"/>
        <v>7</v>
      </c>
      <c r="V123" s="10">
        <f t="shared" si="39"/>
        <v>7</v>
      </c>
    </row>
    <row r="124" spans="1:22" x14ac:dyDescent="0.3">
      <c r="A124" s="9" t="s">
        <v>97</v>
      </c>
      <c r="H124" t="str">
        <f t="shared" si="36"/>
        <v>-</v>
      </c>
      <c r="K124">
        <f>IF(LEN(ABS(L123))&gt;8,LEFT(ABS(L123),1),K123)</f>
        <v>1</v>
      </c>
      <c r="L124" s="24">
        <f>L123</f>
        <v>-1000000</v>
      </c>
      <c r="O124" t="str">
        <f t="shared" si="37"/>
        <v>01000000</v>
      </c>
      <c r="Q124" s="13" t="str">
        <f t="shared" si="38"/>
        <v>00000010</v>
      </c>
      <c r="R124">
        <f>IF(L123&gt;=0,R123+1,R123)</f>
        <v>0</v>
      </c>
      <c r="S124">
        <f t="shared" si="39"/>
        <v>0</v>
      </c>
      <c r="T124">
        <f t="shared" si="39"/>
        <v>-7</v>
      </c>
      <c r="U124">
        <f t="shared" si="39"/>
        <v>7</v>
      </c>
      <c r="V124" s="10">
        <f t="shared" si="39"/>
        <v>7</v>
      </c>
    </row>
    <row r="125" spans="1:22" x14ac:dyDescent="0.3">
      <c r="A125" s="9" t="s">
        <v>21</v>
      </c>
      <c r="D125">
        <v>6</v>
      </c>
      <c r="H125" t="str">
        <f t="shared" si="36"/>
        <v>-</v>
      </c>
      <c r="K125">
        <f>K124</f>
        <v>1</v>
      </c>
      <c r="L125" s="24">
        <f>IF(L124&gt;=0,L124-O124,L124)</f>
        <v>-1000000</v>
      </c>
      <c r="O125" t="str">
        <f t="shared" si="37"/>
        <v>01000000</v>
      </c>
      <c r="Q125" s="13" t="str">
        <f t="shared" si="38"/>
        <v>00000010</v>
      </c>
      <c r="R125">
        <f t="shared" si="38"/>
        <v>0</v>
      </c>
      <c r="S125">
        <f t="shared" si="39"/>
        <v>0</v>
      </c>
      <c r="T125">
        <f t="shared" si="39"/>
        <v>-7</v>
      </c>
      <c r="U125">
        <f t="shared" si="39"/>
        <v>7</v>
      </c>
      <c r="V125" s="10">
        <f t="shared" si="39"/>
        <v>7</v>
      </c>
    </row>
    <row r="126" spans="1:22" x14ac:dyDescent="0.3">
      <c r="A126" s="9" t="s">
        <v>97</v>
      </c>
      <c r="H126" t="str">
        <f t="shared" si="36"/>
        <v>-</v>
      </c>
      <c r="K126">
        <f>IF(LEN(ABS(L125))&gt;8,LEFT(ABS(L125),1),K125)</f>
        <v>1</v>
      </c>
      <c r="L126" s="24">
        <f>L125</f>
        <v>-1000000</v>
      </c>
      <c r="O126" t="str">
        <f t="shared" si="37"/>
        <v>01000000</v>
      </c>
      <c r="Q126" s="13" t="str">
        <f t="shared" si="38"/>
        <v>00000010</v>
      </c>
      <c r="R126">
        <f>IF(L125&gt;=0,R125+1,R125)</f>
        <v>0</v>
      </c>
      <c r="S126">
        <f t="shared" si="39"/>
        <v>0</v>
      </c>
      <c r="T126">
        <f t="shared" si="39"/>
        <v>-7</v>
      </c>
      <c r="U126">
        <f t="shared" si="39"/>
        <v>7</v>
      </c>
      <c r="V126" s="10">
        <f t="shared" si="39"/>
        <v>7</v>
      </c>
    </row>
    <row r="127" spans="1:22" x14ac:dyDescent="0.3">
      <c r="A127" s="9" t="s">
        <v>21</v>
      </c>
      <c r="D127">
        <v>7</v>
      </c>
      <c r="H127" t="str">
        <f t="shared" si="36"/>
        <v>-</v>
      </c>
      <c r="K127">
        <f>K126</f>
        <v>1</v>
      </c>
      <c r="L127" s="24">
        <f>IF(L126&gt;=0,L126-O126,L126)</f>
        <v>-1000000</v>
      </c>
      <c r="O127" t="str">
        <f t="shared" si="37"/>
        <v>01000000</v>
      </c>
      <c r="Q127" s="13" t="str">
        <f t="shared" si="38"/>
        <v>00000010</v>
      </c>
      <c r="R127">
        <f t="shared" si="38"/>
        <v>0</v>
      </c>
      <c r="S127">
        <f t="shared" si="39"/>
        <v>0</v>
      </c>
      <c r="T127">
        <f t="shared" si="39"/>
        <v>-7</v>
      </c>
      <c r="U127">
        <f t="shared" si="39"/>
        <v>7</v>
      </c>
      <c r="V127" s="10">
        <f t="shared" si="39"/>
        <v>7</v>
      </c>
    </row>
    <row r="128" spans="1:22" x14ac:dyDescent="0.3">
      <c r="A128" s="9" t="s">
        <v>97</v>
      </c>
      <c r="H128" t="str">
        <f t="shared" si="36"/>
        <v>-</v>
      </c>
      <c r="K128">
        <f>IF(LEN(ABS(L127))&gt;8,LEFT(ABS(L127),1),K127)</f>
        <v>1</v>
      </c>
      <c r="L128" s="24">
        <f>L127</f>
        <v>-1000000</v>
      </c>
      <c r="O128" t="str">
        <f t="shared" si="37"/>
        <v>01000000</v>
      </c>
      <c r="Q128" s="13" t="str">
        <f t="shared" si="38"/>
        <v>00000010</v>
      </c>
      <c r="R128">
        <f>IF(L127&gt;=0,R127+1,R127)</f>
        <v>0</v>
      </c>
      <c r="S128">
        <f t="shared" si="39"/>
        <v>0</v>
      </c>
      <c r="T128">
        <f t="shared" si="39"/>
        <v>-7</v>
      </c>
      <c r="U128">
        <f t="shared" si="39"/>
        <v>7</v>
      </c>
      <c r="V128" s="10">
        <f t="shared" si="39"/>
        <v>7</v>
      </c>
    </row>
    <row r="129" spans="1:22" x14ac:dyDescent="0.3">
      <c r="A129" s="9" t="s">
        <v>21</v>
      </c>
      <c r="D129">
        <v>8</v>
      </c>
      <c r="H129" t="str">
        <f t="shared" si="36"/>
        <v>-</v>
      </c>
      <c r="K129">
        <f>K128</f>
        <v>1</v>
      </c>
      <c r="L129" s="24">
        <f>IF(L128&gt;=0,L128-O128,L128)</f>
        <v>-1000000</v>
      </c>
      <c r="O129" t="str">
        <f t="shared" si="37"/>
        <v>01000000</v>
      </c>
      <c r="Q129" s="13" t="str">
        <f t="shared" si="38"/>
        <v>00000010</v>
      </c>
      <c r="R129">
        <f t="shared" si="38"/>
        <v>0</v>
      </c>
      <c r="S129">
        <f t="shared" si="39"/>
        <v>0</v>
      </c>
      <c r="T129">
        <f t="shared" si="39"/>
        <v>-7</v>
      </c>
      <c r="U129">
        <f t="shared" si="39"/>
        <v>7</v>
      </c>
      <c r="V129" s="10">
        <f t="shared" si="39"/>
        <v>7</v>
      </c>
    </row>
    <row r="130" spans="1:22" x14ac:dyDescent="0.3">
      <c r="A130" s="9" t="s">
        <v>97</v>
      </c>
      <c r="H130" t="str">
        <f t="shared" si="36"/>
        <v>-</v>
      </c>
      <c r="K130">
        <f>IF(LEN(ABS(L129))&gt;8,LEFT(ABS(L129),1),K129)</f>
        <v>1</v>
      </c>
      <c r="L130" s="24">
        <f>L129</f>
        <v>-1000000</v>
      </c>
      <c r="O130" t="str">
        <f t="shared" si="37"/>
        <v>01000000</v>
      </c>
      <c r="Q130" s="13" t="str">
        <f t="shared" si="38"/>
        <v>00000010</v>
      </c>
      <c r="R130">
        <f>IF(L129&gt;=0,R129+1,R129)</f>
        <v>0</v>
      </c>
      <c r="S130">
        <f t="shared" si="39"/>
        <v>0</v>
      </c>
      <c r="T130">
        <f t="shared" si="39"/>
        <v>-7</v>
      </c>
      <c r="U130">
        <f t="shared" si="39"/>
        <v>7</v>
      </c>
      <c r="V130" s="10">
        <f t="shared" si="39"/>
        <v>7</v>
      </c>
    </row>
    <row r="131" spans="1:22" x14ac:dyDescent="0.3">
      <c r="A131" s="9" t="s">
        <v>21</v>
      </c>
      <c r="D131">
        <v>9</v>
      </c>
      <c r="H131" t="str">
        <f t="shared" si="36"/>
        <v>-</v>
      </c>
      <c r="K131">
        <f>K130</f>
        <v>1</v>
      </c>
      <c r="L131" s="24">
        <f>IF(L130&gt;=0,L130-O130,L130)</f>
        <v>-1000000</v>
      </c>
      <c r="O131" t="str">
        <f t="shared" si="37"/>
        <v>01000000</v>
      </c>
      <c r="Q131" s="13" t="str">
        <f t="shared" si="38"/>
        <v>00000010</v>
      </c>
      <c r="R131">
        <f t="shared" si="38"/>
        <v>0</v>
      </c>
      <c r="S131">
        <f t="shared" si="39"/>
        <v>0</v>
      </c>
      <c r="T131">
        <f t="shared" si="39"/>
        <v>-7</v>
      </c>
      <c r="U131">
        <f t="shared" si="39"/>
        <v>7</v>
      </c>
      <c r="V131" s="10">
        <f t="shared" si="39"/>
        <v>7</v>
      </c>
    </row>
    <row r="132" spans="1:22" x14ac:dyDescent="0.3">
      <c r="A132" s="9" t="s">
        <v>97</v>
      </c>
      <c r="H132" t="str">
        <f t="shared" si="36"/>
        <v>-</v>
      </c>
      <c r="K132">
        <f>IF(LEN(ABS(L131))&gt;8,LEFT(ABS(L131),1),K131)</f>
        <v>1</v>
      </c>
      <c r="L132" s="24">
        <f>L131</f>
        <v>-1000000</v>
      </c>
      <c r="O132" t="str">
        <f t="shared" si="37"/>
        <v>01000000</v>
      </c>
      <c r="Q132" s="13" t="str">
        <f t="shared" ref="Q132:R134" si="40">Q131</f>
        <v>00000010</v>
      </c>
      <c r="R132">
        <f>IF(L131&gt;=0,R131+1,R131)</f>
        <v>0</v>
      </c>
      <c r="S132">
        <f t="shared" ref="S132:V136" si="41">S131</f>
        <v>0</v>
      </c>
      <c r="T132">
        <f t="shared" si="41"/>
        <v>-7</v>
      </c>
      <c r="U132">
        <f t="shared" si="41"/>
        <v>7</v>
      </c>
      <c r="V132" s="10">
        <f t="shared" si="41"/>
        <v>7</v>
      </c>
    </row>
    <row r="133" spans="1:22" x14ac:dyDescent="0.3">
      <c r="A133" s="9" t="s">
        <v>21</v>
      </c>
      <c r="D133">
        <v>9</v>
      </c>
      <c r="H133" t="str">
        <f t="shared" si="36"/>
        <v>-</v>
      </c>
      <c r="K133">
        <f>K132</f>
        <v>1</v>
      </c>
      <c r="L133" s="24">
        <f>IF(L132&gt;=0,L132-O132,L132)</f>
        <v>-1000000</v>
      </c>
      <c r="O133" t="str">
        <f t="shared" si="37"/>
        <v>01000000</v>
      </c>
      <c r="Q133" s="13" t="str">
        <f t="shared" si="40"/>
        <v>00000010</v>
      </c>
      <c r="R133">
        <f t="shared" si="40"/>
        <v>0</v>
      </c>
      <c r="S133">
        <f t="shared" si="41"/>
        <v>0</v>
      </c>
      <c r="T133">
        <f t="shared" si="41"/>
        <v>-7</v>
      </c>
      <c r="U133">
        <f t="shared" si="41"/>
        <v>7</v>
      </c>
      <c r="V133" s="10">
        <f t="shared" si="41"/>
        <v>7</v>
      </c>
    </row>
    <row r="134" spans="1:22" x14ac:dyDescent="0.3">
      <c r="A134" s="9" t="s">
        <v>97</v>
      </c>
      <c r="H134" t="str">
        <f t="shared" si="36"/>
        <v>-</v>
      </c>
      <c r="K134">
        <f>IF(LEN(ABS(L133))&gt;8,LEFT(ABS(L133),1),K133)</f>
        <v>1</v>
      </c>
      <c r="L134" s="24">
        <f>L133</f>
        <v>-1000000</v>
      </c>
      <c r="O134" t="str">
        <f t="shared" si="37"/>
        <v>01000000</v>
      </c>
      <c r="Q134" s="13" t="str">
        <f t="shared" si="40"/>
        <v>00000010</v>
      </c>
      <c r="R134">
        <f>IF(L133&gt;=0,RIGHT(R133+1,1)*1,R133)</f>
        <v>0</v>
      </c>
      <c r="S134">
        <f t="shared" si="41"/>
        <v>0</v>
      </c>
      <c r="T134">
        <f t="shared" si="41"/>
        <v>-7</v>
      </c>
      <c r="U134">
        <f t="shared" si="41"/>
        <v>7</v>
      </c>
      <c r="V134" s="10">
        <f t="shared" si="41"/>
        <v>7</v>
      </c>
    </row>
    <row r="135" spans="1:22" x14ac:dyDescent="0.3">
      <c r="A135" s="9" t="s">
        <v>16</v>
      </c>
      <c r="D135" t="s">
        <v>98</v>
      </c>
      <c r="H135" t="str">
        <f t="shared" si="36"/>
        <v>-</v>
      </c>
      <c r="K135">
        <f>K134</f>
        <v>1</v>
      </c>
      <c r="L135" s="24">
        <f>L134+O134</f>
        <v>0</v>
      </c>
      <c r="O135" t="str">
        <f t="shared" si="37"/>
        <v>01000000</v>
      </c>
      <c r="Q135" s="13" t="str">
        <f>Q132</f>
        <v>00000010</v>
      </c>
      <c r="R135">
        <f>R134</f>
        <v>0</v>
      </c>
      <c r="S135">
        <f t="shared" si="41"/>
        <v>0</v>
      </c>
      <c r="T135">
        <f t="shared" si="41"/>
        <v>-7</v>
      </c>
      <c r="U135">
        <f t="shared" si="41"/>
        <v>7</v>
      </c>
      <c r="V135" s="10">
        <f t="shared" si="41"/>
        <v>7</v>
      </c>
    </row>
    <row r="136" spans="1:22" x14ac:dyDescent="0.3">
      <c r="A136" s="11" t="s">
        <v>106</v>
      </c>
      <c r="B136" s="1"/>
      <c r="C136" s="1"/>
      <c r="D136" s="1"/>
      <c r="E136" s="1"/>
      <c r="F136" s="1"/>
      <c r="G136" s="1"/>
      <c r="H136" s="1" t="str">
        <f t="shared" si="36"/>
        <v>-</v>
      </c>
      <c r="I136" s="1"/>
      <c r="J136" s="1"/>
      <c r="K136" s="1">
        <f>IF(LEN(ABS(L135))&gt;8,LEFT(ABS(L135),1),K135)</f>
        <v>1</v>
      </c>
      <c r="L136" s="51">
        <f>(L135&amp;LEFT(Q135,1))*1</f>
        <v>0</v>
      </c>
      <c r="M136" s="1"/>
      <c r="N136" s="1"/>
      <c r="O136" s="1" t="str">
        <f t="shared" si="37"/>
        <v>01000000</v>
      </c>
      <c r="P136" s="1"/>
      <c r="Q136" s="16" t="str">
        <f>(RIGHT(Q135,7)&amp;R135)</f>
        <v>00000100</v>
      </c>
      <c r="R136" s="1">
        <f>0</f>
        <v>0</v>
      </c>
      <c r="S136" s="1">
        <f t="shared" si="41"/>
        <v>0</v>
      </c>
      <c r="T136" s="1">
        <f t="shared" si="41"/>
        <v>-7</v>
      </c>
      <c r="U136" s="1">
        <f t="shared" si="41"/>
        <v>7</v>
      </c>
      <c r="V136" s="12">
        <f t="shared" si="41"/>
        <v>7</v>
      </c>
    </row>
    <row r="137" spans="1:22" x14ac:dyDescent="0.3">
      <c r="K137">
        <f>K136</f>
        <v>1</v>
      </c>
      <c r="Q137" s="13"/>
    </row>
    <row r="138" spans="1:22" x14ac:dyDescent="0.3">
      <c r="A138" s="6" t="s">
        <v>21</v>
      </c>
      <c r="B138" s="7"/>
      <c r="C138" s="7" t="s">
        <v>101</v>
      </c>
      <c r="D138" s="7">
        <v>1</v>
      </c>
      <c r="E138" s="7"/>
      <c r="F138" s="7"/>
      <c r="G138" s="7"/>
      <c r="H138" s="7" t="str">
        <f>IF(LEN(ABS(L138))&gt;8,LEN(ABS(L138)),"-")</f>
        <v>-</v>
      </c>
      <c r="I138" s="7"/>
      <c r="J138" s="7"/>
      <c r="K138" s="7">
        <f>K137</f>
        <v>1</v>
      </c>
      <c r="L138" s="52">
        <f>L136-O136</f>
        <v>-1000000</v>
      </c>
      <c r="M138" s="7"/>
      <c r="N138" s="7"/>
      <c r="O138" s="7" t="str">
        <f>O136</f>
        <v>01000000</v>
      </c>
      <c r="P138" s="7"/>
      <c r="Q138" s="15" t="str">
        <f t="shared" ref="Q138:V138" si="42">Q136</f>
        <v>00000100</v>
      </c>
      <c r="R138" s="7">
        <f t="shared" si="42"/>
        <v>0</v>
      </c>
      <c r="S138" s="7">
        <f t="shared" si="42"/>
        <v>0</v>
      </c>
      <c r="T138" s="7">
        <f t="shared" si="42"/>
        <v>-7</v>
      </c>
      <c r="U138" s="7">
        <f t="shared" si="42"/>
        <v>7</v>
      </c>
      <c r="V138" s="8">
        <f t="shared" si="42"/>
        <v>7</v>
      </c>
    </row>
    <row r="139" spans="1:22" x14ac:dyDescent="0.3">
      <c r="A139" s="9" t="s">
        <v>97</v>
      </c>
      <c r="H139" t="str">
        <f t="shared" ref="H139:H159" si="43">IF(LEN(ABS(L139))&gt;8,LEN(ABS(L139)),"-")</f>
        <v>-</v>
      </c>
      <c r="K139">
        <f>IF(LEN(ABS(L138))&gt;8,LEFT(ABS(L138),1),K138)</f>
        <v>1</v>
      </c>
      <c r="L139" s="24">
        <f>L138</f>
        <v>-1000000</v>
      </c>
      <c r="O139" t="str">
        <f t="shared" ref="O139:O159" si="44">O138</f>
        <v>01000000</v>
      </c>
      <c r="Q139" s="13" t="str">
        <f t="shared" ref="Q139:R154" si="45">Q138</f>
        <v>00000100</v>
      </c>
      <c r="R139">
        <f>IF(L138&gt;=0,R138+1,R138)</f>
        <v>0</v>
      </c>
      <c r="S139">
        <f t="shared" ref="S139:V154" si="46">S138</f>
        <v>0</v>
      </c>
      <c r="T139">
        <f t="shared" si="46"/>
        <v>-7</v>
      </c>
      <c r="U139">
        <f t="shared" si="46"/>
        <v>7</v>
      </c>
      <c r="V139" s="10">
        <f t="shared" si="46"/>
        <v>7</v>
      </c>
    </row>
    <row r="140" spans="1:22" x14ac:dyDescent="0.3">
      <c r="A140" s="9" t="s">
        <v>21</v>
      </c>
      <c r="D140">
        <v>2</v>
      </c>
      <c r="H140" t="str">
        <f t="shared" si="43"/>
        <v>-</v>
      </c>
      <c r="K140">
        <f>K139</f>
        <v>1</v>
      </c>
      <c r="L140" s="24">
        <f>IF(L139&gt;=0,L139-O139,L139)</f>
        <v>-1000000</v>
      </c>
      <c r="O140" t="str">
        <f t="shared" si="44"/>
        <v>01000000</v>
      </c>
      <c r="Q140" s="13" t="str">
        <f t="shared" si="45"/>
        <v>00000100</v>
      </c>
      <c r="R140">
        <f t="shared" si="45"/>
        <v>0</v>
      </c>
      <c r="S140">
        <f t="shared" si="46"/>
        <v>0</v>
      </c>
      <c r="T140">
        <f t="shared" si="46"/>
        <v>-7</v>
      </c>
      <c r="U140">
        <f t="shared" si="46"/>
        <v>7</v>
      </c>
      <c r="V140" s="10">
        <f t="shared" si="46"/>
        <v>7</v>
      </c>
    </row>
    <row r="141" spans="1:22" x14ac:dyDescent="0.3">
      <c r="A141" s="9" t="s">
        <v>97</v>
      </c>
      <c r="H141" t="str">
        <f t="shared" si="43"/>
        <v>-</v>
      </c>
      <c r="K141">
        <f>IF(LEN(ABS(L140))&gt;8,LEFT(ABS(L140),1),K140)</f>
        <v>1</v>
      </c>
      <c r="L141" s="24">
        <f>L140</f>
        <v>-1000000</v>
      </c>
      <c r="O141" t="str">
        <f t="shared" si="44"/>
        <v>01000000</v>
      </c>
      <c r="Q141" s="13" t="str">
        <f t="shared" si="45"/>
        <v>00000100</v>
      </c>
      <c r="R141">
        <f>IF(L140&gt;=0,R140+1,R140)</f>
        <v>0</v>
      </c>
      <c r="S141">
        <f t="shared" si="46"/>
        <v>0</v>
      </c>
      <c r="T141">
        <f t="shared" si="46"/>
        <v>-7</v>
      </c>
      <c r="U141">
        <f t="shared" si="46"/>
        <v>7</v>
      </c>
      <c r="V141" s="10">
        <f t="shared" si="46"/>
        <v>7</v>
      </c>
    </row>
    <row r="142" spans="1:22" x14ac:dyDescent="0.3">
      <c r="A142" s="9" t="s">
        <v>21</v>
      </c>
      <c r="D142">
        <v>3</v>
      </c>
      <c r="H142" t="str">
        <f t="shared" si="43"/>
        <v>-</v>
      </c>
      <c r="K142">
        <f>K141</f>
        <v>1</v>
      </c>
      <c r="L142" s="24">
        <f>IF(L141&gt;=0,L141-O141,L141)</f>
        <v>-1000000</v>
      </c>
      <c r="O142" t="str">
        <f t="shared" si="44"/>
        <v>01000000</v>
      </c>
      <c r="Q142" s="13" t="str">
        <f t="shared" si="45"/>
        <v>00000100</v>
      </c>
      <c r="R142">
        <f t="shared" si="45"/>
        <v>0</v>
      </c>
      <c r="S142">
        <f t="shared" si="46"/>
        <v>0</v>
      </c>
      <c r="T142">
        <f t="shared" si="46"/>
        <v>-7</v>
      </c>
      <c r="U142">
        <f t="shared" si="46"/>
        <v>7</v>
      </c>
      <c r="V142" s="10">
        <f t="shared" si="46"/>
        <v>7</v>
      </c>
    </row>
    <row r="143" spans="1:22" x14ac:dyDescent="0.3">
      <c r="A143" s="9" t="s">
        <v>97</v>
      </c>
      <c r="H143" t="str">
        <f t="shared" si="43"/>
        <v>-</v>
      </c>
      <c r="K143">
        <f>IF(LEN(ABS(L142))&gt;8,LEFT(ABS(L142),1),K142)</f>
        <v>1</v>
      </c>
      <c r="L143" s="24">
        <f>L142</f>
        <v>-1000000</v>
      </c>
      <c r="O143" t="str">
        <f t="shared" si="44"/>
        <v>01000000</v>
      </c>
      <c r="Q143" s="13" t="str">
        <f t="shared" si="45"/>
        <v>00000100</v>
      </c>
      <c r="R143">
        <f>IF(L142&gt;=0,R142+1,R142)</f>
        <v>0</v>
      </c>
      <c r="S143">
        <f t="shared" si="46"/>
        <v>0</v>
      </c>
      <c r="T143">
        <f t="shared" si="46"/>
        <v>-7</v>
      </c>
      <c r="U143">
        <f t="shared" si="46"/>
        <v>7</v>
      </c>
      <c r="V143" s="10">
        <f t="shared" si="46"/>
        <v>7</v>
      </c>
    </row>
    <row r="144" spans="1:22" x14ac:dyDescent="0.3">
      <c r="A144" s="9" t="s">
        <v>21</v>
      </c>
      <c r="D144">
        <v>4</v>
      </c>
      <c r="H144" t="str">
        <f t="shared" si="43"/>
        <v>-</v>
      </c>
      <c r="K144">
        <f>K143</f>
        <v>1</v>
      </c>
      <c r="L144" s="24">
        <f>IF(L143&gt;=0,L143-O143,L143)</f>
        <v>-1000000</v>
      </c>
      <c r="O144" t="str">
        <f t="shared" si="44"/>
        <v>01000000</v>
      </c>
      <c r="Q144" s="13" t="str">
        <f t="shared" si="45"/>
        <v>00000100</v>
      </c>
      <c r="R144">
        <f t="shared" si="45"/>
        <v>0</v>
      </c>
      <c r="S144">
        <f t="shared" si="46"/>
        <v>0</v>
      </c>
      <c r="T144">
        <f t="shared" si="46"/>
        <v>-7</v>
      </c>
      <c r="U144">
        <f t="shared" si="46"/>
        <v>7</v>
      </c>
      <c r="V144" s="10">
        <f t="shared" si="46"/>
        <v>7</v>
      </c>
    </row>
    <row r="145" spans="1:22" x14ac:dyDescent="0.3">
      <c r="A145" s="9" t="s">
        <v>97</v>
      </c>
      <c r="H145" t="str">
        <f t="shared" si="43"/>
        <v>-</v>
      </c>
      <c r="K145">
        <f>IF(LEN(ABS(L144))&gt;8,LEFT(ABS(L144),1),K144)</f>
        <v>1</v>
      </c>
      <c r="L145" s="24">
        <f>L144</f>
        <v>-1000000</v>
      </c>
      <c r="O145" t="str">
        <f t="shared" si="44"/>
        <v>01000000</v>
      </c>
      <c r="Q145" s="13" t="str">
        <f t="shared" si="45"/>
        <v>00000100</v>
      </c>
      <c r="R145">
        <f>IF(L144&gt;=0,R144+1,R144)</f>
        <v>0</v>
      </c>
      <c r="S145">
        <f t="shared" si="46"/>
        <v>0</v>
      </c>
      <c r="T145">
        <f t="shared" si="46"/>
        <v>-7</v>
      </c>
      <c r="U145">
        <f t="shared" si="46"/>
        <v>7</v>
      </c>
      <c r="V145" s="10">
        <f t="shared" si="46"/>
        <v>7</v>
      </c>
    </row>
    <row r="146" spans="1:22" x14ac:dyDescent="0.3">
      <c r="A146" s="9" t="s">
        <v>21</v>
      </c>
      <c r="D146">
        <v>5</v>
      </c>
      <c r="H146" t="str">
        <f t="shared" si="43"/>
        <v>-</v>
      </c>
      <c r="K146">
        <f>K145</f>
        <v>1</v>
      </c>
      <c r="L146" s="24">
        <f>IF(L145&gt;=0,L145-O145,L145)</f>
        <v>-1000000</v>
      </c>
      <c r="O146" t="str">
        <f t="shared" si="44"/>
        <v>01000000</v>
      </c>
      <c r="Q146" s="13" t="str">
        <f t="shared" si="45"/>
        <v>00000100</v>
      </c>
      <c r="R146">
        <f t="shared" si="45"/>
        <v>0</v>
      </c>
      <c r="S146">
        <f t="shared" si="46"/>
        <v>0</v>
      </c>
      <c r="T146">
        <f t="shared" si="46"/>
        <v>-7</v>
      </c>
      <c r="U146">
        <f t="shared" si="46"/>
        <v>7</v>
      </c>
      <c r="V146" s="10">
        <f t="shared" si="46"/>
        <v>7</v>
      </c>
    </row>
    <row r="147" spans="1:22" x14ac:dyDescent="0.3">
      <c r="A147" s="9" t="s">
        <v>97</v>
      </c>
      <c r="H147" t="str">
        <f t="shared" si="43"/>
        <v>-</v>
      </c>
      <c r="K147">
        <f>IF(LEN(ABS(L146))&gt;8,LEFT(ABS(L146),1),K146)</f>
        <v>1</v>
      </c>
      <c r="L147" s="24">
        <f>L146</f>
        <v>-1000000</v>
      </c>
      <c r="O147" t="str">
        <f t="shared" si="44"/>
        <v>01000000</v>
      </c>
      <c r="Q147" s="13" t="str">
        <f t="shared" si="45"/>
        <v>00000100</v>
      </c>
      <c r="R147">
        <f>IF(L146&gt;=0,R146+1,R146)</f>
        <v>0</v>
      </c>
      <c r="S147">
        <f t="shared" si="46"/>
        <v>0</v>
      </c>
      <c r="T147">
        <f t="shared" si="46"/>
        <v>-7</v>
      </c>
      <c r="U147">
        <f t="shared" si="46"/>
        <v>7</v>
      </c>
      <c r="V147" s="10">
        <f t="shared" si="46"/>
        <v>7</v>
      </c>
    </row>
    <row r="148" spans="1:22" x14ac:dyDescent="0.3">
      <c r="A148" s="9" t="s">
        <v>21</v>
      </c>
      <c r="D148">
        <v>6</v>
      </c>
      <c r="H148" t="str">
        <f t="shared" si="43"/>
        <v>-</v>
      </c>
      <c r="K148">
        <f>K147</f>
        <v>1</v>
      </c>
      <c r="L148" s="24">
        <f>IF(L147&gt;=0,L147-O147,L147)</f>
        <v>-1000000</v>
      </c>
      <c r="O148" t="str">
        <f t="shared" si="44"/>
        <v>01000000</v>
      </c>
      <c r="Q148" s="13" t="str">
        <f t="shared" si="45"/>
        <v>00000100</v>
      </c>
      <c r="R148">
        <f t="shared" si="45"/>
        <v>0</v>
      </c>
      <c r="S148">
        <f t="shared" si="46"/>
        <v>0</v>
      </c>
      <c r="T148">
        <f t="shared" si="46"/>
        <v>-7</v>
      </c>
      <c r="U148">
        <f t="shared" si="46"/>
        <v>7</v>
      </c>
      <c r="V148" s="10">
        <f t="shared" si="46"/>
        <v>7</v>
      </c>
    </row>
    <row r="149" spans="1:22" x14ac:dyDescent="0.3">
      <c r="A149" s="9" t="s">
        <v>97</v>
      </c>
      <c r="H149" t="str">
        <f t="shared" si="43"/>
        <v>-</v>
      </c>
      <c r="K149">
        <f>IF(LEN(ABS(L148))&gt;8,LEFT(ABS(L148),1),K148)</f>
        <v>1</v>
      </c>
      <c r="L149" s="24">
        <f>L148</f>
        <v>-1000000</v>
      </c>
      <c r="O149" t="str">
        <f t="shared" si="44"/>
        <v>01000000</v>
      </c>
      <c r="Q149" s="13" t="str">
        <f t="shared" si="45"/>
        <v>00000100</v>
      </c>
      <c r="R149">
        <f>IF(L148&gt;=0,R148+1,R148)</f>
        <v>0</v>
      </c>
      <c r="S149">
        <f t="shared" si="46"/>
        <v>0</v>
      </c>
      <c r="T149">
        <f t="shared" si="46"/>
        <v>-7</v>
      </c>
      <c r="U149">
        <f t="shared" si="46"/>
        <v>7</v>
      </c>
      <c r="V149" s="10">
        <f t="shared" si="46"/>
        <v>7</v>
      </c>
    </row>
    <row r="150" spans="1:22" x14ac:dyDescent="0.3">
      <c r="A150" s="9" t="s">
        <v>21</v>
      </c>
      <c r="D150">
        <v>7</v>
      </c>
      <c r="H150" t="str">
        <f t="shared" si="43"/>
        <v>-</v>
      </c>
      <c r="K150">
        <f>K149</f>
        <v>1</v>
      </c>
      <c r="L150" s="24">
        <f>IF(L149&gt;=0,L149-O149,L149)</f>
        <v>-1000000</v>
      </c>
      <c r="O150" t="str">
        <f t="shared" si="44"/>
        <v>01000000</v>
      </c>
      <c r="Q150" s="13" t="str">
        <f t="shared" si="45"/>
        <v>00000100</v>
      </c>
      <c r="R150">
        <f t="shared" si="45"/>
        <v>0</v>
      </c>
      <c r="S150">
        <f t="shared" si="46"/>
        <v>0</v>
      </c>
      <c r="T150">
        <f t="shared" si="46"/>
        <v>-7</v>
      </c>
      <c r="U150">
        <f t="shared" si="46"/>
        <v>7</v>
      </c>
      <c r="V150" s="10">
        <f t="shared" si="46"/>
        <v>7</v>
      </c>
    </row>
    <row r="151" spans="1:22" x14ac:dyDescent="0.3">
      <c r="A151" s="9" t="s">
        <v>97</v>
      </c>
      <c r="H151" t="str">
        <f t="shared" si="43"/>
        <v>-</v>
      </c>
      <c r="K151">
        <f>IF(LEN(ABS(L150))&gt;8,LEFT(ABS(L150),1),K150)</f>
        <v>1</v>
      </c>
      <c r="L151" s="24">
        <f>L150</f>
        <v>-1000000</v>
      </c>
      <c r="O151" t="str">
        <f t="shared" si="44"/>
        <v>01000000</v>
      </c>
      <c r="Q151" s="13" t="str">
        <f t="shared" si="45"/>
        <v>00000100</v>
      </c>
      <c r="R151">
        <f>IF(L150&gt;=0,R150+1,R150)</f>
        <v>0</v>
      </c>
      <c r="S151">
        <f t="shared" si="46"/>
        <v>0</v>
      </c>
      <c r="T151">
        <f t="shared" si="46"/>
        <v>-7</v>
      </c>
      <c r="U151">
        <f t="shared" si="46"/>
        <v>7</v>
      </c>
      <c r="V151" s="10">
        <f t="shared" si="46"/>
        <v>7</v>
      </c>
    </row>
    <row r="152" spans="1:22" x14ac:dyDescent="0.3">
      <c r="A152" s="9" t="s">
        <v>21</v>
      </c>
      <c r="D152">
        <v>8</v>
      </c>
      <c r="H152" t="str">
        <f t="shared" si="43"/>
        <v>-</v>
      </c>
      <c r="K152">
        <f>K151</f>
        <v>1</v>
      </c>
      <c r="L152" s="24">
        <f>IF(L151&gt;=0,L151-O151,L151)</f>
        <v>-1000000</v>
      </c>
      <c r="O152" t="str">
        <f t="shared" si="44"/>
        <v>01000000</v>
      </c>
      <c r="Q152" s="13" t="str">
        <f t="shared" si="45"/>
        <v>00000100</v>
      </c>
      <c r="R152">
        <f t="shared" si="45"/>
        <v>0</v>
      </c>
      <c r="S152">
        <f t="shared" si="46"/>
        <v>0</v>
      </c>
      <c r="T152">
        <f t="shared" si="46"/>
        <v>-7</v>
      </c>
      <c r="U152">
        <f t="shared" si="46"/>
        <v>7</v>
      </c>
      <c r="V152" s="10">
        <f t="shared" si="46"/>
        <v>7</v>
      </c>
    </row>
    <row r="153" spans="1:22" x14ac:dyDescent="0.3">
      <c r="A153" s="9" t="s">
        <v>97</v>
      </c>
      <c r="H153" t="str">
        <f t="shared" si="43"/>
        <v>-</v>
      </c>
      <c r="K153">
        <f>IF(LEN(ABS(L152))&gt;8,LEFT(ABS(L152),1),K152)</f>
        <v>1</v>
      </c>
      <c r="L153" s="24">
        <f>L152</f>
        <v>-1000000</v>
      </c>
      <c r="O153" t="str">
        <f t="shared" si="44"/>
        <v>01000000</v>
      </c>
      <c r="Q153" s="13" t="str">
        <f t="shared" si="45"/>
        <v>00000100</v>
      </c>
      <c r="R153">
        <f>IF(L152&gt;=0,R152+1,R152)</f>
        <v>0</v>
      </c>
      <c r="S153">
        <f t="shared" si="46"/>
        <v>0</v>
      </c>
      <c r="T153">
        <f t="shared" si="46"/>
        <v>-7</v>
      </c>
      <c r="U153">
        <f t="shared" si="46"/>
        <v>7</v>
      </c>
      <c r="V153" s="10">
        <f t="shared" si="46"/>
        <v>7</v>
      </c>
    </row>
    <row r="154" spans="1:22" x14ac:dyDescent="0.3">
      <c r="A154" s="9" t="s">
        <v>21</v>
      </c>
      <c r="D154">
        <v>9</v>
      </c>
      <c r="H154" t="str">
        <f t="shared" si="43"/>
        <v>-</v>
      </c>
      <c r="K154">
        <f>K153</f>
        <v>1</v>
      </c>
      <c r="L154" s="24">
        <f>IF(L153&gt;=0,L153-O153,L153)</f>
        <v>-1000000</v>
      </c>
      <c r="O154" t="str">
        <f t="shared" si="44"/>
        <v>01000000</v>
      </c>
      <c r="Q154" s="13" t="str">
        <f t="shared" si="45"/>
        <v>00000100</v>
      </c>
      <c r="R154">
        <f t="shared" si="45"/>
        <v>0</v>
      </c>
      <c r="S154">
        <f t="shared" si="46"/>
        <v>0</v>
      </c>
      <c r="T154">
        <f t="shared" si="46"/>
        <v>-7</v>
      </c>
      <c r="U154">
        <f t="shared" si="46"/>
        <v>7</v>
      </c>
      <c r="V154" s="10">
        <f t="shared" si="46"/>
        <v>7</v>
      </c>
    </row>
    <row r="155" spans="1:22" x14ac:dyDescent="0.3">
      <c r="A155" s="9" t="s">
        <v>97</v>
      </c>
      <c r="H155" t="str">
        <f t="shared" si="43"/>
        <v>-</v>
      </c>
      <c r="K155">
        <f>IF(LEN(ABS(L154))&gt;8,LEFT(ABS(L154),1),K154)</f>
        <v>1</v>
      </c>
      <c r="L155" s="24">
        <f>L154</f>
        <v>-1000000</v>
      </c>
      <c r="O155" t="str">
        <f t="shared" si="44"/>
        <v>01000000</v>
      </c>
      <c r="Q155" s="13" t="str">
        <f t="shared" ref="Q155:R157" si="47">Q154</f>
        <v>00000100</v>
      </c>
      <c r="R155">
        <f>IF(L154&gt;=0,R154+1,R154)</f>
        <v>0</v>
      </c>
      <c r="S155">
        <f t="shared" ref="S155:V159" si="48">S154</f>
        <v>0</v>
      </c>
      <c r="T155">
        <f t="shared" si="48"/>
        <v>-7</v>
      </c>
      <c r="U155">
        <f t="shared" si="48"/>
        <v>7</v>
      </c>
      <c r="V155" s="10">
        <f t="shared" si="48"/>
        <v>7</v>
      </c>
    </row>
    <row r="156" spans="1:22" x14ac:dyDescent="0.3">
      <c r="A156" s="9" t="s">
        <v>21</v>
      </c>
      <c r="D156">
        <v>10</v>
      </c>
      <c r="H156" t="str">
        <f t="shared" si="43"/>
        <v>-</v>
      </c>
      <c r="K156">
        <f>K155</f>
        <v>1</v>
      </c>
      <c r="L156" s="24">
        <f>IF(L155&gt;=0,L155-O155,L155)</f>
        <v>-1000000</v>
      </c>
      <c r="O156" t="str">
        <f t="shared" si="44"/>
        <v>01000000</v>
      </c>
      <c r="Q156" s="13" t="str">
        <f t="shared" si="47"/>
        <v>00000100</v>
      </c>
      <c r="R156">
        <f t="shared" si="47"/>
        <v>0</v>
      </c>
      <c r="S156">
        <f t="shared" si="48"/>
        <v>0</v>
      </c>
      <c r="T156">
        <f t="shared" si="48"/>
        <v>-7</v>
      </c>
      <c r="U156">
        <f t="shared" si="48"/>
        <v>7</v>
      </c>
      <c r="V156" s="10">
        <f t="shared" si="48"/>
        <v>7</v>
      </c>
    </row>
    <row r="157" spans="1:22" x14ac:dyDescent="0.3">
      <c r="A157" s="9" t="s">
        <v>97</v>
      </c>
      <c r="H157" t="str">
        <f t="shared" si="43"/>
        <v>-</v>
      </c>
      <c r="K157">
        <f>IF(LEN(ABS(L156))&gt;8,LEFT(ABS(L156),1),K156)</f>
        <v>1</v>
      </c>
      <c r="L157" s="24">
        <f>L156</f>
        <v>-1000000</v>
      </c>
      <c r="O157" t="str">
        <f t="shared" si="44"/>
        <v>01000000</v>
      </c>
      <c r="Q157" s="13" t="str">
        <f t="shared" si="47"/>
        <v>00000100</v>
      </c>
      <c r="R157">
        <f>IF(L156&gt;=0,RIGHT(R156+1,1)*1,R156)</f>
        <v>0</v>
      </c>
      <c r="S157">
        <f t="shared" si="48"/>
        <v>0</v>
      </c>
      <c r="T157">
        <f t="shared" si="48"/>
        <v>-7</v>
      </c>
      <c r="U157">
        <f t="shared" si="48"/>
        <v>7</v>
      </c>
      <c r="V157" s="10">
        <f t="shared" si="48"/>
        <v>7</v>
      </c>
    </row>
    <row r="158" spans="1:22" x14ac:dyDescent="0.3">
      <c r="A158" s="9" t="s">
        <v>16</v>
      </c>
      <c r="D158" t="s">
        <v>98</v>
      </c>
      <c r="H158" t="str">
        <f t="shared" si="43"/>
        <v>-</v>
      </c>
      <c r="K158">
        <f>K157</f>
        <v>1</v>
      </c>
      <c r="L158" s="24">
        <f>L157+O157</f>
        <v>0</v>
      </c>
      <c r="O158" t="str">
        <f t="shared" si="44"/>
        <v>01000000</v>
      </c>
      <c r="Q158" s="13" t="str">
        <f>Q155</f>
        <v>00000100</v>
      </c>
      <c r="R158">
        <f>R157</f>
        <v>0</v>
      </c>
      <c r="S158">
        <f t="shared" si="48"/>
        <v>0</v>
      </c>
      <c r="T158">
        <f t="shared" si="48"/>
        <v>-7</v>
      </c>
      <c r="U158">
        <f t="shared" si="48"/>
        <v>7</v>
      </c>
      <c r="V158" s="10">
        <f t="shared" si="48"/>
        <v>7</v>
      </c>
    </row>
    <row r="159" spans="1:22" x14ac:dyDescent="0.3">
      <c r="A159" s="11" t="s">
        <v>106</v>
      </c>
      <c r="B159" s="1"/>
      <c r="C159" s="1"/>
      <c r="D159" s="1"/>
      <c r="E159" s="1"/>
      <c r="F159" s="1"/>
      <c r="G159" s="1"/>
      <c r="H159" s="1" t="str">
        <f t="shared" si="43"/>
        <v>-</v>
      </c>
      <c r="I159" s="1"/>
      <c r="J159" s="1"/>
      <c r="K159" s="1">
        <f>IF(LEN(ABS(L158))&gt;8,LEFT(ABS(L158),1),K158)</f>
        <v>1</v>
      </c>
      <c r="L159" s="51">
        <f>(L158&amp;LEFT(Q158,1))*1</f>
        <v>0</v>
      </c>
      <c r="M159" s="1"/>
      <c r="N159" s="1"/>
      <c r="O159" s="1" t="str">
        <f t="shared" si="44"/>
        <v>01000000</v>
      </c>
      <c r="P159" s="1"/>
      <c r="Q159" s="16" t="str">
        <f>(RIGHT(Q158,7)&amp;R158)</f>
        <v>00001000</v>
      </c>
      <c r="R159" s="1">
        <f>0</f>
        <v>0</v>
      </c>
      <c r="S159" s="1">
        <f t="shared" si="48"/>
        <v>0</v>
      </c>
      <c r="T159" s="1">
        <f t="shared" si="48"/>
        <v>-7</v>
      </c>
      <c r="U159" s="1">
        <f t="shared" si="48"/>
        <v>7</v>
      </c>
      <c r="V159" s="12">
        <f t="shared" si="48"/>
        <v>7</v>
      </c>
    </row>
    <row r="160" spans="1:22" x14ac:dyDescent="0.3">
      <c r="K160">
        <f>K159</f>
        <v>1</v>
      </c>
      <c r="Q160" s="13"/>
    </row>
    <row r="161" spans="1:22" x14ac:dyDescent="0.3">
      <c r="A161" s="6" t="s">
        <v>21</v>
      </c>
      <c r="B161" s="7"/>
      <c r="C161" s="7" t="s">
        <v>102</v>
      </c>
      <c r="D161" s="7">
        <v>1</v>
      </c>
      <c r="E161" s="7"/>
      <c r="F161" s="7"/>
      <c r="G161" s="7"/>
      <c r="H161" s="7" t="str">
        <f>IF(LEN(ABS(L161))&gt;8,LEN(ABS(L161)),"-")</f>
        <v>-</v>
      </c>
      <c r="I161" s="7"/>
      <c r="J161" s="7"/>
      <c r="K161" s="7">
        <f>K160</f>
        <v>1</v>
      </c>
      <c r="L161" s="52">
        <f>L159-O159</f>
        <v>-1000000</v>
      </c>
      <c r="M161" s="7"/>
      <c r="N161" s="7"/>
      <c r="O161" s="7" t="str">
        <f>O159</f>
        <v>01000000</v>
      </c>
      <c r="P161" s="7"/>
      <c r="Q161" s="15" t="str">
        <f t="shared" ref="Q161:V161" si="49">Q159</f>
        <v>00001000</v>
      </c>
      <c r="R161" s="7">
        <f t="shared" si="49"/>
        <v>0</v>
      </c>
      <c r="S161" s="7">
        <f t="shared" si="49"/>
        <v>0</v>
      </c>
      <c r="T161" s="7">
        <f t="shared" si="49"/>
        <v>-7</v>
      </c>
      <c r="U161" s="7">
        <f t="shared" si="49"/>
        <v>7</v>
      </c>
      <c r="V161" s="8">
        <f t="shared" si="49"/>
        <v>7</v>
      </c>
    </row>
    <row r="162" spans="1:22" x14ac:dyDescent="0.3">
      <c r="A162" s="9" t="s">
        <v>97</v>
      </c>
      <c r="H162" t="str">
        <f t="shared" ref="H162:H182" si="50">IF(LEN(ABS(L162))&gt;8,LEN(ABS(L162)),"-")</f>
        <v>-</v>
      </c>
      <c r="K162">
        <f>IF(LEN(ABS(L161))&gt;8,LEFT(ABS(L161),1),K161)</f>
        <v>1</v>
      </c>
      <c r="L162" s="24">
        <f>L161</f>
        <v>-1000000</v>
      </c>
      <c r="O162" t="str">
        <f t="shared" ref="O162:O182" si="51">O161</f>
        <v>01000000</v>
      </c>
      <c r="Q162" s="13" t="str">
        <f t="shared" ref="Q162:R177" si="52">Q161</f>
        <v>00001000</v>
      </c>
      <c r="R162">
        <f>IF(L161&gt;=0,R161+1,R161)</f>
        <v>0</v>
      </c>
      <c r="S162">
        <f t="shared" ref="S162:V177" si="53">S161</f>
        <v>0</v>
      </c>
      <c r="T162">
        <f t="shared" si="53"/>
        <v>-7</v>
      </c>
      <c r="U162">
        <f t="shared" si="53"/>
        <v>7</v>
      </c>
      <c r="V162" s="10">
        <f t="shared" si="53"/>
        <v>7</v>
      </c>
    </row>
    <row r="163" spans="1:22" x14ac:dyDescent="0.3">
      <c r="A163" s="9" t="s">
        <v>21</v>
      </c>
      <c r="D163">
        <v>2</v>
      </c>
      <c r="H163" t="str">
        <f t="shared" si="50"/>
        <v>-</v>
      </c>
      <c r="K163">
        <f>K162</f>
        <v>1</v>
      </c>
      <c r="L163" s="24">
        <f>IF(L162&gt;=0,L162-O162,L162)</f>
        <v>-1000000</v>
      </c>
      <c r="O163" t="str">
        <f t="shared" si="51"/>
        <v>01000000</v>
      </c>
      <c r="Q163" s="13" t="str">
        <f t="shared" si="52"/>
        <v>00001000</v>
      </c>
      <c r="R163">
        <f t="shared" si="52"/>
        <v>0</v>
      </c>
      <c r="S163">
        <f t="shared" si="53"/>
        <v>0</v>
      </c>
      <c r="T163">
        <f t="shared" si="53"/>
        <v>-7</v>
      </c>
      <c r="U163">
        <f t="shared" si="53"/>
        <v>7</v>
      </c>
      <c r="V163" s="10">
        <f t="shared" si="53"/>
        <v>7</v>
      </c>
    </row>
    <row r="164" spans="1:22" x14ac:dyDescent="0.3">
      <c r="A164" s="9" t="s">
        <v>97</v>
      </c>
      <c r="H164" t="str">
        <f t="shared" si="50"/>
        <v>-</v>
      </c>
      <c r="K164">
        <f>IF(LEN(ABS(L163))&gt;8,LEFT(ABS(L163),1),K163)</f>
        <v>1</v>
      </c>
      <c r="L164" s="24">
        <f>L163</f>
        <v>-1000000</v>
      </c>
      <c r="O164" t="str">
        <f t="shared" si="51"/>
        <v>01000000</v>
      </c>
      <c r="Q164" s="13" t="str">
        <f t="shared" si="52"/>
        <v>00001000</v>
      </c>
      <c r="R164">
        <f>IF(L163&gt;=0,R163+1,R163)</f>
        <v>0</v>
      </c>
      <c r="S164">
        <f t="shared" si="53"/>
        <v>0</v>
      </c>
      <c r="T164">
        <f t="shared" si="53"/>
        <v>-7</v>
      </c>
      <c r="U164">
        <f t="shared" si="53"/>
        <v>7</v>
      </c>
      <c r="V164" s="10">
        <f t="shared" si="53"/>
        <v>7</v>
      </c>
    </row>
    <row r="165" spans="1:22" x14ac:dyDescent="0.3">
      <c r="A165" s="9" t="s">
        <v>21</v>
      </c>
      <c r="D165">
        <v>3</v>
      </c>
      <c r="H165" t="str">
        <f t="shared" si="50"/>
        <v>-</v>
      </c>
      <c r="K165">
        <f>K164</f>
        <v>1</v>
      </c>
      <c r="L165" s="24">
        <f>IF(L164&gt;=0,L164-O164,L164)</f>
        <v>-1000000</v>
      </c>
      <c r="O165" t="str">
        <f t="shared" si="51"/>
        <v>01000000</v>
      </c>
      <c r="Q165" s="13" t="str">
        <f t="shared" si="52"/>
        <v>00001000</v>
      </c>
      <c r="R165">
        <f t="shared" si="52"/>
        <v>0</v>
      </c>
      <c r="S165">
        <f t="shared" si="53"/>
        <v>0</v>
      </c>
      <c r="T165">
        <f t="shared" si="53"/>
        <v>-7</v>
      </c>
      <c r="U165">
        <f t="shared" si="53"/>
        <v>7</v>
      </c>
      <c r="V165" s="10">
        <f t="shared" si="53"/>
        <v>7</v>
      </c>
    </row>
    <row r="166" spans="1:22" x14ac:dyDescent="0.3">
      <c r="A166" s="9" t="s">
        <v>97</v>
      </c>
      <c r="H166" t="str">
        <f t="shared" si="50"/>
        <v>-</v>
      </c>
      <c r="K166">
        <f>IF(LEN(ABS(L165))&gt;8,LEFT(ABS(L165),1),K165)</f>
        <v>1</v>
      </c>
      <c r="L166" s="24">
        <f>L165</f>
        <v>-1000000</v>
      </c>
      <c r="O166" t="str">
        <f t="shared" si="51"/>
        <v>01000000</v>
      </c>
      <c r="Q166" s="13" t="str">
        <f t="shared" si="52"/>
        <v>00001000</v>
      </c>
      <c r="R166">
        <f>IF(L165&gt;=0,R165+1,R165)</f>
        <v>0</v>
      </c>
      <c r="S166">
        <f t="shared" si="53"/>
        <v>0</v>
      </c>
      <c r="T166">
        <f t="shared" si="53"/>
        <v>-7</v>
      </c>
      <c r="U166">
        <f t="shared" si="53"/>
        <v>7</v>
      </c>
      <c r="V166" s="10">
        <f t="shared" si="53"/>
        <v>7</v>
      </c>
    </row>
    <row r="167" spans="1:22" x14ac:dyDescent="0.3">
      <c r="A167" s="9" t="s">
        <v>21</v>
      </c>
      <c r="D167">
        <v>4</v>
      </c>
      <c r="H167" t="str">
        <f t="shared" si="50"/>
        <v>-</v>
      </c>
      <c r="K167">
        <f>K166</f>
        <v>1</v>
      </c>
      <c r="L167" s="24">
        <f>IF(L166&gt;=0,L166-O166,L166)</f>
        <v>-1000000</v>
      </c>
      <c r="O167" t="str">
        <f t="shared" si="51"/>
        <v>01000000</v>
      </c>
      <c r="Q167" s="13" t="str">
        <f t="shared" si="52"/>
        <v>00001000</v>
      </c>
      <c r="R167">
        <f t="shared" si="52"/>
        <v>0</v>
      </c>
      <c r="S167">
        <f t="shared" si="53"/>
        <v>0</v>
      </c>
      <c r="T167">
        <f t="shared" si="53"/>
        <v>-7</v>
      </c>
      <c r="U167">
        <f t="shared" si="53"/>
        <v>7</v>
      </c>
      <c r="V167" s="10">
        <f t="shared" si="53"/>
        <v>7</v>
      </c>
    </row>
    <row r="168" spans="1:22" x14ac:dyDescent="0.3">
      <c r="A168" s="9" t="s">
        <v>97</v>
      </c>
      <c r="H168" t="str">
        <f t="shared" si="50"/>
        <v>-</v>
      </c>
      <c r="K168">
        <f>IF(LEN(ABS(L167))&gt;8,LEFT(ABS(L167),1),K167)</f>
        <v>1</v>
      </c>
      <c r="L168" s="24">
        <f>L167</f>
        <v>-1000000</v>
      </c>
      <c r="O168" t="str">
        <f t="shared" si="51"/>
        <v>01000000</v>
      </c>
      <c r="Q168" s="13" t="str">
        <f t="shared" si="52"/>
        <v>00001000</v>
      </c>
      <c r="R168">
        <f>IF(L167&gt;=0,R167+1,R167)</f>
        <v>0</v>
      </c>
      <c r="S168">
        <f t="shared" si="53"/>
        <v>0</v>
      </c>
      <c r="T168">
        <f t="shared" si="53"/>
        <v>-7</v>
      </c>
      <c r="U168">
        <f t="shared" si="53"/>
        <v>7</v>
      </c>
      <c r="V168" s="10">
        <f t="shared" si="53"/>
        <v>7</v>
      </c>
    </row>
    <row r="169" spans="1:22" x14ac:dyDescent="0.3">
      <c r="A169" s="9" t="s">
        <v>21</v>
      </c>
      <c r="D169">
        <v>5</v>
      </c>
      <c r="H169" t="str">
        <f t="shared" si="50"/>
        <v>-</v>
      </c>
      <c r="K169">
        <f>K168</f>
        <v>1</v>
      </c>
      <c r="L169" s="24">
        <f>IF(L168&gt;=0,L168-O168,L168)</f>
        <v>-1000000</v>
      </c>
      <c r="O169" t="str">
        <f t="shared" si="51"/>
        <v>01000000</v>
      </c>
      <c r="Q169" s="13" t="str">
        <f t="shared" si="52"/>
        <v>00001000</v>
      </c>
      <c r="R169">
        <f t="shared" si="52"/>
        <v>0</v>
      </c>
      <c r="S169">
        <f t="shared" si="53"/>
        <v>0</v>
      </c>
      <c r="T169">
        <f t="shared" si="53"/>
        <v>-7</v>
      </c>
      <c r="U169">
        <f t="shared" si="53"/>
        <v>7</v>
      </c>
      <c r="V169" s="10">
        <f t="shared" si="53"/>
        <v>7</v>
      </c>
    </row>
    <row r="170" spans="1:22" x14ac:dyDescent="0.3">
      <c r="A170" s="9" t="s">
        <v>97</v>
      </c>
      <c r="H170" t="str">
        <f t="shared" si="50"/>
        <v>-</v>
      </c>
      <c r="K170">
        <f>IF(LEN(ABS(L169))&gt;8,LEFT(ABS(L169),1),K169)</f>
        <v>1</v>
      </c>
      <c r="L170" s="24">
        <f>L169</f>
        <v>-1000000</v>
      </c>
      <c r="O170" t="str">
        <f t="shared" si="51"/>
        <v>01000000</v>
      </c>
      <c r="Q170" s="13" t="str">
        <f t="shared" si="52"/>
        <v>00001000</v>
      </c>
      <c r="R170">
        <f>IF(L169&gt;=0,R169+1,R169)</f>
        <v>0</v>
      </c>
      <c r="S170">
        <f t="shared" si="53"/>
        <v>0</v>
      </c>
      <c r="T170">
        <f t="shared" si="53"/>
        <v>-7</v>
      </c>
      <c r="U170">
        <f t="shared" si="53"/>
        <v>7</v>
      </c>
      <c r="V170" s="10">
        <f t="shared" si="53"/>
        <v>7</v>
      </c>
    </row>
    <row r="171" spans="1:22" x14ac:dyDescent="0.3">
      <c r="A171" s="9" t="s">
        <v>21</v>
      </c>
      <c r="D171">
        <v>6</v>
      </c>
      <c r="H171" t="str">
        <f t="shared" si="50"/>
        <v>-</v>
      </c>
      <c r="K171">
        <f>K170</f>
        <v>1</v>
      </c>
      <c r="L171" s="24">
        <f>IF(L170&gt;=0,L170-O170,L170)</f>
        <v>-1000000</v>
      </c>
      <c r="O171" t="str">
        <f t="shared" si="51"/>
        <v>01000000</v>
      </c>
      <c r="Q171" s="13" t="str">
        <f t="shared" si="52"/>
        <v>00001000</v>
      </c>
      <c r="R171">
        <f t="shared" si="52"/>
        <v>0</v>
      </c>
      <c r="S171">
        <f t="shared" si="53"/>
        <v>0</v>
      </c>
      <c r="T171">
        <f t="shared" si="53"/>
        <v>-7</v>
      </c>
      <c r="U171">
        <f t="shared" si="53"/>
        <v>7</v>
      </c>
      <c r="V171" s="10">
        <f t="shared" si="53"/>
        <v>7</v>
      </c>
    </row>
    <row r="172" spans="1:22" x14ac:dyDescent="0.3">
      <c r="A172" s="9" t="s">
        <v>97</v>
      </c>
      <c r="H172" t="str">
        <f t="shared" si="50"/>
        <v>-</v>
      </c>
      <c r="K172">
        <f>IF(LEN(ABS(L171))&gt;8,LEFT(ABS(L171),1),K171)</f>
        <v>1</v>
      </c>
      <c r="L172" s="24">
        <f>L171</f>
        <v>-1000000</v>
      </c>
      <c r="O172" t="str">
        <f t="shared" si="51"/>
        <v>01000000</v>
      </c>
      <c r="Q172" s="13" t="str">
        <f t="shared" si="52"/>
        <v>00001000</v>
      </c>
      <c r="R172">
        <f>IF(L171&gt;=0,R171+1,R171)</f>
        <v>0</v>
      </c>
      <c r="S172">
        <f t="shared" si="53"/>
        <v>0</v>
      </c>
      <c r="T172">
        <f t="shared" si="53"/>
        <v>-7</v>
      </c>
      <c r="U172">
        <f t="shared" si="53"/>
        <v>7</v>
      </c>
      <c r="V172" s="10">
        <f t="shared" si="53"/>
        <v>7</v>
      </c>
    </row>
    <row r="173" spans="1:22" x14ac:dyDescent="0.3">
      <c r="A173" s="9" t="s">
        <v>21</v>
      </c>
      <c r="D173">
        <v>7</v>
      </c>
      <c r="H173" t="str">
        <f t="shared" si="50"/>
        <v>-</v>
      </c>
      <c r="K173">
        <f>K172</f>
        <v>1</v>
      </c>
      <c r="L173" s="24">
        <f>IF(L172&gt;=0,L172-O172,L172)</f>
        <v>-1000000</v>
      </c>
      <c r="O173" t="str">
        <f t="shared" si="51"/>
        <v>01000000</v>
      </c>
      <c r="Q173" s="13" t="str">
        <f t="shared" si="52"/>
        <v>00001000</v>
      </c>
      <c r="R173">
        <f t="shared" si="52"/>
        <v>0</v>
      </c>
      <c r="S173">
        <f t="shared" si="53"/>
        <v>0</v>
      </c>
      <c r="T173">
        <f t="shared" si="53"/>
        <v>-7</v>
      </c>
      <c r="U173">
        <f t="shared" si="53"/>
        <v>7</v>
      </c>
      <c r="V173" s="10">
        <f t="shared" si="53"/>
        <v>7</v>
      </c>
    </row>
    <row r="174" spans="1:22" x14ac:dyDescent="0.3">
      <c r="A174" s="9" t="s">
        <v>97</v>
      </c>
      <c r="H174" t="str">
        <f t="shared" si="50"/>
        <v>-</v>
      </c>
      <c r="K174">
        <f>IF(LEN(ABS(L173))&gt;8,LEFT(ABS(L173),1),K173)</f>
        <v>1</v>
      </c>
      <c r="L174" s="24">
        <f>L173</f>
        <v>-1000000</v>
      </c>
      <c r="O174" t="str">
        <f t="shared" si="51"/>
        <v>01000000</v>
      </c>
      <c r="Q174" s="13" t="str">
        <f t="shared" si="52"/>
        <v>00001000</v>
      </c>
      <c r="R174">
        <f>IF(L173&gt;=0,R173+1,R173)</f>
        <v>0</v>
      </c>
      <c r="S174">
        <f t="shared" si="53"/>
        <v>0</v>
      </c>
      <c r="T174">
        <f t="shared" si="53"/>
        <v>-7</v>
      </c>
      <c r="U174">
        <f t="shared" si="53"/>
        <v>7</v>
      </c>
      <c r="V174" s="10">
        <f t="shared" si="53"/>
        <v>7</v>
      </c>
    </row>
    <row r="175" spans="1:22" x14ac:dyDescent="0.3">
      <c r="A175" s="9" t="s">
        <v>21</v>
      </c>
      <c r="D175">
        <v>8</v>
      </c>
      <c r="H175" t="str">
        <f t="shared" si="50"/>
        <v>-</v>
      </c>
      <c r="K175">
        <f>K174</f>
        <v>1</v>
      </c>
      <c r="L175" s="24">
        <f>IF(L174&gt;=0,L174-O174,L174)</f>
        <v>-1000000</v>
      </c>
      <c r="O175" t="str">
        <f t="shared" si="51"/>
        <v>01000000</v>
      </c>
      <c r="Q175" s="13" t="str">
        <f t="shared" si="52"/>
        <v>00001000</v>
      </c>
      <c r="R175">
        <f t="shared" si="52"/>
        <v>0</v>
      </c>
      <c r="S175">
        <f t="shared" si="53"/>
        <v>0</v>
      </c>
      <c r="T175">
        <f t="shared" si="53"/>
        <v>-7</v>
      </c>
      <c r="U175">
        <f t="shared" si="53"/>
        <v>7</v>
      </c>
      <c r="V175" s="10">
        <f t="shared" si="53"/>
        <v>7</v>
      </c>
    </row>
    <row r="176" spans="1:22" x14ac:dyDescent="0.3">
      <c r="A176" s="9" t="s">
        <v>97</v>
      </c>
      <c r="H176" t="str">
        <f t="shared" si="50"/>
        <v>-</v>
      </c>
      <c r="K176">
        <f>IF(LEN(ABS(L175))&gt;8,LEFT(ABS(L175),1),K175)</f>
        <v>1</v>
      </c>
      <c r="L176" s="24">
        <f>L175</f>
        <v>-1000000</v>
      </c>
      <c r="O176" t="str">
        <f t="shared" si="51"/>
        <v>01000000</v>
      </c>
      <c r="Q176" s="13" t="str">
        <f t="shared" si="52"/>
        <v>00001000</v>
      </c>
      <c r="R176">
        <f>IF(L175&gt;=0,R175+1,R175)</f>
        <v>0</v>
      </c>
      <c r="S176">
        <f t="shared" si="53"/>
        <v>0</v>
      </c>
      <c r="T176">
        <f t="shared" si="53"/>
        <v>-7</v>
      </c>
      <c r="U176">
        <f t="shared" si="53"/>
        <v>7</v>
      </c>
      <c r="V176" s="10">
        <f t="shared" si="53"/>
        <v>7</v>
      </c>
    </row>
    <row r="177" spans="1:22" x14ac:dyDescent="0.3">
      <c r="A177" s="9" t="s">
        <v>21</v>
      </c>
      <c r="D177">
        <v>9</v>
      </c>
      <c r="H177" t="str">
        <f t="shared" si="50"/>
        <v>-</v>
      </c>
      <c r="K177">
        <f>K176</f>
        <v>1</v>
      </c>
      <c r="L177" s="24">
        <f>IF(L176&gt;=0,L176-O176,L176)</f>
        <v>-1000000</v>
      </c>
      <c r="O177" t="str">
        <f t="shared" si="51"/>
        <v>01000000</v>
      </c>
      <c r="Q177" s="13" t="str">
        <f t="shared" si="52"/>
        <v>00001000</v>
      </c>
      <c r="R177">
        <f t="shared" si="52"/>
        <v>0</v>
      </c>
      <c r="S177">
        <f t="shared" si="53"/>
        <v>0</v>
      </c>
      <c r="T177">
        <f t="shared" si="53"/>
        <v>-7</v>
      </c>
      <c r="U177">
        <f t="shared" si="53"/>
        <v>7</v>
      </c>
      <c r="V177" s="10">
        <f t="shared" si="53"/>
        <v>7</v>
      </c>
    </row>
    <row r="178" spans="1:22" x14ac:dyDescent="0.3">
      <c r="A178" s="9" t="s">
        <v>97</v>
      </c>
      <c r="H178" t="str">
        <f t="shared" si="50"/>
        <v>-</v>
      </c>
      <c r="K178">
        <f>IF(LEN(ABS(L177))&gt;8,LEFT(ABS(L177),1),K177)</f>
        <v>1</v>
      </c>
      <c r="L178" s="24">
        <f>L177</f>
        <v>-1000000</v>
      </c>
      <c r="O178" t="str">
        <f t="shared" si="51"/>
        <v>01000000</v>
      </c>
      <c r="Q178" s="13" t="str">
        <f t="shared" ref="Q178:R180" si="54">Q177</f>
        <v>00001000</v>
      </c>
      <c r="R178">
        <f>IF(L177&gt;=0,R177+1,R177)</f>
        <v>0</v>
      </c>
      <c r="S178">
        <f t="shared" ref="S178:V182" si="55">S177</f>
        <v>0</v>
      </c>
      <c r="T178">
        <f t="shared" si="55"/>
        <v>-7</v>
      </c>
      <c r="U178">
        <f t="shared" si="55"/>
        <v>7</v>
      </c>
      <c r="V178" s="10">
        <f t="shared" si="55"/>
        <v>7</v>
      </c>
    </row>
    <row r="179" spans="1:22" x14ac:dyDescent="0.3">
      <c r="A179" s="9" t="s">
        <v>21</v>
      </c>
      <c r="D179">
        <v>10</v>
      </c>
      <c r="H179" t="str">
        <f t="shared" si="50"/>
        <v>-</v>
      </c>
      <c r="K179">
        <f>K178</f>
        <v>1</v>
      </c>
      <c r="L179" s="24">
        <f>IF(L178&gt;=0,L178-O178,L178)</f>
        <v>-1000000</v>
      </c>
      <c r="O179" t="str">
        <f t="shared" si="51"/>
        <v>01000000</v>
      </c>
      <c r="Q179" s="13" t="str">
        <f t="shared" si="54"/>
        <v>00001000</v>
      </c>
      <c r="R179">
        <f t="shared" si="54"/>
        <v>0</v>
      </c>
      <c r="S179">
        <f t="shared" si="55"/>
        <v>0</v>
      </c>
      <c r="T179">
        <f t="shared" si="55"/>
        <v>-7</v>
      </c>
      <c r="U179">
        <f t="shared" si="55"/>
        <v>7</v>
      </c>
      <c r="V179" s="10">
        <f t="shared" si="55"/>
        <v>7</v>
      </c>
    </row>
    <row r="180" spans="1:22" x14ac:dyDescent="0.3">
      <c r="A180" s="9" t="s">
        <v>97</v>
      </c>
      <c r="H180" t="str">
        <f t="shared" si="50"/>
        <v>-</v>
      </c>
      <c r="K180">
        <f>IF(LEN(ABS(L179))&gt;8,LEFT(ABS(L179),1),K179)</f>
        <v>1</v>
      </c>
      <c r="L180" s="24">
        <f>L179</f>
        <v>-1000000</v>
      </c>
      <c r="O180" t="str">
        <f t="shared" si="51"/>
        <v>01000000</v>
      </c>
      <c r="Q180" s="13" t="str">
        <f t="shared" si="54"/>
        <v>00001000</v>
      </c>
      <c r="R180">
        <f>IF(L179&gt;=0,RIGHT(R179+1,1)*1,R179)</f>
        <v>0</v>
      </c>
      <c r="S180">
        <f t="shared" si="55"/>
        <v>0</v>
      </c>
      <c r="T180">
        <f t="shared" si="55"/>
        <v>-7</v>
      </c>
      <c r="U180">
        <f t="shared" si="55"/>
        <v>7</v>
      </c>
      <c r="V180" s="10">
        <f t="shared" si="55"/>
        <v>7</v>
      </c>
    </row>
    <row r="181" spans="1:22" x14ac:dyDescent="0.3">
      <c r="A181" s="9" t="s">
        <v>16</v>
      </c>
      <c r="D181" t="s">
        <v>98</v>
      </c>
      <c r="H181" t="str">
        <f t="shared" si="50"/>
        <v>-</v>
      </c>
      <c r="K181">
        <f>K180</f>
        <v>1</v>
      </c>
      <c r="L181" s="24">
        <f>L180+O180</f>
        <v>0</v>
      </c>
      <c r="O181" t="str">
        <f t="shared" si="51"/>
        <v>01000000</v>
      </c>
      <c r="Q181" s="13" t="str">
        <f>Q178</f>
        <v>00001000</v>
      </c>
      <c r="R181">
        <f>R180</f>
        <v>0</v>
      </c>
      <c r="S181">
        <f t="shared" si="55"/>
        <v>0</v>
      </c>
      <c r="T181">
        <f t="shared" si="55"/>
        <v>-7</v>
      </c>
      <c r="U181">
        <f t="shared" si="55"/>
        <v>7</v>
      </c>
      <c r="V181" s="10">
        <f t="shared" si="55"/>
        <v>7</v>
      </c>
    </row>
    <row r="182" spans="1:22" x14ac:dyDescent="0.3">
      <c r="A182" s="11" t="s">
        <v>106</v>
      </c>
      <c r="B182" s="1"/>
      <c r="C182" s="1"/>
      <c r="D182" s="1"/>
      <c r="E182" s="1"/>
      <c r="F182" s="1"/>
      <c r="G182" s="1"/>
      <c r="H182" s="1" t="str">
        <f t="shared" si="50"/>
        <v>-</v>
      </c>
      <c r="I182" s="1"/>
      <c r="J182" s="1"/>
      <c r="K182" s="1">
        <f>IF(LEN(ABS(L181))&gt;8,LEFT(ABS(L181),1),K181)</f>
        <v>1</v>
      </c>
      <c r="L182" s="51">
        <f>(L181&amp;LEFT(Q181,1))*1</f>
        <v>0</v>
      </c>
      <c r="M182" s="1"/>
      <c r="N182" s="1"/>
      <c r="O182" s="1" t="str">
        <f t="shared" si="51"/>
        <v>01000000</v>
      </c>
      <c r="P182" s="1"/>
      <c r="Q182" s="16" t="str">
        <f>(RIGHT(Q181,7)&amp;R181)</f>
        <v>00010000</v>
      </c>
      <c r="R182" s="1">
        <f>0</f>
        <v>0</v>
      </c>
      <c r="S182" s="1">
        <f t="shared" si="55"/>
        <v>0</v>
      </c>
      <c r="T182" s="1">
        <f t="shared" si="55"/>
        <v>-7</v>
      </c>
      <c r="U182" s="1">
        <f t="shared" si="55"/>
        <v>7</v>
      </c>
      <c r="V182" s="12">
        <f t="shared" si="55"/>
        <v>7</v>
      </c>
    </row>
    <row r="183" spans="1:22" x14ac:dyDescent="0.3">
      <c r="K183">
        <f>K182</f>
        <v>1</v>
      </c>
      <c r="Q183" s="13"/>
    </row>
    <row r="184" spans="1:22" x14ac:dyDescent="0.3">
      <c r="A184" s="6" t="s">
        <v>21</v>
      </c>
      <c r="B184" s="7"/>
      <c r="C184" s="7" t="s">
        <v>103</v>
      </c>
      <c r="D184" s="7">
        <v>1</v>
      </c>
      <c r="E184" s="7"/>
      <c r="F184" s="7"/>
      <c r="G184" s="7"/>
      <c r="H184" s="7" t="str">
        <f>IF(LEN(ABS(L184))&gt;8,LEN(ABS(L184)),"-")</f>
        <v>-</v>
      </c>
      <c r="I184" s="7"/>
      <c r="J184" s="7"/>
      <c r="K184" s="7">
        <f>K183</f>
        <v>1</v>
      </c>
      <c r="L184" s="52">
        <f>L182-O182</f>
        <v>-1000000</v>
      </c>
      <c r="M184" s="7"/>
      <c r="N184" s="7"/>
      <c r="O184" s="7" t="str">
        <f>O182</f>
        <v>01000000</v>
      </c>
      <c r="P184" s="7"/>
      <c r="Q184" s="15" t="str">
        <f t="shared" ref="Q184:V184" si="56">Q182</f>
        <v>00010000</v>
      </c>
      <c r="R184" s="7">
        <f t="shared" si="56"/>
        <v>0</v>
      </c>
      <c r="S184" s="7">
        <f t="shared" si="56"/>
        <v>0</v>
      </c>
      <c r="T184" s="7">
        <f t="shared" si="56"/>
        <v>-7</v>
      </c>
      <c r="U184" s="7">
        <f t="shared" si="56"/>
        <v>7</v>
      </c>
      <c r="V184" s="8">
        <f t="shared" si="56"/>
        <v>7</v>
      </c>
    </row>
    <row r="185" spans="1:22" x14ac:dyDescent="0.3">
      <c r="A185" s="9" t="s">
        <v>97</v>
      </c>
      <c r="H185" t="str">
        <f t="shared" ref="H185:H205" si="57">IF(LEN(ABS(L185))&gt;8,LEN(ABS(L185)),"-")</f>
        <v>-</v>
      </c>
      <c r="K185">
        <f>IF(LEN(ABS(L184))&gt;8,LEFT(ABS(L184),1),K184)</f>
        <v>1</v>
      </c>
      <c r="L185" s="24">
        <f>L184</f>
        <v>-1000000</v>
      </c>
      <c r="O185" t="str">
        <f t="shared" ref="O185:O205" si="58">O184</f>
        <v>01000000</v>
      </c>
      <c r="Q185" s="13" t="str">
        <f t="shared" ref="Q185:R200" si="59">Q184</f>
        <v>00010000</v>
      </c>
      <c r="R185">
        <f>IF(L184&gt;=0,R184+1,R184)</f>
        <v>0</v>
      </c>
      <c r="S185">
        <f t="shared" ref="S185:V200" si="60">S184</f>
        <v>0</v>
      </c>
      <c r="T185">
        <f t="shared" si="60"/>
        <v>-7</v>
      </c>
      <c r="U185">
        <f t="shared" si="60"/>
        <v>7</v>
      </c>
      <c r="V185" s="10">
        <f t="shared" si="60"/>
        <v>7</v>
      </c>
    </row>
    <row r="186" spans="1:22" x14ac:dyDescent="0.3">
      <c r="A186" s="9" t="s">
        <v>21</v>
      </c>
      <c r="D186">
        <v>2</v>
      </c>
      <c r="H186" t="str">
        <f t="shared" si="57"/>
        <v>-</v>
      </c>
      <c r="K186">
        <f>K185</f>
        <v>1</v>
      </c>
      <c r="L186" s="24">
        <f>IF(L185&gt;=0,L185-O185,L185)</f>
        <v>-1000000</v>
      </c>
      <c r="O186" t="str">
        <f t="shared" si="58"/>
        <v>01000000</v>
      </c>
      <c r="Q186" s="13" t="str">
        <f t="shared" si="59"/>
        <v>00010000</v>
      </c>
      <c r="R186">
        <f t="shared" si="59"/>
        <v>0</v>
      </c>
      <c r="S186">
        <f t="shared" si="60"/>
        <v>0</v>
      </c>
      <c r="T186">
        <f t="shared" si="60"/>
        <v>-7</v>
      </c>
      <c r="U186">
        <f t="shared" si="60"/>
        <v>7</v>
      </c>
      <c r="V186" s="10">
        <f t="shared" si="60"/>
        <v>7</v>
      </c>
    </row>
    <row r="187" spans="1:22" x14ac:dyDescent="0.3">
      <c r="A187" s="9" t="s">
        <v>97</v>
      </c>
      <c r="H187" t="str">
        <f t="shared" si="57"/>
        <v>-</v>
      </c>
      <c r="K187">
        <f>IF(LEN(ABS(L186))&gt;8,LEFT(ABS(L186),1),K186)</f>
        <v>1</v>
      </c>
      <c r="L187" s="24">
        <f>L186</f>
        <v>-1000000</v>
      </c>
      <c r="O187" t="str">
        <f t="shared" si="58"/>
        <v>01000000</v>
      </c>
      <c r="Q187" s="13" t="str">
        <f t="shared" si="59"/>
        <v>00010000</v>
      </c>
      <c r="R187">
        <f>IF(L186&gt;=0,R186+1,R186)</f>
        <v>0</v>
      </c>
      <c r="S187">
        <f t="shared" si="60"/>
        <v>0</v>
      </c>
      <c r="T187">
        <f t="shared" si="60"/>
        <v>-7</v>
      </c>
      <c r="U187">
        <f t="shared" si="60"/>
        <v>7</v>
      </c>
      <c r="V187" s="10">
        <f t="shared" si="60"/>
        <v>7</v>
      </c>
    </row>
    <row r="188" spans="1:22" x14ac:dyDescent="0.3">
      <c r="A188" s="9" t="s">
        <v>21</v>
      </c>
      <c r="D188">
        <v>3</v>
      </c>
      <c r="H188" t="str">
        <f t="shared" si="57"/>
        <v>-</v>
      </c>
      <c r="K188">
        <f>K187</f>
        <v>1</v>
      </c>
      <c r="L188" s="24">
        <f>IF(L187&gt;=0,L187-O187,L187)</f>
        <v>-1000000</v>
      </c>
      <c r="O188" t="str">
        <f t="shared" si="58"/>
        <v>01000000</v>
      </c>
      <c r="Q188" s="13" t="str">
        <f t="shared" si="59"/>
        <v>00010000</v>
      </c>
      <c r="R188">
        <f t="shared" si="59"/>
        <v>0</v>
      </c>
      <c r="S188">
        <f t="shared" si="60"/>
        <v>0</v>
      </c>
      <c r="T188">
        <f t="shared" si="60"/>
        <v>-7</v>
      </c>
      <c r="U188">
        <f t="shared" si="60"/>
        <v>7</v>
      </c>
      <c r="V188" s="10">
        <f t="shared" si="60"/>
        <v>7</v>
      </c>
    </row>
    <row r="189" spans="1:22" x14ac:dyDescent="0.3">
      <c r="A189" s="9" t="s">
        <v>97</v>
      </c>
      <c r="H189" t="str">
        <f t="shared" si="57"/>
        <v>-</v>
      </c>
      <c r="K189">
        <f>IF(LEN(ABS(L188))&gt;8,LEFT(ABS(L188),1),K188)</f>
        <v>1</v>
      </c>
      <c r="L189" s="24">
        <f>L188</f>
        <v>-1000000</v>
      </c>
      <c r="O189" t="str">
        <f t="shared" si="58"/>
        <v>01000000</v>
      </c>
      <c r="Q189" s="13" t="str">
        <f t="shared" si="59"/>
        <v>00010000</v>
      </c>
      <c r="R189">
        <f>IF(L188&gt;=0,R188+1,R188)</f>
        <v>0</v>
      </c>
      <c r="S189">
        <f t="shared" si="60"/>
        <v>0</v>
      </c>
      <c r="T189">
        <f t="shared" si="60"/>
        <v>-7</v>
      </c>
      <c r="U189">
        <f t="shared" si="60"/>
        <v>7</v>
      </c>
      <c r="V189" s="10">
        <f t="shared" si="60"/>
        <v>7</v>
      </c>
    </row>
    <row r="190" spans="1:22" x14ac:dyDescent="0.3">
      <c r="A190" s="9" t="s">
        <v>21</v>
      </c>
      <c r="D190">
        <v>4</v>
      </c>
      <c r="H190" t="str">
        <f t="shared" si="57"/>
        <v>-</v>
      </c>
      <c r="K190">
        <f>K189</f>
        <v>1</v>
      </c>
      <c r="L190" s="24">
        <f>IF(L189&gt;=0,L189-O189,L189)</f>
        <v>-1000000</v>
      </c>
      <c r="O190" t="str">
        <f t="shared" si="58"/>
        <v>01000000</v>
      </c>
      <c r="Q190" s="13" t="str">
        <f t="shared" si="59"/>
        <v>00010000</v>
      </c>
      <c r="R190">
        <f t="shared" si="59"/>
        <v>0</v>
      </c>
      <c r="S190">
        <f t="shared" si="60"/>
        <v>0</v>
      </c>
      <c r="T190">
        <f t="shared" si="60"/>
        <v>-7</v>
      </c>
      <c r="U190">
        <f t="shared" si="60"/>
        <v>7</v>
      </c>
      <c r="V190" s="10">
        <f t="shared" si="60"/>
        <v>7</v>
      </c>
    </row>
    <row r="191" spans="1:22" x14ac:dyDescent="0.3">
      <c r="A191" s="9" t="s">
        <v>97</v>
      </c>
      <c r="H191" t="str">
        <f t="shared" si="57"/>
        <v>-</v>
      </c>
      <c r="K191">
        <f>IF(LEN(ABS(L190))&gt;8,LEFT(ABS(L190),1),K190)</f>
        <v>1</v>
      </c>
      <c r="L191" s="24">
        <f>L190</f>
        <v>-1000000</v>
      </c>
      <c r="O191" t="str">
        <f t="shared" si="58"/>
        <v>01000000</v>
      </c>
      <c r="Q191" s="13" t="str">
        <f t="shared" si="59"/>
        <v>00010000</v>
      </c>
      <c r="R191">
        <f>IF(L190&gt;=0,R190+1,R190)</f>
        <v>0</v>
      </c>
      <c r="S191">
        <f t="shared" si="60"/>
        <v>0</v>
      </c>
      <c r="T191">
        <f t="shared" si="60"/>
        <v>-7</v>
      </c>
      <c r="U191">
        <f t="shared" si="60"/>
        <v>7</v>
      </c>
      <c r="V191" s="10">
        <f t="shared" si="60"/>
        <v>7</v>
      </c>
    </row>
    <row r="192" spans="1:22" x14ac:dyDescent="0.3">
      <c r="A192" s="9" t="s">
        <v>21</v>
      </c>
      <c r="D192">
        <v>5</v>
      </c>
      <c r="H192" t="str">
        <f t="shared" si="57"/>
        <v>-</v>
      </c>
      <c r="K192">
        <f>K191</f>
        <v>1</v>
      </c>
      <c r="L192" s="24">
        <f>IF(L191&gt;=0,L191-O191,L191)</f>
        <v>-1000000</v>
      </c>
      <c r="O192" t="str">
        <f t="shared" si="58"/>
        <v>01000000</v>
      </c>
      <c r="Q192" s="13" t="str">
        <f t="shared" si="59"/>
        <v>00010000</v>
      </c>
      <c r="R192">
        <f t="shared" si="59"/>
        <v>0</v>
      </c>
      <c r="S192">
        <f t="shared" si="60"/>
        <v>0</v>
      </c>
      <c r="T192">
        <f t="shared" si="60"/>
        <v>-7</v>
      </c>
      <c r="U192">
        <f t="shared" si="60"/>
        <v>7</v>
      </c>
      <c r="V192" s="10">
        <f t="shared" si="60"/>
        <v>7</v>
      </c>
    </row>
    <row r="193" spans="1:22" x14ac:dyDescent="0.3">
      <c r="A193" s="9" t="s">
        <v>97</v>
      </c>
      <c r="H193" t="str">
        <f t="shared" si="57"/>
        <v>-</v>
      </c>
      <c r="K193">
        <f>IF(LEN(ABS(L192))&gt;8,LEFT(ABS(L192),1),K192)</f>
        <v>1</v>
      </c>
      <c r="L193" s="24">
        <f>L192</f>
        <v>-1000000</v>
      </c>
      <c r="O193" t="str">
        <f t="shared" si="58"/>
        <v>01000000</v>
      </c>
      <c r="Q193" s="13" t="str">
        <f t="shared" si="59"/>
        <v>00010000</v>
      </c>
      <c r="R193">
        <f>IF(L192&gt;=0,R192+1,R192)</f>
        <v>0</v>
      </c>
      <c r="S193">
        <f t="shared" si="60"/>
        <v>0</v>
      </c>
      <c r="T193">
        <f t="shared" si="60"/>
        <v>-7</v>
      </c>
      <c r="U193">
        <f t="shared" si="60"/>
        <v>7</v>
      </c>
      <c r="V193" s="10">
        <f t="shared" si="60"/>
        <v>7</v>
      </c>
    </row>
    <row r="194" spans="1:22" x14ac:dyDescent="0.3">
      <c r="A194" s="9" t="s">
        <v>21</v>
      </c>
      <c r="D194">
        <v>6</v>
      </c>
      <c r="H194" t="str">
        <f t="shared" si="57"/>
        <v>-</v>
      </c>
      <c r="K194">
        <f>K193</f>
        <v>1</v>
      </c>
      <c r="L194" s="24">
        <f>IF(L193&gt;=0,L193-O193,L193)</f>
        <v>-1000000</v>
      </c>
      <c r="O194" t="str">
        <f t="shared" si="58"/>
        <v>01000000</v>
      </c>
      <c r="Q194" s="13" t="str">
        <f t="shared" si="59"/>
        <v>00010000</v>
      </c>
      <c r="R194">
        <f t="shared" si="59"/>
        <v>0</v>
      </c>
      <c r="S194">
        <f t="shared" si="60"/>
        <v>0</v>
      </c>
      <c r="T194">
        <f t="shared" si="60"/>
        <v>-7</v>
      </c>
      <c r="U194">
        <f t="shared" si="60"/>
        <v>7</v>
      </c>
      <c r="V194" s="10">
        <f t="shared" si="60"/>
        <v>7</v>
      </c>
    </row>
    <row r="195" spans="1:22" x14ac:dyDescent="0.3">
      <c r="A195" s="9" t="s">
        <v>97</v>
      </c>
      <c r="H195" t="str">
        <f t="shared" si="57"/>
        <v>-</v>
      </c>
      <c r="K195">
        <f>IF(LEN(ABS(L194))&gt;8,LEFT(ABS(L194),1),K194)</f>
        <v>1</v>
      </c>
      <c r="L195" s="24">
        <f>L194</f>
        <v>-1000000</v>
      </c>
      <c r="O195" t="str">
        <f t="shared" si="58"/>
        <v>01000000</v>
      </c>
      <c r="Q195" s="13" t="str">
        <f t="shared" si="59"/>
        <v>00010000</v>
      </c>
      <c r="R195">
        <f>IF(L194&gt;=0,R194+1,R194)</f>
        <v>0</v>
      </c>
      <c r="S195">
        <f t="shared" si="60"/>
        <v>0</v>
      </c>
      <c r="T195">
        <f t="shared" si="60"/>
        <v>-7</v>
      </c>
      <c r="U195">
        <f t="shared" si="60"/>
        <v>7</v>
      </c>
      <c r="V195" s="10">
        <f t="shared" si="60"/>
        <v>7</v>
      </c>
    </row>
    <row r="196" spans="1:22" x14ac:dyDescent="0.3">
      <c r="A196" s="9" t="s">
        <v>21</v>
      </c>
      <c r="D196">
        <v>7</v>
      </c>
      <c r="H196" t="str">
        <f t="shared" si="57"/>
        <v>-</v>
      </c>
      <c r="K196">
        <f>K195</f>
        <v>1</v>
      </c>
      <c r="L196" s="24">
        <f>IF(L195&gt;=0,L195-O195,L195)</f>
        <v>-1000000</v>
      </c>
      <c r="O196" t="str">
        <f t="shared" si="58"/>
        <v>01000000</v>
      </c>
      <c r="Q196" s="13" t="str">
        <f t="shared" si="59"/>
        <v>00010000</v>
      </c>
      <c r="R196">
        <f t="shared" si="59"/>
        <v>0</v>
      </c>
      <c r="S196">
        <f t="shared" si="60"/>
        <v>0</v>
      </c>
      <c r="T196">
        <f t="shared" si="60"/>
        <v>-7</v>
      </c>
      <c r="U196">
        <f t="shared" si="60"/>
        <v>7</v>
      </c>
      <c r="V196" s="10">
        <f t="shared" si="60"/>
        <v>7</v>
      </c>
    </row>
    <row r="197" spans="1:22" x14ac:dyDescent="0.3">
      <c r="A197" s="9" t="s">
        <v>97</v>
      </c>
      <c r="H197" t="str">
        <f t="shared" si="57"/>
        <v>-</v>
      </c>
      <c r="K197">
        <f>IF(LEN(ABS(L196))&gt;8,LEFT(ABS(L196),1),K196)</f>
        <v>1</v>
      </c>
      <c r="L197" s="24">
        <f>L196</f>
        <v>-1000000</v>
      </c>
      <c r="O197" t="str">
        <f t="shared" si="58"/>
        <v>01000000</v>
      </c>
      <c r="Q197" s="13" t="str">
        <f t="shared" si="59"/>
        <v>00010000</v>
      </c>
      <c r="R197">
        <f>IF(L196&gt;=0,R196+1,R196)</f>
        <v>0</v>
      </c>
      <c r="S197">
        <f t="shared" si="60"/>
        <v>0</v>
      </c>
      <c r="T197">
        <f t="shared" si="60"/>
        <v>-7</v>
      </c>
      <c r="U197">
        <f t="shared" si="60"/>
        <v>7</v>
      </c>
      <c r="V197" s="10">
        <f t="shared" si="60"/>
        <v>7</v>
      </c>
    </row>
    <row r="198" spans="1:22" x14ac:dyDescent="0.3">
      <c r="A198" s="9" t="s">
        <v>21</v>
      </c>
      <c r="D198">
        <v>8</v>
      </c>
      <c r="H198" t="str">
        <f t="shared" si="57"/>
        <v>-</v>
      </c>
      <c r="K198">
        <f>K197</f>
        <v>1</v>
      </c>
      <c r="L198" s="24">
        <f>IF(L197&gt;=0,L197-O197,L197)</f>
        <v>-1000000</v>
      </c>
      <c r="O198" t="str">
        <f t="shared" si="58"/>
        <v>01000000</v>
      </c>
      <c r="Q198" s="13" t="str">
        <f t="shared" si="59"/>
        <v>00010000</v>
      </c>
      <c r="R198">
        <f t="shared" si="59"/>
        <v>0</v>
      </c>
      <c r="S198">
        <f t="shared" si="60"/>
        <v>0</v>
      </c>
      <c r="T198">
        <f t="shared" si="60"/>
        <v>-7</v>
      </c>
      <c r="U198">
        <f t="shared" si="60"/>
        <v>7</v>
      </c>
      <c r="V198" s="10">
        <f t="shared" si="60"/>
        <v>7</v>
      </c>
    </row>
    <row r="199" spans="1:22" x14ac:dyDescent="0.3">
      <c r="A199" s="9" t="s">
        <v>97</v>
      </c>
      <c r="H199" t="str">
        <f t="shared" si="57"/>
        <v>-</v>
      </c>
      <c r="K199">
        <f>IF(LEN(ABS(L198))&gt;8,LEFT(ABS(L198),1),K198)</f>
        <v>1</v>
      </c>
      <c r="L199" s="24">
        <f>L198</f>
        <v>-1000000</v>
      </c>
      <c r="O199" t="str">
        <f t="shared" si="58"/>
        <v>01000000</v>
      </c>
      <c r="Q199" s="13" t="str">
        <f t="shared" si="59"/>
        <v>00010000</v>
      </c>
      <c r="R199">
        <f>IF(L198&gt;=0,R198+1,R198)</f>
        <v>0</v>
      </c>
      <c r="S199">
        <f t="shared" si="60"/>
        <v>0</v>
      </c>
      <c r="T199">
        <f t="shared" si="60"/>
        <v>-7</v>
      </c>
      <c r="U199">
        <f t="shared" si="60"/>
        <v>7</v>
      </c>
      <c r="V199" s="10">
        <f t="shared" si="60"/>
        <v>7</v>
      </c>
    </row>
    <row r="200" spans="1:22" x14ac:dyDescent="0.3">
      <c r="A200" s="9" t="s">
        <v>21</v>
      </c>
      <c r="D200">
        <v>9</v>
      </c>
      <c r="H200" t="str">
        <f t="shared" si="57"/>
        <v>-</v>
      </c>
      <c r="K200">
        <f>K199</f>
        <v>1</v>
      </c>
      <c r="L200" s="24">
        <f>IF(L199&gt;=0,L199-O199,L199)</f>
        <v>-1000000</v>
      </c>
      <c r="O200" t="str">
        <f t="shared" si="58"/>
        <v>01000000</v>
      </c>
      <c r="Q200" s="13" t="str">
        <f t="shared" si="59"/>
        <v>00010000</v>
      </c>
      <c r="R200">
        <f t="shared" si="59"/>
        <v>0</v>
      </c>
      <c r="S200">
        <f t="shared" si="60"/>
        <v>0</v>
      </c>
      <c r="T200">
        <f t="shared" si="60"/>
        <v>-7</v>
      </c>
      <c r="U200">
        <f t="shared" si="60"/>
        <v>7</v>
      </c>
      <c r="V200" s="10">
        <f t="shared" si="60"/>
        <v>7</v>
      </c>
    </row>
    <row r="201" spans="1:22" x14ac:dyDescent="0.3">
      <c r="A201" s="9" t="s">
        <v>97</v>
      </c>
      <c r="H201" t="str">
        <f t="shared" si="57"/>
        <v>-</v>
      </c>
      <c r="K201">
        <f>IF(LEN(ABS(L200))&gt;8,LEFT(ABS(L200),1),K200)</f>
        <v>1</v>
      </c>
      <c r="L201" s="24">
        <f>L200</f>
        <v>-1000000</v>
      </c>
      <c r="O201" t="str">
        <f t="shared" si="58"/>
        <v>01000000</v>
      </c>
      <c r="Q201" s="13" t="str">
        <f t="shared" ref="Q201:R203" si="61">Q200</f>
        <v>00010000</v>
      </c>
      <c r="R201">
        <f>IF(L200&gt;=0,R200+1,R200)</f>
        <v>0</v>
      </c>
      <c r="S201">
        <f t="shared" ref="S201:V205" si="62">S200</f>
        <v>0</v>
      </c>
      <c r="T201">
        <f t="shared" si="62"/>
        <v>-7</v>
      </c>
      <c r="U201">
        <f t="shared" si="62"/>
        <v>7</v>
      </c>
      <c r="V201" s="10">
        <f t="shared" si="62"/>
        <v>7</v>
      </c>
    </row>
    <row r="202" spans="1:22" x14ac:dyDescent="0.3">
      <c r="A202" s="9" t="s">
        <v>21</v>
      </c>
      <c r="D202">
        <v>10</v>
      </c>
      <c r="H202" t="str">
        <f t="shared" si="57"/>
        <v>-</v>
      </c>
      <c r="K202">
        <f>K201</f>
        <v>1</v>
      </c>
      <c r="L202" s="24">
        <f>IF(L201&gt;=0,L201-O201,L201)</f>
        <v>-1000000</v>
      </c>
      <c r="O202" t="str">
        <f t="shared" si="58"/>
        <v>01000000</v>
      </c>
      <c r="Q202" s="13" t="str">
        <f t="shared" si="61"/>
        <v>00010000</v>
      </c>
      <c r="R202">
        <f t="shared" si="61"/>
        <v>0</v>
      </c>
      <c r="S202">
        <f t="shared" si="62"/>
        <v>0</v>
      </c>
      <c r="T202">
        <f t="shared" si="62"/>
        <v>-7</v>
      </c>
      <c r="U202">
        <f t="shared" si="62"/>
        <v>7</v>
      </c>
      <c r="V202" s="10">
        <f t="shared" si="62"/>
        <v>7</v>
      </c>
    </row>
    <row r="203" spans="1:22" x14ac:dyDescent="0.3">
      <c r="A203" s="9" t="s">
        <v>97</v>
      </c>
      <c r="H203" t="str">
        <f t="shared" si="57"/>
        <v>-</v>
      </c>
      <c r="K203">
        <f>IF(LEN(ABS(L202))&gt;8,LEFT(ABS(L202),1),K202)</f>
        <v>1</v>
      </c>
      <c r="L203" s="24">
        <f>L202</f>
        <v>-1000000</v>
      </c>
      <c r="O203" t="str">
        <f t="shared" si="58"/>
        <v>01000000</v>
      </c>
      <c r="Q203" s="13" t="str">
        <f t="shared" si="61"/>
        <v>00010000</v>
      </c>
      <c r="R203">
        <f>IF(L202&gt;=0,RIGHT(R202+1,1)*1,R202)</f>
        <v>0</v>
      </c>
      <c r="S203">
        <f t="shared" si="62"/>
        <v>0</v>
      </c>
      <c r="T203">
        <f t="shared" si="62"/>
        <v>-7</v>
      </c>
      <c r="U203">
        <f t="shared" si="62"/>
        <v>7</v>
      </c>
      <c r="V203" s="10">
        <f t="shared" si="62"/>
        <v>7</v>
      </c>
    </row>
    <row r="204" spans="1:22" x14ac:dyDescent="0.3">
      <c r="A204" s="9" t="s">
        <v>16</v>
      </c>
      <c r="D204" t="s">
        <v>98</v>
      </c>
      <c r="H204" t="str">
        <f t="shared" si="57"/>
        <v>-</v>
      </c>
      <c r="K204">
        <f>K203</f>
        <v>1</v>
      </c>
      <c r="L204" s="24">
        <f>L203+O203</f>
        <v>0</v>
      </c>
      <c r="O204" t="str">
        <f t="shared" si="58"/>
        <v>01000000</v>
      </c>
      <c r="Q204" s="13" t="str">
        <f>Q201</f>
        <v>00010000</v>
      </c>
      <c r="R204">
        <f>R203</f>
        <v>0</v>
      </c>
      <c r="S204">
        <f t="shared" si="62"/>
        <v>0</v>
      </c>
      <c r="T204">
        <f t="shared" si="62"/>
        <v>-7</v>
      </c>
      <c r="U204">
        <f t="shared" si="62"/>
        <v>7</v>
      </c>
      <c r="V204" s="10">
        <f t="shared" si="62"/>
        <v>7</v>
      </c>
    </row>
    <row r="205" spans="1:22" x14ac:dyDescent="0.3">
      <c r="A205" s="11" t="s">
        <v>106</v>
      </c>
      <c r="B205" s="1"/>
      <c r="C205" s="1"/>
      <c r="D205" s="1"/>
      <c r="E205" s="1"/>
      <c r="F205" s="1"/>
      <c r="G205" s="1"/>
      <c r="H205" s="1" t="str">
        <f t="shared" si="57"/>
        <v>-</v>
      </c>
      <c r="I205" s="1"/>
      <c r="J205" s="1"/>
      <c r="K205" s="1">
        <f>IF(LEN(ABS(L204))&gt;8,LEFT(ABS(L204),1),K204)</f>
        <v>1</v>
      </c>
      <c r="L205" s="51">
        <f>(L204&amp;LEFT(Q204,1))*1</f>
        <v>0</v>
      </c>
      <c r="M205" s="1"/>
      <c r="N205" s="1"/>
      <c r="O205" s="1" t="str">
        <f t="shared" si="58"/>
        <v>01000000</v>
      </c>
      <c r="P205" s="1"/>
      <c r="Q205" s="16" t="str">
        <f>(RIGHT(Q204,7)&amp;R204)</f>
        <v>00100000</v>
      </c>
      <c r="R205" s="1">
        <f>0</f>
        <v>0</v>
      </c>
      <c r="S205" s="1">
        <f t="shared" si="62"/>
        <v>0</v>
      </c>
      <c r="T205" s="1">
        <f t="shared" si="62"/>
        <v>-7</v>
      </c>
      <c r="U205" s="1">
        <f t="shared" si="62"/>
        <v>7</v>
      </c>
      <c r="V205" s="12">
        <f t="shared" si="62"/>
        <v>7</v>
      </c>
    </row>
    <row r="206" spans="1:22" x14ac:dyDescent="0.3">
      <c r="K206">
        <f>K205</f>
        <v>1</v>
      </c>
      <c r="Q206" s="13"/>
    </row>
    <row r="207" spans="1:22" x14ac:dyDescent="0.3">
      <c r="A207" s="6" t="s">
        <v>21</v>
      </c>
      <c r="B207" s="7"/>
      <c r="C207" s="7" t="s">
        <v>104</v>
      </c>
      <c r="D207" s="7">
        <v>1</v>
      </c>
      <c r="E207" s="7"/>
      <c r="F207" s="7"/>
      <c r="G207" s="7"/>
      <c r="H207" s="7" t="str">
        <f>IF(LEN(ABS(L207))&gt;8,LEN(ABS(L207)),"-")</f>
        <v>-</v>
      </c>
      <c r="I207" s="7"/>
      <c r="J207" s="7"/>
      <c r="K207" s="7">
        <f>K206</f>
        <v>1</v>
      </c>
      <c r="L207" s="52">
        <f>L205-O205</f>
        <v>-1000000</v>
      </c>
      <c r="M207" s="7"/>
      <c r="N207" s="7"/>
      <c r="O207" s="7" t="str">
        <f>O205</f>
        <v>01000000</v>
      </c>
      <c r="P207" s="7"/>
      <c r="Q207" s="15" t="str">
        <f t="shared" ref="Q207:V207" si="63">Q205</f>
        <v>00100000</v>
      </c>
      <c r="R207" s="7">
        <f t="shared" si="63"/>
        <v>0</v>
      </c>
      <c r="S207" s="7">
        <f t="shared" si="63"/>
        <v>0</v>
      </c>
      <c r="T207" s="7">
        <f t="shared" si="63"/>
        <v>-7</v>
      </c>
      <c r="U207" s="7">
        <f t="shared" si="63"/>
        <v>7</v>
      </c>
      <c r="V207" s="8">
        <f t="shared" si="63"/>
        <v>7</v>
      </c>
    </row>
    <row r="208" spans="1:22" x14ac:dyDescent="0.3">
      <c r="A208" s="9" t="s">
        <v>97</v>
      </c>
      <c r="H208" t="str">
        <f t="shared" ref="H208:H228" si="64">IF(LEN(ABS(L208))&gt;8,LEN(ABS(L208)),"-")</f>
        <v>-</v>
      </c>
      <c r="K208">
        <f>IF(LEN(ABS(L207))&gt;8,LEFT(ABS(L207),1),K207)</f>
        <v>1</v>
      </c>
      <c r="L208" s="24">
        <f>L207</f>
        <v>-1000000</v>
      </c>
      <c r="O208" t="str">
        <f t="shared" ref="O208:O228" si="65">O207</f>
        <v>01000000</v>
      </c>
      <c r="Q208" s="13" t="str">
        <f t="shared" ref="Q208:R223" si="66">Q207</f>
        <v>00100000</v>
      </c>
      <c r="R208">
        <f>IF(L207&gt;=0,R207+1,R207)</f>
        <v>0</v>
      </c>
      <c r="S208">
        <f t="shared" ref="S208:V223" si="67">S207</f>
        <v>0</v>
      </c>
      <c r="T208">
        <f t="shared" si="67"/>
        <v>-7</v>
      </c>
      <c r="U208">
        <f t="shared" si="67"/>
        <v>7</v>
      </c>
      <c r="V208" s="10">
        <f t="shared" si="67"/>
        <v>7</v>
      </c>
    </row>
    <row r="209" spans="1:22" x14ac:dyDescent="0.3">
      <c r="A209" s="9" t="s">
        <v>21</v>
      </c>
      <c r="D209">
        <v>2</v>
      </c>
      <c r="H209" t="str">
        <f t="shared" si="64"/>
        <v>-</v>
      </c>
      <c r="K209">
        <f>K208</f>
        <v>1</v>
      </c>
      <c r="L209" s="24">
        <f>IF(L208&gt;=0,L208-O208,L208)</f>
        <v>-1000000</v>
      </c>
      <c r="O209" t="str">
        <f t="shared" si="65"/>
        <v>01000000</v>
      </c>
      <c r="Q209" s="13" t="str">
        <f t="shared" si="66"/>
        <v>00100000</v>
      </c>
      <c r="R209">
        <f t="shared" si="66"/>
        <v>0</v>
      </c>
      <c r="S209">
        <f t="shared" si="67"/>
        <v>0</v>
      </c>
      <c r="T209">
        <f t="shared" si="67"/>
        <v>-7</v>
      </c>
      <c r="U209">
        <f t="shared" si="67"/>
        <v>7</v>
      </c>
      <c r="V209" s="10">
        <f t="shared" si="67"/>
        <v>7</v>
      </c>
    </row>
    <row r="210" spans="1:22" x14ac:dyDescent="0.3">
      <c r="A210" s="9" t="s">
        <v>97</v>
      </c>
      <c r="H210" t="str">
        <f t="shared" si="64"/>
        <v>-</v>
      </c>
      <c r="K210">
        <f>IF(LEN(ABS(L209))&gt;8,LEFT(ABS(L209),1),K209)</f>
        <v>1</v>
      </c>
      <c r="L210" s="24">
        <f>L209</f>
        <v>-1000000</v>
      </c>
      <c r="O210" t="str">
        <f t="shared" si="65"/>
        <v>01000000</v>
      </c>
      <c r="Q210" s="13" t="str">
        <f t="shared" si="66"/>
        <v>00100000</v>
      </c>
      <c r="R210">
        <f>IF(L209&gt;=0,R209+1,R209)</f>
        <v>0</v>
      </c>
      <c r="S210">
        <f t="shared" si="67"/>
        <v>0</v>
      </c>
      <c r="T210">
        <f t="shared" si="67"/>
        <v>-7</v>
      </c>
      <c r="U210">
        <f t="shared" si="67"/>
        <v>7</v>
      </c>
      <c r="V210" s="10">
        <f t="shared" si="67"/>
        <v>7</v>
      </c>
    </row>
    <row r="211" spans="1:22" x14ac:dyDescent="0.3">
      <c r="A211" s="9" t="s">
        <v>21</v>
      </c>
      <c r="D211">
        <v>3</v>
      </c>
      <c r="H211" t="str">
        <f t="shared" si="64"/>
        <v>-</v>
      </c>
      <c r="K211">
        <f>K210</f>
        <v>1</v>
      </c>
      <c r="L211" s="24">
        <f>IF(L210&gt;=0,L210-O210,L210)</f>
        <v>-1000000</v>
      </c>
      <c r="O211" t="str">
        <f t="shared" si="65"/>
        <v>01000000</v>
      </c>
      <c r="Q211" s="13" t="str">
        <f t="shared" si="66"/>
        <v>00100000</v>
      </c>
      <c r="R211">
        <f t="shared" si="66"/>
        <v>0</v>
      </c>
      <c r="S211">
        <f t="shared" si="67"/>
        <v>0</v>
      </c>
      <c r="T211">
        <f t="shared" si="67"/>
        <v>-7</v>
      </c>
      <c r="U211">
        <f t="shared" si="67"/>
        <v>7</v>
      </c>
      <c r="V211" s="10">
        <f t="shared" si="67"/>
        <v>7</v>
      </c>
    </row>
    <row r="212" spans="1:22" x14ac:dyDescent="0.3">
      <c r="A212" s="9" t="s">
        <v>97</v>
      </c>
      <c r="H212" t="str">
        <f t="shared" si="64"/>
        <v>-</v>
      </c>
      <c r="K212">
        <f>IF(LEN(ABS(L211))&gt;8,LEFT(ABS(L211),1),K211)</f>
        <v>1</v>
      </c>
      <c r="L212" s="24">
        <f>L211</f>
        <v>-1000000</v>
      </c>
      <c r="O212" t="str">
        <f t="shared" si="65"/>
        <v>01000000</v>
      </c>
      <c r="Q212" s="13" t="str">
        <f t="shared" si="66"/>
        <v>00100000</v>
      </c>
      <c r="R212">
        <f>IF(L211&gt;=0,R211+1,R211)</f>
        <v>0</v>
      </c>
      <c r="S212">
        <f t="shared" si="67"/>
        <v>0</v>
      </c>
      <c r="T212">
        <f t="shared" si="67"/>
        <v>-7</v>
      </c>
      <c r="U212">
        <f t="shared" si="67"/>
        <v>7</v>
      </c>
      <c r="V212" s="10">
        <f t="shared" si="67"/>
        <v>7</v>
      </c>
    </row>
    <row r="213" spans="1:22" x14ac:dyDescent="0.3">
      <c r="A213" s="9" t="s">
        <v>21</v>
      </c>
      <c r="D213">
        <v>4</v>
      </c>
      <c r="H213" t="str">
        <f t="shared" si="64"/>
        <v>-</v>
      </c>
      <c r="K213">
        <f>K212</f>
        <v>1</v>
      </c>
      <c r="L213" s="24">
        <f>IF(L212&gt;=0,L212-O212,L212)</f>
        <v>-1000000</v>
      </c>
      <c r="O213" t="str">
        <f t="shared" si="65"/>
        <v>01000000</v>
      </c>
      <c r="Q213" s="13" t="str">
        <f t="shared" si="66"/>
        <v>00100000</v>
      </c>
      <c r="R213">
        <f t="shared" si="66"/>
        <v>0</v>
      </c>
      <c r="S213">
        <f t="shared" si="67"/>
        <v>0</v>
      </c>
      <c r="T213">
        <f t="shared" si="67"/>
        <v>-7</v>
      </c>
      <c r="U213">
        <f t="shared" si="67"/>
        <v>7</v>
      </c>
      <c r="V213" s="10">
        <f t="shared" si="67"/>
        <v>7</v>
      </c>
    </row>
    <row r="214" spans="1:22" x14ac:dyDescent="0.3">
      <c r="A214" s="9" t="s">
        <v>97</v>
      </c>
      <c r="H214" t="str">
        <f t="shared" si="64"/>
        <v>-</v>
      </c>
      <c r="K214">
        <f>IF(LEN(ABS(L213))&gt;8,LEFT(ABS(L213),1),K213)</f>
        <v>1</v>
      </c>
      <c r="L214" s="24">
        <f>L213</f>
        <v>-1000000</v>
      </c>
      <c r="O214" t="str">
        <f t="shared" si="65"/>
        <v>01000000</v>
      </c>
      <c r="Q214" s="13" t="str">
        <f t="shared" si="66"/>
        <v>00100000</v>
      </c>
      <c r="R214">
        <f>IF(L213&gt;=0,R213+1,R213)</f>
        <v>0</v>
      </c>
      <c r="S214">
        <f t="shared" si="67"/>
        <v>0</v>
      </c>
      <c r="T214">
        <f t="shared" si="67"/>
        <v>-7</v>
      </c>
      <c r="U214">
        <f t="shared" si="67"/>
        <v>7</v>
      </c>
      <c r="V214" s="10">
        <f t="shared" si="67"/>
        <v>7</v>
      </c>
    </row>
    <row r="215" spans="1:22" x14ac:dyDescent="0.3">
      <c r="A215" s="9" t="s">
        <v>21</v>
      </c>
      <c r="D215">
        <v>5</v>
      </c>
      <c r="H215" t="str">
        <f t="shared" si="64"/>
        <v>-</v>
      </c>
      <c r="K215">
        <f>K214</f>
        <v>1</v>
      </c>
      <c r="L215" s="24">
        <f>IF(L214&gt;=0,L214-O214,L214)</f>
        <v>-1000000</v>
      </c>
      <c r="O215" t="str">
        <f t="shared" si="65"/>
        <v>01000000</v>
      </c>
      <c r="Q215" s="13" t="str">
        <f t="shared" si="66"/>
        <v>00100000</v>
      </c>
      <c r="R215">
        <f t="shared" si="66"/>
        <v>0</v>
      </c>
      <c r="S215">
        <f t="shared" si="67"/>
        <v>0</v>
      </c>
      <c r="T215">
        <f t="shared" si="67"/>
        <v>-7</v>
      </c>
      <c r="U215">
        <f t="shared" si="67"/>
        <v>7</v>
      </c>
      <c r="V215" s="10">
        <f t="shared" si="67"/>
        <v>7</v>
      </c>
    </row>
    <row r="216" spans="1:22" x14ac:dyDescent="0.3">
      <c r="A216" s="9" t="s">
        <v>97</v>
      </c>
      <c r="H216" t="str">
        <f t="shared" si="64"/>
        <v>-</v>
      </c>
      <c r="K216">
        <f>IF(LEN(ABS(L215))&gt;8,LEFT(ABS(L215),1),K215)</f>
        <v>1</v>
      </c>
      <c r="L216" s="24">
        <f>L215</f>
        <v>-1000000</v>
      </c>
      <c r="O216" t="str">
        <f t="shared" si="65"/>
        <v>01000000</v>
      </c>
      <c r="Q216" s="13" t="str">
        <f t="shared" si="66"/>
        <v>00100000</v>
      </c>
      <c r="R216">
        <f>IF(L215&gt;=0,R215+1,R215)</f>
        <v>0</v>
      </c>
      <c r="S216">
        <f t="shared" si="67"/>
        <v>0</v>
      </c>
      <c r="T216">
        <f t="shared" si="67"/>
        <v>-7</v>
      </c>
      <c r="U216">
        <f t="shared" si="67"/>
        <v>7</v>
      </c>
      <c r="V216" s="10">
        <f t="shared" si="67"/>
        <v>7</v>
      </c>
    </row>
    <row r="217" spans="1:22" x14ac:dyDescent="0.3">
      <c r="A217" s="9" t="s">
        <v>21</v>
      </c>
      <c r="D217">
        <v>6</v>
      </c>
      <c r="H217" t="str">
        <f t="shared" si="64"/>
        <v>-</v>
      </c>
      <c r="K217">
        <f>K216</f>
        <v>1</v>
      </c>
      <c r="L217" s="24">
        <f>IF(L216&gt;=0,L216-O216,L216)</f>
        <v>-1000000</v>
      </c>
      <c r="O217" t="str">
        <f t="shared" si="65"/>
        <v>01000000</v>
      </c>
      <c r="Q217" s="13" t="str">
        <f t="shared" si="66"/>
        <v>00100000</v>
      </c>
      <c r="R217">
        <f t="shared" si="66"/>
        <v>0</v>
      </c>
      <c r="S217">
        <f t="shared" si="67"/>
        <v>0</v>
      </c>
      <c r="T217">
        <f t="shared" si="67"/>
        <v>-7</v>
      </c>
      <c r="U217">
        <f t="shared" si="67"/>
        <v>7</v>
      </c>
      <c r="V217" s="10">
        <f t="shared" si="67"/>
        <v>7</v>
      </c>
    </row>
    <row r="218" spans="1:22" x14ac:dyDescent="0.3">
      <c r="A218" s="9" t="s">
        <v>97</v>
      </c>
      <c r="H218" t="str">
        <f t="shared" si="64"/>
        <v>-</v>
      </c>
      <c r="K218">
        <f>IF(LEN(ABS(L217))&gt;8,LEFT(ABS(L217),1),K217)</f>
        <v>1</v>
      </c>
      <c r="L218" s="24">
        <f>L217</f>
        <v>-1000000</v>
      </c>
      <c r="O218" t="str">
        <f t="shared" si="65"/>
        <v>01000000</v>
      </c>
      <c r="Q218" s="13" t="str">
        <f t="shared" si="66"/>
        <v>00100000</v>
      </c>
      <c r="R218">
        <f>IF(L217&gt;=0,R217+1,R217)</f>
        <v>0</v>
      </c>
      <c r="S218">
        <f t="shared" si="67"/>
        <v>0</v>
      </c>
      <c r="T218">
        <f t="shared" si="67"/>
        <v>-7</v>
      </c>
      <c r="U218">
        <f t="shared" si="67"/>
        <v>7</v>
      </c>
      <c r="V218" s="10">
        <f t="shared" si="67"/>
        <v>7</v>
      </c>
    </row>
    <row r="219" spans="1:22" x14ac:dyDescent="0.3">
      <c r="A219" s="9" t="s">
        <v>21</v>
      </c>
      <c r="D219">
        <v>7</v>
      </c>
      <c r="H219" t="str">
        <f t="shared" si="64"/>
        <v>-</v>
      </c>
      <c r="K219">
        <f>K218</f>
        <v>1</v>
      </c>
      <c r="L219" s="24">
        <f>IF(L218&gt;=0,L218-O218,L218)</f>
        <v>-1000000</v>
      </c>
      <c r="O219" t="str">
        <f t="shared" si="65"/>
        <v>01000000</v>
      </c>
      <c r="Q219" s="13" t="str">
        <f t="shared" si="66"/>
        <v>00100000</v>
      </c>
      <c r="R219">
        <f t="shared" si="66"/>
        <v>0</v>
      </c>
      <c r="S219">
        <f t="shared" si="67"/>
        <v>0</v>
      </c>
      <c r="T219">
        <f t="shared" si="67"/>
        <v>-7</v>
      </c>
      <c r="U219">
        <f t="shared" si="67"/>
        <v>7</v>
      </c>
      <c r="V219" s="10">
        <f t="shared" si="67"/>
        <v>7</v>
      </c>
    </row>
    <row r="220" spans="1:22" x14ac:dyDescent="0.3">
      <c r="A220" s="9" t="s">
        <v>97</v>
      </c>
      <c r="H220" t="str">
        <f t="shared" si="64"/>
        <v>-</v>
      </c>
      <c r="K220">
        <f>IF(LEN(ABS(L219))&gt;8,LEFT(ABS(L219),1),K219)</f>
        <v>1</v>
      </c>
      <c r="L220" s="24">
        <f>L219</f>
        <v>-1000000</v>
      </c>
      <c r="O220" t="str">
        <f t="shared" si="65"/>
        <v>01000000</v>
      </c>
      <c r="Q220" s="13" t="str">
        <f t="shared" si="66"/>
        <v>00100000</v>
      </c>
      <c r="R220">
        <f>IF(L219&gt;=0,R219+1,R219)</f>
        <v>0</v>
      </c>
      <c r="S220">
        <f t="shared" si="67"/>
        <v>0</v>
      </c>
      <c r="T220">
        <f t="shared" si="67"/>
        <v>-7</v>
      </c>
      <c r="U220">
        <f t="shared" si="67"/>
        <v>7</v>
      </c>
      <c r="V220" s="10">
        <f t="shared" si="67"/>
        <v>7</v>
      </c>
    </row>
    <row r="221" spans="1:22" x14ac:dyDescent="0.3">
      <c r="A221" s="9" t="s">
        <v>21</v>
      </c>
      <c r="D221">
        <v>8</v>
      </c>
      <c r="H221" t="str">
        <f t="shared" si="64"/>
        <v>-</v>
      </c>
      <c r="K221">
        <f>K220</f>
        <v>1</v>
      </c>
      <c r="L221" s="24">
        <f>IF(L220&gt;=0,L220-O220,L220)</f>
        <v>-1000000</v>
      </c>
      <c r="O221" t="str">
        <f t="shared" si="65"/>
        <v>01000000</v>
      </c>
      <c r="Q221" s="13" t="str">
        <f t="shared" si="66"/>
        <v>00100000</v>
      </c>
      <c r="R221">
        <f t="shared" si="66"/>
        <v>0</v>
      </c>
      <c r="S221">
        <f t="shared" si="67"/>
        <v>0</v>
      </c>
      <c r="T221">
        <f t="shared" si="67"/>
        <v>-7</v>
      </c>
      <c r="U221">
        <f t="shared" si="67"/>
        <v>7</v>
      </c>
      <c r="V221" s="10">
        <f t="shared" si="67"/>
        <v>7</v>
      </c>
    </row>
    <row r="222" spans="1:22" x14ac:dyDescent="0.3">
      <c r="A222" s="9" t="s">
        <v>97</v>
      </c>
      <c r="H222" t="str">
        <f t="shared" si="64"/>
        <v>-</v>
      </c>
      <c r="K222">
        <f>IF(LEN(ABS(L221))&gt;8,LEFT(ABS(L221),1),K221)</f>
        <v>1</v>
      </c>
      <c r="L222" s="24">
        <f>L221</f>
        <v>-1000000</v>
      </c>
      <c r="O222" t="str">
        <f t="shared" si="65"/>
        <v>01000000</v>
      </c>
      <c r="Q222" s="13" t="str">
        <f t="shared" si="66"/>
        <v>00100000</v>
      </c>
      <c r="R222">
        <f>IF(L221&gt;=0,R221+1,R221)</f>
        <v>0</v>
      </c>
      <c r="S222">
        <f t="shared" si="67"/>
        <v>0</v>
      </c>
      <c r="T222">
        <f t="shared" si="67"/>
        <v>-7</v>
      </c>
      <c r="U222">
        <f t="shared" si="67"/>
        <v>7</v>
      </c>
      <c r="V222" s="10">
        <f t="shared" si="67"/>
        <v>7</v>
      </c>
    </row>
    <row r="223" spans="1:22" x14ac:dyDescent="0.3">
      <c r="A223" s="9" t="s">
        <v>21</v>
      </c>
      <c r="D223">
        <v>9</v>
      </c>
      <c r="H223" t="str">
        <f t="shared" si="64"/>
        <v>-</v>
      </c>
      <c r="K223">
        <f>K222</f>
        <v>1</v>
      </c>
      <c r="L223" s="24">
        <f>IF(L222&gt;=0,L222-O222,L222)</f>
        <v>-1000000</v>
      </c>
      <c r="O223" t="str">
        <f t="shared" si="65"/>
        <v>01000000</v>
      </c>
      <c r="Q223" s="13" t="str">
        <f t="shared" si="66"/>
        <v>00100000</v>
      </c>
      <c r="R223">
        <f t="shared" si="66"/>
        <v>0</v>
      </c>
      <c r="S223">
        <f t="shared" si="67"/>
        <v>0</v>
      </c>
      <c r="T223">
        <f t="shared" si="67"/>
        <v>-7</v>
      </c>
      <c r="U223">
        <f t="shared" si="67"/>
        <v>7</v>
      </c>
      <c r="V223" s="10">
        <f t="shared" si="67"/>
        <v>7</v>
      </c>
    </row>
    <row r="224" spans="1:22" x14ac:dyDescent="0.3">
      <c r="A224" s="9" t="s">
        <v>97</v>
      </c>
      <c r="H224" t="str">
        <f t="shared" si="64"/>
        <v>-</v>
      </c>
      <c r="K224">
        <f>IF(LEN(ABS(L223))&gt;8,LEFT(ABS(L223),1),K223)</f>
        <v>1</v>
      </c>
      <c r="L224" s="24">
        <f>L223</f>
        <v>-1000000</v>
      </c>
      <c r="O224" t="str">
        <f t="shared" si="65"/>
        <v>01000000</v>
      </c>
      <c r="Q224" s="13" t="str">
        <f t="shared" ref="Q224:R226" si="68">Q223</f>
        <v>00100000</v>
      </c>
      <c r="R224">
        <f>IF(L223&gt;=0,R223+1,R223)</f>
        <v>0</v>
      </c>
      <c r="S224">
        <f t="shared" ref="S224:V228" si="69">S223</f>
        <v>0</v>
      </c>
      <c r="T224">
        <f t="shared" si="69"/>
        <v>-7</v>
      </c>
      <c r="U224">
        <f t="shared" si="69"/>
        <v>7</v>
      </c>
      <c r="V224" s="10">
        <f t="shared" si="69"/>
        <v>7</v>
      </c>
    </row>
    <row r="225" spans="1:22" x14ac:dyDescent="0.3">
      <c r="A225" s="9" t="s">
        <v>21</v>
      </c>
      <c r="D225">
        <v>10</v>
      </c>
      <c r="H225" t="str">
        <f t="shared" si="64"/>
        <v>-</v>
      </c>
      <c r="K225">
        <f>K224</f>
        <v>1</v>
      </c>
      <c r="L225" s="24">
        <f>IF(L224&gt;=0,L224-O224,L224)</f>
        <v>-1000000</v>
      </c>
      <c r="O225" t="str">
        <f t="shared" si="65"/>
        <v>01000000</v>
      </c>
      <c r="Q225" s="13" t="str">
        <f t="shared" si="68"/>
        <v>00100000</v>
      </c>
      <c r="R225">
        <f t="shared" si="68"/>
        <v>0</v>
      </c>
      <c r="S225">
        <f t="shared" si="69"/>
        <v>0</v>
      </c>
      <c r="T225">
        <f t="shared" si="69"/>
        <v>-7</v>
      </c>
      <c r="U225">
        <f t="shared" si="69"/>
        <v>7</v>
      </c>
      <c r="V225" s="10">
        <f t="shared" si="69"/>
        <v>7</v>
      </c>
    </row>
    <row r="226" spans="1:22" x14ac:dyDescent="0.3">
      <c r="A226" s="9" t="s">
        <v>97</v>
      </c>
      <c r="H226" t="str">
        <f t="shared" si="64"/>
        <v>-</v>
      </c>
      <c r="K226">
        <f>IF(LEN(ABS(L225))&gt;8,LEFT(ABS(L225),1),K225)</f>
        <v>1</v>
      </c>
      <c r="L226" s="24">
        <f>L225</f>
        <v>-1000000</v>
      </c>
      <c r="O226" t="str">
        <f t="shared" si="65"/>
        <v>01000000</v>
      </c>
      <c r="Q226" s="13" t="str">
        <f t="shared" si="68"/>
        <v>00100000</v>
      </c>
      <c r="R226">
        <f>IF(L225&gt;=0,RIGHT(R225+1,1)*1,R225)</f>
        <v>0</v>
      </c>
      <c r="S226">
        <f t="shared" si="69"/>
        <v>0</v>
      </c>
      <c r="T226">
        <f t="shared" si="69"/>
        <v>-7</v>
      </c>
      <c r="U226">
        <f t="shared" si="69"/>
        <v>7</v>
      </c>
      <c r="V226" s="10">
        <f t="shared" si="69"/>
        <v>7</v>
      </c>
    </row>
    <row r="227" spans="1:22" x14ac:dyDescent="0.3">
      <c r="A227" s="9" t="s">
        <v>16</v>
      </c>
      <c r="D227" t="s">
        <v>98</v>
      </c>
      <c r="H227" t="str">
        <f t="shared" si="64"/>
        <v>-</v>
      </c>
      <c r="K227">
        <f>K226</f>
        <v>1</v>
      </c>
      <c r="L227" s="24">
        <f>L226+O226</f>
        <v>0</v>
      </c>
      <c r="O227" t="str">
        <f t="shared" si="65"/>
        <v>01000000</v>
      </c>
      <c r="Q227" s="13" t="str">
        <f>Q224</f>
        <v>00100000</v>
      </c>
      <c r="R227">
        <f>R226</f>
        <v>0</v>
      </c>
      <c r="S227">
        <f t="shared" si="69"/>
        <v>0</v>
      </c>
      <c r="T227">
        <f t="shared" si="69"/>
        <v>-7</v>
      </c>
      <c r="U227">
        <f t="shared" si="69"/>
        <v>7</v>
      </c>
      <c r="V227" s="10">
        <f t="shared" si="69"/>
        <v>7</v>
      </c>
    </row>
    <row r="228" spans="1:22" x14ac:dyDescent="0.3">
      <c r="A228" s="11" t="s">
        <v>106</v>
      </c>
      <c r="B228" s="1"/>
      <c r="C228" s="1"/>
      <c r="D228" s="1"/>
      <c r="E228" s="1"/>
      <c r="F228" s="1"/>
      <c r="G228" s="1"/>
      <c r="H228" s="1" t="str">
        <f t="shared" si="64"/>
        <v>-</v>
      </c>
      <c r="I228" s="1"/>
      <c r="J228" s="1"/>
      <c r="K228" s="1">
        <f>IF(LEN(ABS(L227))&gt;8,LEFT(ABS(L227),1),K227)</f>
        <v>1</v>
      </c>
      <c r="L228" s="51">
        <f>(L227&amp;LEFT(Q227,1))*1</f>
        <v>0</v>
      </c>
      <c r="M228" s="1"/>
      <c r="N228" s="1"/>
      <c r="O228" s="1" t="str">
        <f t="shared" si="65"/>
        <v>01000000</v>
      </c>
      <c r="P228" s="1"/>
      <c r="Q228" s="16" t="str">
        <f>(RIGHT(Q227,7)&amp;R227)</f>
        <v>01000000</v>
      </c>
      <c r="R228" s="1">
        <f>0</f>
        <v>0</v>
      </c>
      <c r="S228" s="1">
        <f t="shared" si="69"/>
        <v>0</v>
      </c>
      <c r="T228" s="1">
        <f t="shared" si="69"/>
        <v>-7</v>
      </c>
      <c r="U228" s="1">
        <f t="shared" si="69"/>
        <v>7</v>
      </c>
      <c r="V228" s="12">
        <f t="shared" si="69"/>
        <v>7</v>
      </c>
    </row>
    <row r="229" spans="1:22" x14ac:dyDescent="0.3">
      <c r="K229">
        <f>K228</f>
        <v>1</v>
      </c>
      <c r="Q229" s="13"/>
    </row>
    <row r="230" spans="1:22" x14ac:dyDescent="0.3">
      <c r="A230" s="6" t="s">
        <v>21</v>
      </c>
      <c r="B230" s="7"/>
      <c r="C230" s="7" t="s">
        <v>105</v>
      </c>
      <c r="D230" s="7">
        <v>1</v>
      </c>
      <c r="E230" s="7"/>
      <c r="F230" s="7"/>
      <c r="G230" s="7"/>
      <c r="H230" s="7" t="str">
        <f>IF(LEN(ABS(L230))&gt;8,LEN(ABS(L230)),"-")</f>
        <v>-</v>
      </c>
      <c r="I230" s="7"/>
      <c r="J230" s="7"/>
      <c r="K230" s="7">
        <f>K229</f>
        <v>1</v>
      </c>
      <c r="L230" s="52">
        <f>L228-O228</f>
        <v>-1000000</v>
      </c>
      <c r="M230" s="7"/>
      <c r="N230" s="7"/>
      <c r="O230" s="7" t="str">
        <f>O228</f>
        <v>01000000</v>
      </c>
      <c r="P230" s="7"/>
      <c r="Q230" s="15" t="str">
        <f t="shared" ref="Q230:V230" si="70">Q228</f>
        <v>01000000</v>
      </c>
      <c r="R230" s="7">
        <f t="shared" si="70"/>
        <v>0</v>
      </c>
      <c r="S230" s="7">
        <f t="shared" si="70"/>
        <v>0</v>
      </c>
      <c r="T230" s="7">
        <f t="shared" si="70"/>
        <v>-7</v>
      </c>
      <c r="U230" s="7">
        <f t="shared" si="70"/>
        <v>7</v>
      </c>
      <c r="V230" s="8">
        <f t="shared" si="70"/>
        <v>7</v>
      </c>
    </row>
    <row r="231" spans="1:22" x14ac:dyDescent="0.3">
      <c r="A231" s="9" t="s">
        <v>97</v>
      </c>
      <c r="H231" t="str">
        <f t="shared" ref="H231:H251" si="71">IF(LEN(ABS(L231))&gt;8,LEN(ABS(L231)),"-")</f>
        <v>-</v>
      </c>
      <c r="K231">
        <f>IF(LEN(ABS(L230))&gt;8,LEFT(ABS(L230),1),K230)</f>
        <v>1</v>
      </c>
      <c r="L231" s="24">
        <f>L230</f>
        <v>-1000000</v>
      </c>
      <c r="O231" t="str">
        <f t="shared" ref="O231:O251" si="72">O230</f>
        <v>01000000</v>
      </c>
      <c r="Q231" s="13" t="str">
        <f t="shared" ref="Q231:R246" si="73">Q230</f>
        <v>01000000</v>
      </c>
      <c r="R231">
        <f>IF(L230&gt;=0,R230+1,R230)</f>
        <v>0</v>
      </c>
      <c r="S231">
        <f t="shared" ref="S231:V246" si="74">S230</f>
        <v>0</v>
      </c>
      <c r="T231">
        <f t="shared" si="74"/>
        <v>-7</v>
      </c>
      <c r="U231">
        <f t="shared" si="74"/>
        <v>7</v>
      </c>
      <c r="V231" s="10">
        <f t="shared" si="74"/>
        <v>7</v>
      </c>
    </row>
    <row r="232" spans="1:22" x14ac:dyDescent="0.3">
      <c r="A232" s="9" t="s">
        <v>21</v>
      </c>
      <c r="D232">
        <v>2</v>
      </c>
      <c r="H232" t="str">
        <f t="shared" si="71"/>
        <v>-</v>
      </c>
      <c r="K232">
        <f>K231</f>
        <v>1</v>
      </c>
      <c r="L232" s="24">
        <f>IF(L231&gt;=0,L231-O231,L231)</f>
        <v>-1000000</v>
      </c>
      <c r="O232" t="str">
        <f t="shared" si="72"/>
        <v>01000000</v>
      </c>
      <c r="Q232" s="13" t="str">
        <f t="shared" si="73"/>
        <v>01000000</v>
      </c>
      <c r="R232">
        <f t="shared" si="73"/>
        <v>0</v>
      </c>
      <c r="S232">
        <f t="shared" si="74"/>
        <v>0</v>
      </c>
      <c r="T232">
        <f t="shared" si="74"/>
        <v>-7</v>
      </c>
      <c r="U232">
        <f t="shared" si="74"/>
        <v>7</v>
      </c>
      <c r="V232" s="10">
        <f t="shared" si="74"/>
        <v>7</v>
      </c>
    </row>
    <row r="233" spans="1:22" x14ac:dyDescent="0.3">
      <c r="A233" s="9" t="s">
        <v>97</v>
      </c>
      <c r="H233" t="str">
        <f t="shared" si="71"/>
        <v>-</v>
      </c>
      <c r="K233">
        <f>IF(LEN(ABS(L232))&gt;8,LEFT(ABS(L232),1),K232)</f>
        <v>1</v>
      </c>
      <c r="L233" s="24">
        <f>L232</f>
        <v>-1000000</v>
      </c>
      <c r="O233" t="str">
        <f t="shared" si="72"/>
        <v>01000000</v>
      </c>
      <c r="Q233" s="13" t="str">
        <f t="shared" si="73"/>
        <v>01000000</v>
      </c>
      <c r="R233">
        <f>IF(L232&gt;=0,R232+1,R232)</f>
        <v>0</v>
      </c>
      <c r="S233">
        <f t="shared" si="74"/>
        <v>0</v>
      </c>
      <c r="T233">
        <f t="shared" si="74"/>
        <v>-7</v>
      </c>
      <c r="U233">
        <f t="shared" si="74"/>
        <v>7</v>
      </c>
      <c r="V233" s="10">
        <f t="shared" si="74"/>
        <v>7</v>
      </c>
    </row>
    <row r="234" spans="1:22" x14ac:dyDescent="0.3">
      <c r="A234" s="9" t="s">
        <v>21</v>
      </c>
      <c r="D234">
        <v>3</v>
      </c>
      <c r="H234" t="str">
        <f t="shared" si="71"/>
        <v>-</v>
      </c>
      <c r="K234">
        <f>K233</f>
        <v>1</v>
      </c>
      <c r="L234" s="24">
        <f>IF(L233&gt;=0,L233-O233,L233)</f>
        <v>-1000000</v>
      </c>
      <c r="O234" t="str">
        <f t="shared" si="72"/>
        <v>01000000</v>
      </c>
      <c r="Q234" s="13" t="str">
        <f t="shared" si="73"/>
        <v>01000000</v>
      </c>
      <c r="R234">
        <f t="shared" si="73"/>
        <v>0</v>
      </c>
      <c r="S234">
        <f t="shared" si="74"/>
        <v>0</v>
      </c>
      <c r="T234">
        <f t="shared" si="74"/>
        <v>-7</v>
      </c>
      <c r="U234">
        <f t="shared" si="74"/>
        <v>7</v>
      </c>
      <c r="V234" s="10">
        <f t="shared" si="74"/>
        <v>7</v>
      </c>
    </row>
    <row r="235" spans="1:22" x14ac:dyDescent="0.3">
      <c r="A235" s="9" t="s">
        <v>97</v>
      </c>
      <c r="H235" t="str">
        <f t="shared" si="71"/>
        <v>-</v>
      </c>
      <c r="K235">
        <f>IF(LEN(ABS(L234))&gt;8,LEFT(ABS(L234),1),K234)</f>
        <v>1</v>
      </c>
      <c r="L235" s="24">
        <f>L234</f>
        <v>-1000000</v>
      </c>
      <c r="O235" t="str">
        <f t="shared" si="72"/>
        <v>01000000</v>
      </c>
      <c r="Q235" s="13" t="str">
        <f t="shared" si="73"/>
        <v>01000000</v>
      </c>
      <c r="R235">
        <f>IF(L234&gt;=0,R234+1,R234)</f>
        <v>0</v>
      </c>
      <c r="S235">
        <f t="shared" si="74"/>
        <v>0</v>
      </c>
      <c r="T235">
        <f t="shared" si="74"/>
        <v>-7</v>
      </c>
      <c r="U235">
        <f t="shared" si="74"/>
        <v>7</v>
      </c>
      <c r="V235" s="10">
        <f t="shared" si="74"/>
        <v>7</v>
      </c>
    </row>
    <row r="236" spans="1:22" x14ac:dyDescent="0.3">
      <c r="A236" s="9" t="s">
        <v>21</v>
      </c>
      <c r="D236">
        <v>4</v>
      </c>
      <c r="H236" t="str">
        <f t="shared" si="71"/>
        <v>-</v>
      </c>
      <c r="K236">
        <f>K235</f>
        <v>1</v>
      </c>
      <c r="L236" s="24">
        <f>IF(L235&gt;=0,L235-O235,L235)</f>
        <v>-1000000</v>
      </c>
      <c r="O236" t="str">
        <f t="shared" si="72"/>
        <v>01000000</v>
      </c>
      <c r="Q236" s="13" t="str">
        <f t="shared" si="73"/>
        <v>01000000</v>
      </c>
      <c r="R236">
        <f t="shared" si="73"/>
        <v>0</v>
      </c>
      <c r="S236">
        <f t="shared" si="74"/>
        <v>0</v>
      </c>
      <c r="T236">
        <f t="shared" si="74"/>
        <v>-7</v>
      </c>
      <c r="U236">
        <f t="shared" si="74"/>
        <v>7</v>
      </c>
      <c r="V236" s="10">
        <f t="shared" si="74"/>
        <v>7</v>
      </c>
    </row>
    <row r="237" spans="1:22" x14ac:dyDescent="0.3">
      <c r="A237" s="9" t="s">
        <v>97</v>
      </c>
      <c r="H237" t="str">
        <f t="shared" si="71"/>
        <v>-</v>
      </c>
      <c r="K237">
        <f>IF(LEN(ABS(L236))&gt;8,LEFT(ABS(L236),1),K236)</f>
        <v>1</v>
      </c>
      <c r="L237" s="24">
        <f>L236</f>
        <v>-1000000</v>
      </c>
      <c r="O237" t="str">
        <f t="shared" si="72"/>
        <v>01000000</v>
      </c>
      <c r="Q237" s="13" t="str">
        <f t="shared" si="73"/>
        <v>01000000</v>
      </c>
      <c r="R237">
        <f>IF(L236&gt;=0,R236+1,R236)</f>
        <v>0</v>
      </c>
      <c r="S237">
        <f t="shared" si="74"/>
        <v>0</v>
      </c>
      <c r="T237">
        <f t="shared" si="74"/>
        <v>-7</v>
      </c>
      <c r="U237">
        <f t="shared" si="74"/>
        <v>7</v>
      </c>
      <c r="V237" s="10">
        <f t="shared" si="74"/>
        <v>7</v>
      </c>
    </row>
    <row r="238" spans="1:22" x14ac:dyDescent="0.3">
      <c r="A238" s="9" t="s">
        <v>21</v>
      </c>
      <c r="D238">
        <v>5</v>
      </c>
      <c r="H238" t="str">
        <f t="shared" si="71"/>
        <v>-</v>
      </c>
      <c r="K238">
        <f>K237</f>
        <v>1</v>
      </c>
      <c r="L238" s="24">
        <f>IF(L237&gt;=0,L237-O237,L237)</f>
        <v>-1000000</v>
      </c>
      <c r="O238" t="str">
        <f t="shared" si="72"/>
        <v>01000000</v>
      </c>
      <c r="Q238" s="13" t="str">
        <f t="shared" si="73"/>
        <v>01000000</v>
      </c>
      <c r="R238">
        <f t="shared" si="73"/>
        <v>0</v>
      </c>
      <c r="S238">
        <f t="shared" si="74"/>
        <v>0</v>
      </c>
      <c r="T238">
        <f t="shared" si="74"/>
        <v>-7</v>
      </c>
      <c r="U238">
        <f t="shared" si="74"/>
        <v>7</v>
      </c>
      <c r="V238" s="10">
        <f t="shared" si="74"/>
        <v>7</v>
      </c>
    </row>
    <row r="239" spans="1:22" x14ac:dyDescent="0.3">
      <c r="A239" s="9" t="s">
        <v>97</v>
      </c>
      <c r="H239" t="str">
        <f t="shared" si="71"/>
        <v>-</v>
      </c>
      <c r="K239">
        <f>IF(LEN(ABS(L238))&gt;8,LEFT(ABS(L238),1),K238)</f>
        <v>1</v>
      </c>
      <c r="L239" s="24">
        <f>L238</f>
        <v>-1000000</v>
      </c>
      <c r="O239" t="str">
        <f t="shared" si="72"/>
        <v>01000000</v>
      </c>
      <c r="Q239" s="13" t="str">
        <f t="shared" si="73"/>
        <v>01000000</v>
      </c>
      <c r="R239">
        <f>IF(L238&gt;=0,R238+1,R238)</f>
        <v>0</v>
      </c>
      <c r="S239">
        <f t="shared" si="74"/>
        <v>0</v>
      </c>
      <c r="T239">
        <f t="shared" si="74"/>
        <v>-7</v>
      </c>
      <c r="U239">
        <f t="shared" si="74"/>
        <v>7</v>
      </c>
      <c r="V239" s="10">
        <f t="shared" si="74"/>
        <v>7</v>
      </c>
    </row>
    <row r="240" spans="1:22" x14ac:dyDescent="0.3">
      <c r="A240" s="9" t="s">
        <v>21</v>
      </c>
      <c r="D240">
        <v>6</v>
      </c>
      <c r="H240" t="str">
        <f t="shared" si="71"/>
        <v>-</v>
      </c>
      <c r="K240">
        <f>K239</f>
        <v>1</v>
      </c>
      <c r="L240" s="24">
        <f>IF(L239&gt;=0,L239-O239,L239)</f>
        <v>-1000000</v>
      </c>
      <c r="O240" t="str">
        <f t="shared" si="72"/>
        <v>01000000</v>
      </c>
      <c r="Q240" s="13" t="str">
        <f t="shared" si="73"/>
        <v>01000000</v>
      </c>
      <c r="R240">
        <f t="shared" si="73"/>
        <v>0</v>
      </c>
      <c r="S240">
        <f t="shared" si="74"/>
        <v>0</v>
      </c>
      <c r="T240">
        <f t="shared" si="74"/>
        <v>-7</v>
      </c>
      <c r="U240">
        <f t="shared" si="74"/>
        <v>7</v>
      </c>
      <c r="V240" s="10">
        <f t="shared" si="74"/>
        <v>7</v>
      </c>
    </row>
    <row r="241" spans="1:22" x14ac:dyDescent="0.3">
      <c r="A241" s="9" t="s">
        <v>97</v>
      </c>
      <c r="H241" t="str">
        <f t="shared" si="71"/>
        <v>-</v>
      </c>
      <c r="K241">
        <f>IF(LEN(ABS(L240))&gt;8,LEFT(ABS(L240),1),K240)</f>
        <v>1</v>
      </c>
      <c r="L241" s="24">
        <f>L240</f>
        <v>-1000000</v>
      </c>
      <c r="O241" t="str">
        <f t="shared" si="72"/>
        <v>01000000</v>
      </c>
      <c r="Q241" s="13" t="str">
        <f t="shared" si="73"/>
        <v>01000000</v>
      </c>
      <c r="R241">
        <f>IF(L240&gt;=0,R240+1,R240)</f>
        <v>0</v>
      </c>
      <c r="S241">
        <f t="shared" si="74"/>
        <v>0</v>
      </c>
      <c r="T241">
        <f t="shared" si="74"/>
        <v>-7</v>
      </c>
      <c r="U241">
        <f t="shared" si="74"/>
        <v>7</v>
      </c>
      <c r="V241" s="10">
        <f t="shared" si="74"/>
        <v>7</v>
      </c>
    </row>
    <row r="242" spans="1:22" x14ac:dyDescent="0.3">
      <c r="A242" s="9" t="s">
        <v>21</v>
      </c>
      <c r="D242">
        <v>7</v>
      </c>
      <c r="H242" t="str">
        <f t="shared" si="71"/>
        <v>-</v>
      </c>
      <c r="K242">
        <f>K241</f>
        <v>1</v>
      </c>
      <c r="L242" s="24">
        <f>IF(L241&gt;=0,L241-O241,L241)</f>
        <v>-1000000</v>
      </c>
      <c r="O242" t="str">
        <f t="shared" si="72"/>
        <v>01000000</v>
      </c>
      <c r="Q242" s="13" t="str">
        <f t="shared" si="73"/>
        <v>01000000</v>
      </c>
      <c r="R242">
        <f t="shared" si="73"/>
        <v>0</v>
      </c>
      <c r="S242">
        <f t="shared" si="74"/>
        <v>0</v>
      </c>
      <c r="T242">
        <f t="shared" si="74"/>
        <v>-7</v>
      </c>
      <c r="U242">
        <f t="shared" si="74"/>
        <v>7</v>
      </c>
      <c r="V242" s="10">
        <f t="shared" si="74"/>
        <v>7</v>
      </c>
    </row>
    <row r="243" spans="1:22" x14ac:dyDescent="0.3">
      <c r="A243" s="9" t="s">
        <v>97</v>
      </c>
      <c r="H243" t="str">
        <f t="shared" si="71"/>
        <v>-</v>
      </c>
      <c r="K243">
        <f>IF(LEN(ABS(L242))&gt;8,LEFT(ABS(L242),1),K242)</f>
        <v>1</v>
      </c>
      <c r="L243" s="24">
        <f>L242</f>
        <v>-1000000</v>
      </c>
      <c r="O243" t="str">
        <f t="shared" si="72"/>
        <v>01000000</v>
      </c>
      <c r="Q243" s="13" t="str">
        <f t="shared" si="73"/>
        <v>01000000</v>
      </c>
      <c r="R243">
        <f>IF(L242&gt;=0,R242+1,R242)</f>
        <v>0</v>
      </c>
      <c r="S243">
        <f t="shared" si="74"/>
        <v>0</v>
      </c>
      <c r="T243">
        <f t="shared" si="74"/>
        <v>-7</v>
      </c>
      <c r="U243">
        <f t="shared" si="74"/>
        <v>7</v>
      </c>
      <c r="V243" s="10">
        <f t="shared" si="74"/>
        <v>7</v>
      </c>
    </row>
    <row r="244" spans="1:22" x14ac:dyDescent="0.3">
      <c r="A244" s="9" t="s">
        <v>21</v>
      </c>
      <c r="D244">
        <v>8</v>
      </c>
      <c r="H244" t="str">
        <f t="shared" si="71"/>
        <v>-</v>
      </c>
      <c r="K244">
        <f>K243</f>
        <v>1</v>
      </c>
      <c r="L244" s="24">
        <f>IF(L243&gt;=0,L243-O243,L243)</f>
        <v>-1000000</v>
      </c>
      <c r="O244" t="str">
        <f t="shared" si="72"/>
        <v>01000000</v>
      </c>
      <c r="Q244" s="13" t="str">
        <f t="shared" si="73"/>
        <v>01000000</v>
      </c>
      <c r="R244">
        <f t="shared" si="73"/>
        <v>0</v>
      </c>
      <c r="S244">
        <f t="shared" si="74"/>
        <v>0</v>
      </c>
      <c r="T244">
        <f t="shared" si="74"/>
        <v>-7</v>
      </c>
      <c r="U244">
        <f t="shared" si="74"/>
        <v>7</v>
      </c>
      <c r="V244" s="10">
        <f t="shared" si="74"/>
        <v>7</v>
      </c>
    </row>
    <row r="245" spans="1:22" x14ac:dyDescent="0.3">
      <c r="A245" s="9" t="s">
        <v>97</v>
      </c>
      <c r="H245" t="str">
        <f t="shared" si="71"/>
        <v>-</v>
      </c>
      <c r="K245">
        <f>IF(LEN(ABS(L244))&gt;8,LEFT(ABS(L244),1),K244)</f>
        <v>1</v>
      </c>
      <c r="L245" s="24">
        <f>L244</f>
        <v>-1000000</v>
      </c>
      <c r="O245" t="str">
        <f t="shared" si="72"/>
        <v>01000000</v>
      </c>
      <c r="Q245" s="13" t="str">
        <f t="shared" si="73"/>
        <v>01000000</v>
      </c>
      <c r="R245">
        <f>IF(L244&gt;=0,R244+1,R244)</f>
        <v>0</v>
      </c>
      <c r="S245">
        <f t="shared" si="74"/>
        <v>0</v>
      </c>
      <c r="T245">
        <f t="shared" si="74"/>
        <v>-7</v>
      </c>
      <c r="U245">
        <f t="shared" si="74"/>
        <v>7</v>
      </c>
      <c r="V245" s="10">
        <f t="shared" si="74"/>
        <v>7</v>
      </c>
    </row>
    <row r="246" spans="1:22" x14ac:dyDescent="0.3">
      <c r="A246" s="9" t="s">
        <v>21</v>
      </c>
      <c r="D246">
        <v>9</v>
      </c>
      <c r="H246" t="str">
        <f t="shared" si="71"/>
        <v>-</v>
      </c>
      <c r="K246">
        <f>K245</f>
        <v>1</v>
      </c>
      <c r="L246" s="24">
        <f>IF(L245&gt;=0,L245-O245,L245)</f>
        <v>-1000000</v>
      </c>
      <c r="O246" t="str">
        <f t="shared" si="72"/>
        <v>01000000</v>
      </c>
      <c r="Q246" s="13" t="str">
        <f t="shared" si="73"/>
        <v>01000000</v>
      </c>
      <c r="R246">
        <f t="shared" si="73"/>
        <v>0</v>
      </c>
      <c r="S246">
        <f t="shared" si="74"/>
        <v>0</v>
      </c>
      <c r="T246">
        <f t="shared" si="74"/>
        <v>-7</v>
      </c>
      <c r="U246">
        <f t="shared" si="74"/>
        <v>7</v>
      </c>
      <c r="V246" s="10">
        <f t="shared" si="74"/>
        <v>7</v>
      </c>
    </row>
    <row r="247" spans="1:22" x14ac:dyDescent="0.3">
      <c r="A247" s="9" t="s">
        <v>97</v>
      </c>
      <c r="H247" t="str">
        <f t="shared" si="71"/>
        <v>-</v>
      </c>
      <c r="K247">
        <f>IF(LEN(ABS(L246))&gt;8,LEFT(ABS(L246),1),K246)</f>
        <v>1</v>
      </c>
      <c r="L247" s="24">
        <f>L246</f>
        <v>-1000000</v>
      </c>
      <c r="O247" t="str">
        <f t="shared" si="72"/>
        <v>01000000</v>
      </c>
      <c r="Q247" s="13" t="str">
        <f t="shared" ref="Q247:R249" si="75">Q246</f>
        <v>01000000</v>
      </c>
      <c r="R247">
        <f>IF(L246&gt;=0,R246+1,R246)</f>
        <v>0</v>
      </c>
      <c r="S247">
        <f t="shared" ref="S247:V252" si="76">S246</f>
        <v>0</v>
      </c>
      <c r="T247">
        <f t="shared" si="76"/>
        <v>-7</v>
      </c>
      <c r="U247">
        <f t="shared" si="76"/>
        <v>7</v>
      </c>
      <c r="V247" s="10">
        <f t="shared" si="76"/>
        <v>7</v>
      </c>
    </row>
    <row r="248" spans="1:22" x14ac:dyDescent="0.3">
      <c r="A248" s="9" t="s">
        <v>21</v>
      </c>
      <c r="D248">
        <v>10</v>
      </c>
      <c r="H248" t="str">
        <f t="shared" si="71"/>
        <v>-</v>
      </c>
      <c r="K248">
        <f>K247</f>
        <v>1</v>
      </c>
      <c r="L248" s="24">
        <f>IF(L247&gt;=0,L247-O247,L247)</f>
        <v>-1000000</v>
      </c>
      <c r="O248" t="str">
        <f t="shared" si="72"/>
        <v>01000000</v>
      </c>
      <c r="Q248" s="13" t="str">
        <f t="shared" si="75"/>
        <v>01000000</v>
      </c>
      <c r="R248">
        <f t="shared" si="75"/>
        <v>0</v>
      </c>
      <c r="S248">
        <f t="shared" si="76"/>
        <v>0</v>
      </c>
      <c r="T248">
        <f t="shared" si="76"/>
        <v>-7</v>
      </c>
      <c r="U248">
        <f t="shared" si="76"/>
        <v>7</v>
      </c>
      <c r="V248" s="10">
        <f t="shared" si="76"/>
        <v>7</v>
      </c>
    </row>
    <row r="249" spans="1:22" x14ac:dyDescent="0.3">
      <c r="A249" s="9" t="s">
        <v>97</v>
      </c>
      <c r="H249" t="str">
        <f t="shared" si="71"/>
        <v>-</v>
      </c>
      <c r="K249">
        <f>IF(LEN(ABS(L248))&gt;8,LEFT(ABS(L248),1),K248)</f>
        <v>1</v>
      </c>
      <c r="L249" s="24">
        <f>L248</f>
        <v>-1000000</v>
      </c>
      <c r="O249" t="str">
        <f t="shared" si="72"/>
        <v>01000000</v>
      </c>
      <c r="Q249" s="13" t="str">
        <f t="shared" si="75"/>
        <v>01000000</v>
      </c>
      <c r="R249">
        <f>IF(L248&gt;=0,RIGHT(R248+1,1)*1,R248)</f>
        <v>0</v>
      </c>
      <c r="S249">
        <f t="shared" si="76"/>
        <v>0</v>
      </c>
      <c r="T249">
        <f t="shared" si="76"/>
        <v>-7</v>
      </c>
      <c r="U249">
        <f t="shared" si="76"/>
        <v>7</v>
      </c>
      <c r="V249" s="10">
        <f t="shared" si="76"/>
        <v>7</v>
      </c>
    </row>
    <row r="250" spans="1:22" x14ac:dyDescent="0.3">
      <c r="A250" s="9" t="s">
        <v>16</v>
      </c>
      <c r="D250" t="s">
        <v>98</v>
      </c>
      <c r="H250" t="str">
        <f t="shared" si="71"/>
        <v>-</v>
      </c>
      <c r="K250">
        <f>K249</f>
        <v>1</v>
      </c>
      <c r="L250" s="24">
        <f>L249+O249</f>
        <v>0</v>
      </c>
      <c r="O250" t="str">
        <f t="shared" si="72"/>
        <v>01000000</v>
      </c>
      <c r="Q250" s="13" t="str">
        <f>Q247</f>
        <v>01000000</v>
      </c>
      <c r="R250">
        <f>R249</f>
        <v>0</v>
      </c>
      <c r="S250">
        <f t="shared" si="76"/>
        <v>0</v>
      </c>
      <c r="T250">
        <f t="shared" si="76"/>
        <v>-7</v>
      </c>
      <c r="U250">
        <f t="shared" si="76"/>
        <v>7</v>
      </c>
      <c r="V250" s="10">
        <f t="shared" si="76"/>
        <v>7</v>
      </c>
    </row>
    <row r="251" spans="1:22" x14ac:dyDescent="0.3">
      <c r="A251" s="11" t="s">
        <v>106</v>
      </c>
      <c r="B251" s="1"/>
      <c r="C251" s="1"/>
      <c r="D251" s="1"/>
      <c r="E251" s="1"/>
      <c r="F251" s="1"/>
      <c r="G251" s="1"/>
      <c r="H251" s="1" t="str">
        <f t="shared" si="71"/>
        <v>-</v>
      </c>
      <c r="I251" s="1"/>
      <c r="J251" s="1"/>
      <c r="K251" s="1">
        <f>IF(LEN(ABS(L250))&gt;8,LEFT(ABS(L250),1),K250)</f>
        <v>1</v>
      </c>
      <c r="L251" s="51">
        <f>(L250&amp;LEFT(Q250,1))*1</f>
        <v>0</v>
      </c>
      <c r="M251" s="1"/>
      <c r="N251" s="1"/>
      <c r="O251" s="1" t="str">
        <f t="shared" si="72"/>
        <v>01000000</v>
      </c>
      <c r="P251" s="1"/>
      <c r="Q251" s="16" t="str">
        <f>(RIGHT(Q250,7)&amp;R250)</f>
        <v>10000000</v>
      </c>
      <c r="R251" s="1">
        <f>0</f>
        <v>0</v>
      </c>
      <c r="S251" s="1">
        <f t="shared" si="76"/>
        <v>0</v>
      </c>
      <c r="T251" s="1">
        <f t="shared" si="76"/>
        <v>-7</v>
      </c>
      <c r="U251" s="1">
        <f t="shared" si="76"/>
        <v>7</v>
      </c>
      <c r="V251" s="12">
        <f t="shared" si="76"/>
        <v>7</v>
      </c>
    </row>
    <row r="252" spans="1:22" x14ac:dyDescent="0.3">
      <c r="A252" t="s">
        <v>28</v>
      </c>
      <c r="L252" s="53" t="str">
        <f>Q251</f>
        <v>10000000</v>
      </c>
      <c r="Q252" s="23"/>
      <c r="R252">
        <f>0</f>
        <v>0</v>
      </c>
      <c r="S252">
        <f t="shared" si="76"/>
        <v>0</v>
      </c>
      <c r="T252">
        <f t="shared" si="76"/>
        <v>-7</v>
      </c>
      <c r="U252">
        <f t="shared" si="76"/>
        <v>7</v>
      </c>
      <c r="V252">
        <f t="shared" si="76"/>
        <v>7</v>
      </c>
    </row>
    <row r="253" spans="1:22" x14ac:dyDescent="0.3">
      <c r="L253" s="54" t="str">
        <f>L252</f>
        <v>10000000</v>
      </c>
      <c r="Q253" s="23"/>
      <c r="T253">
        <f>T252</f>
        <v>-7</v>
      </c>
    </row>
    <row r="254" spans="1:22" x14ac:dyDescent="0.3">
      <c r="D254" s="21"/>
      <c r="L254" s="54" t="str">
        <f>L253</f>
        <v>10000000</v>
      </c>
      <c r="Q254" s="23"/>
      <c r="T254">
        <f>T253</f>
        <v>-7</v>
      </c>
    </row>
    <row r="255" spans="1:22" x14ac:dyDescent="0.3">
      <c r="A255" t="s">
        <v>39</v>
      </c>
      <c r="D255" s="21"/>
      <c r="L255" s="55" t="str">
        <f>IF(T254&lt;0,"0"&amp;LEFT(L254,7),L254)</f>
        <v>01000000</v>
      </c>
      <c r="Q255" s="23"/>
      <c r="T255" s="20">
        <f>IF(T253&lt;0,T253+1,T253)</f>
        <v>-6</v>
      </c>
    </row>
    <row r="256" spans="1:22" x14ac:dyDescent="0.3">
      <c r="A256" t="s">
        <v>39</v>
      </c>
      <c r="D256" s="21"/>
      <c r="L256" s="55" t="str">
        <f t="shared" ref="L256:L263" si="77">IF(T255&lt;0,"0"&amp;LEFT(L255,7),L255)</f>
        <v>00100000</v>
      </c>
      <c r="Q256" s="23"/>
      <c r="T256" s="20">
        <f t="shared" ref="T256:T263" si="78">IF(T255&lt;0,T255+1,T255)</f>
        <v>-5</v>
      </c>
    </row>
    <row r="257" spans="1:22" x14ac:dyDescent="0.3">
      <c r="A257" t="s">
        <v>39</v>
      </c>
      <c r="L257" s="55" t="str">
        <f t="shared" si="77"/>
        <v>00010000</v>
      </c>
      <c r="Q257" s="23"/>
      <c r="T257" s="20">
        <f t="shared" si="78"/>
        <v>-4</v>
      </c>
    </row>
    <row r="258" spans="1:22" x14ac:dyDescent="0.3">
      <c r="A258" t="s">
        <v>39</v>
      </c>
      <c r="L258" s="55" t="str">
        <f t="shared" si="77"/>
        <v>00001000</v>
      </c>
      <c r="Q258" s="23"/>
      <c r="T258" s="20">
        <f t="shared" si="78"/>
        <v>-3</v>
      </c>
    </row>
    <row r="259" spans="1:22" x14ac:dyDescent="0.3">
      <c r="A259" t="s">
        <v>39</v>
      </c>
      <c r="L259" s="55" t="str">
        <f t="shared" si="77"/>
        <v>00000100</v>
      </c>
      <c r="Q259" s="23"/>
      <c r="T259" s="20">
        <f t="shared" si="78"/>
        <v>-2</v>
      </c>
    </row>
    <row r="260" spans="1:22" x14ac:dyDescent="0.3">
      <c r="A260" t="s">
        <v>39</v>
      </c>
      <c r="L260" s="55" t="str">
        <f t="shared" si="77"/>
        <v>00000010</v>
      </c>
      <c r="Q260" s="23"/>
      <c r="T260" s="20">
        <f t="shared" si="78"/>
        <v>-1</v>
      </c>
    </row>
    <row r="261" spans="1:22" x14ac:dyDescent="0.3">
      <c r="A261" t="s">
        <v>39</v>
      </c>
      <c r="L261" s="55" t="str">
        <f t="shared" si="77"/>
        <v>00000001</v>
      </c>
      <c r="Q261" s="23"/>
      <c r="T261" s="20">
        <f t="shared" si="78"/>
        <v>0</v>
      </c>
    </row>
    <row r="262" spans="1:22" x14ac:dyDescent="0.3">
      <c r="A262" t="s">
        <v>39</v>
      </c>
      <c r="L262" s="55" t="str">
        <f t="shared" si="77"/>
        <v>00000001</v>
      </c>
      <c r="Q262" s="23"/>
      <c r="T262" s="20">
        <f t="shared" si="78"/>
        <v>0</v>
      </c>
    </row>
    <row r="263" spans="1:22" x14ac:dyDescent="0.3">
      <c r="A263" t="s">
        <v>39</v>
      </c>
      <c r="L263" s="55" t="str">
        <f t="shared" si="77"/>
        <v>00000001</v>
      </c>
      <c r="Q263" s="23"/>
      <c r="T263" s="20">
        <f t="shared" si="78"/>
        <v>0</v>
      </c>
    </row>
    <row r="264" spans="1:22" x14ac:dyDescent="0.3">
      <c r="A264" t="s">
        <v>116</v>
      </c>
      <c r="L264" s="54" t="str">
        <f>L263</f>
        <v>00000001</v>
      </c>
      <c r="Q264" s="23"/>
      <c r="T264" s="4">
        <f>7-T263</f>
        <v>7</v>
      </c>
      <c r="V264" t="s">
        <v>153</v>
      </c>
    </row>
    <row r="265" spans="1:22" x14ac:dyDescent="0.3">
      <c r="A265" s="21"/>
      <c r="H265" s="3" t="str">
        <f>IF(LEN(ABS(L265))&gt;9,LEN(ABS(L265)),"-")</f>
        <v>-</v>
      </c>
      <c r="L265" s="42" t="str">
        <f>REPLACE(L264,8-T264+1,0,".")</f>
        <v>0.0000001</v>
      </c>
      <c r="O265" s="42" t="str">
        <f>REPLACE(L264,8-P265+1,0,".")</f>
        <v>00000001.</v>
      </c>
      <c r="P265">
        <v>0</v>
      </c>
      <c r="Q265" s="42" t="str">
        <f>REPLACE(L264,8-T263+1,0,".")</f>
        <v>00000001.</v>
      </c>
    </row>
    <row r="266" spans="1:22" x14ac:dyDescent="0.3">
      <c r="L266" s="42"/>
      <c r="O266" s="42"/>
      <c r="Q266" s="13"/>
    </row>
    <row r="267" spans="1:22" x14ac:dyDescent="0.3">
      <c r="Q267" s="13"/>
    </row>
    <row r="268" spans="1:22" x14ac:dyDescent="0.3">
      <c r="Q268" s="13"/>
    </row>
    <row r="269" spans="1:22" x14ac:dyDescent="0.3">
      <c r="Q269" s="13"/>
    </row>
    <row r="270" spans="1:22" x14ac:dyDescent="0.3">
      <c r="Q270" s="13"/>
    </row>
    <row r="271" spans="1:22" x14ac:dyDescent="0.3">
      <c r="Q271" s="13"/>
    </row>
    <row r="272" spans="1:22" x14ac:dyDescent="0.3">
      <c r="Q272" s="13"/>
    </row>
    <row r="273" spans="17:17" x14ac:dyDescent="0.3">
      <c r="Q273" s="13"/>
    </row>
    <row r="274" spans="17:17" x14ac:dyDescent="0.3">
      <c r="Q27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Add6</vt:lpstr>
      <vt:lpstr>Mult11</vt:lpstr>
      <vt:lpstr>Div13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</dc:creator>
  <cp:lastModifiedBy>Cass Blodgett</cp:lastModifiedBy>
  <dcterms:created xsi:type="dcterms:W3CDTF">2023-07-30T19:57:27Z</dcterms:created>
  <dcterms:modified xsi:type="dcterms:W3CDTF">2026-04-12T21:17:02Z</dcterms:modified>
</cp:coreProperties>
</file>