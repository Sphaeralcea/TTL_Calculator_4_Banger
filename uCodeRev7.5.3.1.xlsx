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\Documents\Logisim\"/>
    </mc:Choice>
  </mc:AlternateContent>
  <xr:revisionPtr revIDLastSave="0" documentId="13_ncr:1_{DED0904D-5976-4EB9-94B8-3C61CEDEF42C}" xr6:coauthVersionLast="47" xr6:coauthVersionMax="47" xr10:uidLastSave="{00000000-0000-0000-0000-000000000000}"/>
  <bookViews>
    <workbookView xWindow="-108" yWindow="-108" windowWidth="23256" windowHeight="13896" activeTab="1" xr2:uid="{2E7B1208-AD10-4BE6-B85C-04552331AAA4}"/>
  </bookViews>
  <sheets>
    <sheet name="Ops" sheetId="11" r:id="rId1"/>
    <sheet name="ASM" sheetId="12" r:id="rId2"/>
  </sheets>
  <definedNames>
    <definedName name="LABEL1">#REF!</definedName>
    <definedName name="NAM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9" i="12" l="1" a="1"/>
  <c r="Q209" i="12" s="1"/>
  <c r="AB209" i="12" s="1"/>
  <c r="P209" i="12"/>
  <c r="AA209" i="12" s="1"/>
  <c r="O209" i="12" a="1"/>
  <c r="O209" i="12" s="1"/>
  <c r="Z209" i="12" s="1"/>
  <c r="Q208" i="12" a="1"/>
  <c r="Q208" i="12" s="1"/>
  <c r="AB208" i="12" s="1"/>
  <c r="P208" i="12"/>
  <c r="AA208" i="12" s="1"/>
  <c r="O208" i="12" a="1"/>
  <c r="O208" i="12" s="1"/>
  <c r="Z208" i="12" s="1"/>
  <c r="A209" i="12"/>
  <c r="B209" i="12" s="1"/>
  <c r="B208" i="12"/>
  <c r="A208" i="12"/>
  <c r="Q218" i="12" a="1"/>
  <c r="Q218" i="12" s="1"/>
  <c r="AB218" i="12" s="1"/>
  <c r="P218" i="12"/>
  <c r="AA218" i="12" s="1"/>
  <c r="O218" i="12" a="1"/>
  <c r="O218" i="12" s="1"/>
  <c r="Z218" i="12" s="1"/>
  <c r="Q217" i="12" a="1"/>
  <c r="Q217" i="12" s="1"/>
  <c r="AB217" i="12" s="1"/>
  <c r="P217" i="12"/>
  <c r="AA217" i="12" s="1"/>
  <c r="O217" i="12" a="1"/>
  <c r="O217" i="12" s="1"/>
  <c r="Z217" i="12" s="1"/>
  <c r="Q216" i="12" a="1"/>
  <c r="Q216" i="12" s="1"/>
  <c r="AB216" i="12" s="1"/>
  <c r="P216" i="12"/>
  <c r="AA216" i="12" s="1"/>
  <c r="O216" i="12" a="1"/>
  <c r="O216" i="12" s="1"/>
  <c r="Z216" i="12" s="1"/>
  <c r="O215" i="12" a="1"/>
  <c r="O215" i="12" s="1"/>
  <c r="Z215" i="12" s="1"/>
  <c r="Q214" i="12" a="1"/>
  <c r="Q214" i="12" s="1"/>
  <c r="AB214" i="12" s="1"/>
  <c r="P214" i="12"/>
  <c r="AA214" i="12" s="1"/>
  <c r="O214" i="12" a="1"/>
  <c r="O214" i="12" s="1"/>
  <c r="Z214" i="12" s="1"/>
  <c r="Q221" i="12" a="1"/>
  <c r="Q221" i="12" s="1"/>
  <c r="AB221" i="12" s="1"/>
  <c r="P221" i="12"/>
  <c r="AA221" i="12" s="1"/>
  <c r="O221" i="12" a="1"/>
  <c r="O221" i="12" s="1"/>
  <c r="Z221" i="12" s="1"/>
  <c r="O220" i="12" a="1"/>
  <c r="O220" i="12" s="1"/>
  <c r="Z220" i="12" s="1"/>
  <c r="Q219" i="12" a="1"/>
  <c r="Q219" i="12" s="1"/>
  <c r="AB219" i="12" s="1"/>
  <c r="P219" i="12"/>
  <c r="AA219" i="12" s="1"/>
  <c r="O219" i="12" a="1"/>
  <c r="O219" i="12" s="1"/>
  <c r="Z219" i="12" s="1"/>
  <c r="O222" i="12" a="1"/>
  <c r="O222" i="12" s="1"/>
  <c r="Z222" i="12" s="1"/>
  <c r="Q200" i="12" a="1"/>
  <c r="Q200" i="12" s="1"/>
  <c r="AB200" i="12" s="1"/>
  <c r="P200" i="12"/>
  <c r="AA200" i="12" s="1"/>
  <c r="O200" i="12" a="1"/>
  <c r="O200" i="12" s="1"/>
  <c r="Z200" i="12" s="1"/>
  <c r="Q199" i="12" a="1"/>
  <c r="Q199" i="12" s="1"/>
  <c r="AB199" i="12" s="1"/>
  <c r="P199" i="12"/>
  <c r="AA199" i="12" s="1"/>
  <c r="O199" i="12" a="1"/>
  <c r="O199" i="12" s="1"/>
  <c r="Z199" i="12" s="1"/>
  <c r="O198" i="12" a="1"/>
  <c r="O198" i="12" s="1"/>
  <c r="Z198" i="12" s="1"/>
  <c r="O223" i="12" l="1" a="1"/>
  <c r="O223" i="12" s="1"/>
  <c r="Z223" i="12" s="1"/>
  <c r="O213" i="12" a="1"/>
  <c r="O213" i="12" s="1"/>
  <c r="Z213" i="12" s="1"/>
  <c r="O212" i="12" a="1"/>
  <c r="O212" i="12" s="1"/>
  <c r="Z212" i="12" s="1"/>
  <c r="O211" i="12" a="1"/>
  <c r="O211" i="12" s="1"/>
  <c r="Z211" i="12" s="1"/>
  <c r="Q210" i="12" a="1"/>
  <c r="Q210" i="12" s="1"/>
  <c r="AB210" i="12" s="1"/>
  <c r="P210" i="12"/>
  <c r="AA210" i="12" s="1"/>
  <c r="O210" i="12" a="1"/>
  <c r="O210" i="12" s="1"/>
  <c r="Z210" i="12" s="1"/>
  <c r="O98" i="12" l="1" a="1"/>
  <c r="O98" i="12" s="1"/>
  <c r="Z98" i="12" s="1"/>
  <c r="Q97" i="12" a="1"/>
  <c r="Q97" i="12" s="1"/>
  <c r="AB97" i="12" s="1"/>
  <c r="P97" i="12"/>
  <c r="AA97" i="12" s="1"/>
  <c r="O97" i="12" a="1"/>
  <c r="O97" i="12" s="1"/>
  <c r="Z97" i="12" s="1"/>
  <c r="O207" i="12" a="1"/>
  <c r="O207" i="12" s="1"/>
  <c r="Z207" i="12" s="1"/>
  <c r="O206" i="12" a="1"/>
  <c r="O206" i="12" s="1"/>
  <c r="Z206" i="12" s="1"/>
  <c r="Q205" i="12" a="1"/>
  <c r="Q205" i="12" s="1"/>
  <c r="AB205" i="12" s="1"/>
  <c r="P205" i="12"/>
  <c r="AA205" i="12" s="1"/>
  <c r="O205" i="12" a="1"/>
  <c r="O205" i="12" s="1"/>
  <c r="Z205" i="12" s="1"/>
  <c r="Q204" i="12" a="1"/>
  <c r="Q204" i="12" s="1"/>
  <c r="AB204" i="12" s="1"/>
  <c r="P204" i="12"/>
  <c r="AA204" i="12" s="1"/>
  <c r="O204" i="12" a="1"/>
  <c r="O204" i="12" s="1"/>
  <c r="Z204" i="12" s="1"/>
  <c r="O203" i="12" a="1"/>
  <c r="O203" i="12" s="1"/>
  <c r="Z203" i="12" s="1"/>
  <c r="O202" i="12" a="1"/>
  <c r="O202" i="12" s="1"/>
  <c r="Z202" i="12" s="1"/>
  <c r="Q201" i="12" a="1"/>
  <c r="Q201" i="12" s="1"/>
  <c r="AB201" i="12" s="1"/>
  <c r="P201" i="12"/>
  <c r="AA201" i="12" s="1"/>
  <c r="O201" i="12" a="1"/>
  <c r="O201" i="12" s="1"/>
  <c r="Z201" i="12" s="1"/>
  <c r="O197" i="12" a="1"/>
  <c r="O197" i="12" s="1"/>
  <c r="Z197" i="12" s="1"/>
  <c r="O196" i="12" a="1"/>
  <c r="O196" i="12" s="1"/>
  <c r="Z196" i="12" s="1"/>
  <c r="O195" i="12" a="1"/>
  <c r="O195" i="12" s="1"/>
  <c r="Z195" i="12" s="1"/>
  <c r="Q194" i="12" a="1"/>
  <c r="Q194" i="12" s="1"/>
  <c r="AB194" i="12" s="1"/>
  <c r="P194" i="12"/>
  <c r="AA194" i="12" s="1"/>
  <c r="O194" i="12" a="1"/>
  <c r="O194" i="12" s="1"/>
  <c r="Z194" i="12" s="1"/>
  <c r="Q193" i="12" a="1"/>
  <c r="Q193" i="12" s="1"/>
  <c r="AB193" i="12" s="1"/>
  <c r="P193" i="12"/>
  <c r="AA193" i="12" s="1"/>
  <c r="O193" i="12" a="1"/>
  <c r="O193" i="12" s="1"/>
  <c r="Z193" i="12" s="1"/>
  <c r="O192" i="12" a="1"/>
  <c r="O192" i="12" s="1"/>
  <c r="Z192" i="12" s="1"/>
  <c r="O191" i="12" a="1"/>
  <c r="O191" i="12" s="1"/>
  <c r="Z191" i="12" s="1"/>
  <c r="O190" i="12" a="1"/>
  <c r="O190" i="12" s="1"/>
  <c r="Z190" i="12" s="1"/>
  <c r="O189" i="12" a="1"/>
  <c r="O189" i="12" s="1"/>
  <c r="Z189" i="12" s="1"/>
  <c r="Q681" i="12" a="1"/>
  <c r="Q681" i="12" s="1"/>
  <c r="AB681" i="12" s="1"/>
  <c r="P681" i="12"/>
  <c r="AA681" i="12" s="1"/>
  <c r="O681" i="12" a="1"/>
  <c r="O681" i="12" s="1"/>
  <c r="Z681" i="12" s="1"/>
  <c r="Q680" i="12" a="1"/>
  <c r="Q680" i="12" s="1"/>
  <c r="AB680" i="12" s="1"/>
  <c r="P680" i="12"/>
  <c r="AA680" i="12" s="1"/>
  <c r="O680" i="12" a="1"/>
  <c r="O680" i="12" s="1"/>
  <c r="Z680" i="12" s="1"/>
  <c r="Q679" i="12" a="1"/>
  <c r="Q679" i="12" s="1"/>
  <c r="AB679" i="12" s="1"/>
  <c r="Q678" i="12" a="1"/>
  <c r="Q678" i="12" s="1"/>
  <c r="AB678" i="12" s="1"/>
  <c r="Q677" i="12" a="1"/>
  <c r="Q677" i="12" s="1"/>
  <c r="AB677" i="12" s="1"/>
  <c r="Q676" i="12" a="1"/>
  <c r="Q676" i="12" s="1"/>
  <c r="AB676" i="12" s="1"/>
  <c r="Q675" i="12" a="1"/>
  <c r="Q675" i="12" s="1"/>
  <c r="AB675" i="12" s="1"/>
  <c r="Q674" i="12" a="1"/>
  <c r="Q674" i="12" s="1"/>
  <c r="AB674" i="12" s="1"/>
  <c r="Q673" i="12" a="1"/>
  <c r="Q673" i="12" s="1"/>
  <c r="AB673" i="12" s="1"/>
  <c r="Q672" i="12" a="1"/>
  <c r="Q672" i="12" s="1"/>
  <c r="AB672" i="12" s="1"/>
  <c r="Q671" i="12" a="1"/>
  <c r="Q671" i="12" s="1"/>
  <c r="AB671" i="12" s="1"/>
  <c r="Q670" i="12" a="1"/>
  <c r="Q670" i="12" s="1"/>
  <c r="AB670" i="12" s="1"/>
  <c r="Q669" i="12" a="1"/>
  <c r="Q669" i="12" s="1"/>
  <c r="AB669" i="12" s="1"/>
  <c r="Q668" i="12" a="1"/>
  <c r="Q668" i="12" s="1"/>
  <c r="AB668" i="12" s="1"/>
  <c r="Q667" i="12" a="1"/>
  <c r="Q667" i="12" s="1"/>
  <c r="AB667" i="12" s="1"/>
  <c r="Q666" i="12" a="1"/>
  <c r="Q666" i="12" s="1"/>
  <c r="AB666" i="12" s="1"/>
  <c r="Q665" i="12" a="1"/>
  <c r="Q665" i="12" s="1"/>
  <c r="AB665" i="12" s="1"/>
  <c r="Q664" i="12" a="1"/>
  <c r="Q664" i="12" s="1"/>
  <c r="AB664" i="12" s="1"/>
  <c r="Q663" i="12" a="1"/>
  <c r="Q663" i="12" s="1"/>
  <c r="AB663" i="12" s="1"/>
  <c r="Q662" i="12" a="1"/>
  <c r="Q662" i="12" s="1"/>
  <c r="AB662" i="12" s="1"/>
  <c r="Q661" i="12" a="1"/>
  <c r="Q661" i="12" s="1"/>
  <c r="AB661" i="12" s="1"/>
  <c r="Q660" i="12" a="1"/>
  <c r="Q660" i="12" s="1"/>
  <c r="AB660" i="12" s="1"/>
  <c r="Q657" i="12" a="1"/>
  <c r="Q657" i="12" s="1"/>
  <c r="AB657" i="12" s="1"/>
  <c r="Q656" i="12" a="1"/>
  <c r="Q656" i="12" s="1"/>
  <c r="Q653" i="12" a="1"/>
  <c r="Q653" i="12" s="1"/>
  <c r="Q652" i="12" a="1"/>
  <c r="Q652" i="12" s="1"/>
  <c r="Q651" i="12" a="1"/>
  <c r="Q651" i="12" s="1"/>
  <c r="AB651" i="12" s="1"/>
  <c r="Q649" i="12" a="1"/>
  <c r="Q649" i="12" s="1"/>
  <c r="AB649" i="12" s="1"/>
  <c r="Q647" i="12" a="1"/>
  <c r="Q647" i="12" s="1"/>
  <c r="AB647" i="12" s="1"/>
  <c r="Q645" i="12" a="1"/>
  <c r="Q645" i="12" s="1"/>
  <c r="AB645" i="12" s="1"/>
  <c r="Q644" i="12" a="1"/>
  <c r="Q644" i="12" s="1"/>
  <c r="AB644" i="12" s="1"/>
  <c r="Q640" i="12" a="1"/>
  <c r="Q640" i="12" s="1"/>
  <c r="AB640" i="12" s="1"/>
  <c r="Q639" i="12" a="1"/>
  <c r="Q639" i="12" s="1"/>
  <c r="AB639" i="12" s="1"/>
  <c r="Q638" i="12" a="1"/>
  <c r="Q638" i="12" s="1"/>
  <c r="AB638" i="12" s="1"/>
  <c r="Q636" i="12" a="1"/>
  <c r="Q636" i="12" s="1"/>
  <c r="AB636" i="12" s="1"/>
  <c r="Q634" i="12" a="1"/>
  <c r="Q634" i="12" s="1"/>
  <c r="AB634" i="12" s="1"/>
  <c r="Q632" i="12" a="1"/>
  <c r="Q632" i="12" s="1"/>
  <c r="AB632" i="12" s="1"/>
  <c r="Q629" i="12" a="1"/>
  <c r="Q629" i="12" s="1"/>
  <c r="AB629" i="12" s="1"/>
  <c r="Q627" i="12" a="1"/>
  <c r="Q627" i="12" s="1"/>
  <c r="AB627" i="12" s="1"/>
  <c r="Q626" i="12" a="1"/>
  <c r="Q626" i="12" s="1"/>
  <c r="AB626" i="12" s="1"/>
  <c r="Q623" i="12" a="1"/>
  <c r="Q623" i="12" s="1"/>
  <c r="AB623" i="12" s="1"/>
  <c r="Q622" i="12" a="1"/>
  <c r="Q622" i="12" s="1"/>
  <c r="AB622" i="12" s="1"/>
  <c r="Q621" i="12" a="1"/>
  <c r="Q621" i="12" s="1"/>
  <c r="AB621" i="12" s="1"/>
  <c r="Q618" i="12" a="1"/>
  <c r="Q618" i="12" s="1"/>
  <c r="AB618" i="12" s="1"/>
  <c r="Q617" i="12" a="1"/>
  <c r="Q617" i="12" s="1"/>
  <c r="AB617" i="12" s="1"/>
  <c r="Q615" i="12" a="1"/>
  <c r="Q615" i="12" s="1"/>
  <c r="AB615" i="12" s="1"/>
  <c r="Q614" i="12" a="1"/>
  <c r="Q614" i="12" s="1"/>
  <c r="AB614" i="12" s="1"/>
  <c r="Q613" i="12" a="1"/>
  <c r="Q613" i="12" s="1"/>
  <c r="Q612" i="12" a="1"/>
  <c r="Q612" i="12" s="1"/>
  <c r="Q609" i="12" a="1"/>
  <c r="Q609" i="12" s="1"/>
  <c r="Q608" i="12" a="1"/>
  <c r="Q608" i="12" s="1"/>
  <c r="Q607" i="12" a="1"/>
  <c r="Q607" i="12" s="1"/>
  <c r="Q604" i="12" a="1"/>
  <c r="Q604" i="12" s="1"/>
  <c r="Q603" i="12" a="1"/>
  <c r="Q603" i="12" s="1"/>
  <c r="Q601" i="12" a="1"/>
  <c r="Q601" i="12" s="1"/>
  <c r="Q599" i="12" a="1"/>
  <c r="Q599" i="12" s="1"/>
  <c r="Q598" i="12" a="1"/>
  <c r="Q598" i="12" s="1"/>
  <c r="Q597" i="12" a="1"/>
  <c r="Q597" i="12" s="1"/>
  <c r="Q593" i="12" a="1"/>
  <c r="Q593" i="12" s="1"/>
  <c r="Q585" i="12" a="1"/>
  <c r="Q585" i="12" s="1"/>
  <c r="Q583" i="12" a="1"/>
  <c r="Q583" i="12" s="1"/>
  <c r="Q582" i="12" a="1"/>
  <c r="Q582" i="12" s="1"/>
  <c r="Q581" i="12" a="1"/>
  <c r="Q581" i="12" s="1"/>
  <c r="Q579" i="12" a="1"/>
  <c r="Q579" i="12" s="1"/>
  <c r="Q578" i="12" a="1"/>
  <c r="Q578" i="12" s="1"/>
  <c r="Q577" i="12" a="1"/>
  <c r="Q577" i="12" s="1"/>
  <c r="Q576" i="12" a="1"/>
  <c r="Q576" i="12" s="1"/>
  <c r="Q575" i="12" a="1"/>
  <c r="Q575" i="12" s="1"/>
  <c r="Q574" i="12" a="1"/>
  <c r="Q574" i="12" s="1"/>
  <c r="Q573" i="12" a="1"/>
  <c r="Q573" i="12" s="1"/>
  <c r="Q572" i="12" a="1"/>
  <c r="Q572" i="12" s="1"/>
  <c r="Q570" i="12" a="1"/>
  <c r="Q570" i="12" s="1"/>
  <c r="Q568" i="12" a="1"/>
  <c r="Q568" i="12" s="1"/>
  <c r="Q567" i="12" a="1"/>
  <c r="Q567" i="12" s="1"/>
  <c r="Q566" i="12" a="1"/>
  <c r="Q566" i="12" s="1"/>
  <c r="Q565" i="12" a="1"/>
  <c r="Q565" i="12" s="1"/>
  <c r="Q564" i="12" a="1"/>
  <c r="Q564" i="12" s="1"/>
  <c r="Q563" i="12" a="1"/>
  <c r="Q563" i="12" s="1"/>
  <c r="Q562" i="12" a="1"/>
  <c r="Q562" i="12" s="1"/>
  <c r="Q561" i="12" a="1"/>
  <c r="Q561" i="12" s="1"/>
  <c r="Q560" i="12" a="1"/>
  <c r="Q560" i="12" s="1"/>
  <c r="Q559" i="12" a="1"/>
  <c r="Q559" i="12" s="1"/>
  <c r="Q558" i="12" a="1"/>
  <c r="Q558" i="12" s="1"/>
  <c r="Q556" i="12" a="1"/>
  <c r="Q556" i="12" s="1"/>
  <c r="Q555" i="12" a="1"/>
  <c r="Q555" i="12" s="1"/>
  <c r="Q554" i="12" a="1"/>
  <c r="Q554" i="12" s="1"/>
  <c r="Q553" i="12" a="1"/>
  <c r="Q553" i="12" s="1"/>
  <c r="Q552" i="12" a="1"/>
  <c r="Q552" i="12" s="1"/>
  <c r="Q551" i="12" a="1"/>
  <c r="Q551" i="12" s="1"/>
  <c r="Q550" i="12" a="1"/>
  <c r="Q550" i="12" s="1"/>
  <c r="Q549" i="12" a="1"/>
  <c r="Q549" i="12" s="1"/>
  <c r="Q548" i="12" a="1"/>
  <c r="Q548" i="12" s="1"/>
  <c r="Q546" i="12" a="1"/>
  <c r="Q546" i="12" s="1"/>
  <c r="Q545" i="12" a="1"/>
  <c r="Q545" i="12" s="1"/>
  <c r="Q544" i="12" a="1"/>
  <c r="Q544" i="12" s="1"/>
  <c r="Q543" i="12" a="1"/>
  <c r="Q543" i="12" s="1"/>
  <c r="Q542" i="12" a="1"/>
  <c r="Q542" i="12" s="1"/>
  <c r="Q541" i="12" a="1"/>
  <c r="Q541" i="12" s="1"/>
  <c r="Q540" i="12" a="1"/>
  <c r="Q540" i="12" s="1"/>
  <c r="Q539" i="12" a="1"/>
  <c r="Q539" i="12" s="1"/>
  <c r="Q538" i="12" a="1"/>
  <c r="Q538" i="12" s="1"/>
  <c r="Q537" i="12" a="1"/>
  <c r="Q537" i="12" s="1"/>
  <c r="Q534" i="12" a="1"/>
  <c r="Q534" i="12" s="1"/>
  <c r="Q533" i="12" a="1"/>
  <c r="Q533" i="12" s="1"/>
  <c r="Q532" i="12" a="1"/>
  <c r="Q532" i="12" s="1"/>
  <c r="Q531" i="12" a="1"/>
  <c r="Q531" i="12" s="1"/>
  <c r="Q530" i="12" a="1"/>
  <c r="Q530" i="12" s="1"/>
  <c r="Q529" i="12" a="1"/>
  <c r="Q529" i="12" s="1"/>
  <c r="Q528" i="12" a="1"/>
  <c r="Q528" i="12" s="1"/>
  <c r="Q527" i="12" a="1"/>
  <c r="Q527" i="12" s="1"/>
  <c r="Q525" i="12" a="1"/>
  <c r="Q525" i="12" s="1"/>
  <c r="Q524" i="12" a="1"/>
  <c r="Q524" i="12" s="1"/>
  <c r="Q521" i="12" a="1"/>
  <c r="Q521" i="12" s="1"/>
  <c r="Q520" i="12" a="1"/>
  <c r="Q520" i="12" s="1"/>
  <c r="Q516" i="12" a="1"/>
  <c r="Q516" i="12" s="1"/>
  <c r="Q515" i="12" a="1"/>
  <c r="Q515" i="12" s="1"/>
  <c r="Q513" i="12" a="1"/>
  <c r="Q513" i="12" s="1"/>
  <c r="Q511" i="12" a="1"/>
  <c r="Q511" i="12" s="1"/>
  <c r="Q509" i="12" a="1"/>
  <c r="Q509" i="12" s="1"/>
  <c r="Q507" i="12" a="1"/>
  <c r="Q507" i="12" s="1"/>
  <c r="Q506" i="12" a="1"/>
  <c r="Q506" i="12" s="1"/>
  <c r="Q502" i="12" a="1"/>
  <c r="Q502" i="12" s="1"/>
  <c r="Q500" i="12" a="1"/>
  <c r="Q500" i="12" s="1"/>
  <c r="Q495" i="12" a="1"/>
  <c r="Q495" i="12" s="1"/>
  <c r="Q494" i="12" a="1"/>
  <c r="Q494" i="12" s="1"/>
  <c r="Q493" i="12" a="1"/>
  <c r="Q493" i="12" s="1"/>
  <c r="Q492" i="12" a="1"/>
  <c r="Q492" i="12" s="1"/>
  <c r="Q489" i="12" a="1"/>
  <c r="Q489" i="12" s="1"/>
  <c r="Q487" i="12" a="1"/>
  <c r="Q487" i="12" s="1"/>
  <c r="Q485" i="12" a="1"/>
  <c r="Q485" i="12" s="1"/>
  <c r="Q484" i="12" a="1"/>
  <c r="Q484" i="12" s="1"/>
  <c r="Q482" i="12" a="1"/>
  <c r="Q482" i="12" s="1"/>
  <c r="Q479" i="12" a="1"/>
  <c r="Q479" i="12" s="1"/>
  <c r="Q477" i="12" a="1"/>
  <c r="Q477" i="12" s="1"/>
  <c r="Q475" i="12" a="1"/>
  <c r="Q475" i="12" s="1"/>
  <c r="Q474" i="12" a="1"/>
  <c r="Q474" i="12" s="1"/>
  <c r="Q472" i="12" a="1"/>
  <c r="Q472" i="12" s="1"/>
  <c r="Q470" i="12" a="1"/>
  <c r="Q470" i="12" s="1"/>
  <c r="Q469" i="12" a="1"/>
  <c r="Q469" i="12" s="1"/>
  <c r="Q468" i="12" a="1"/>
  <c r="Q468" i="12" s="1"/>
  <c r="Q466" i="12" a="1"/>
  <c r="Q466" i="12" s="1"/>
  <c r="Q464" i="12" a="1"/>
  <c r="Q464" i="12" s="1"/>
  <c r="Q462" i="12" a="1"/>
  <c r="Q462" i="12" s="1"/>
  <c r="Q460" i="12" a="1"/>
  <c r="Q460" i="12" s="1"/>
  <c r="Q458" i="12" a="1"/>
  <c r="Q458" i="12" s="1"/>
  <c r="Q456" i="12" a="1"/>
  <c r="Q456" i="12" s="1"/>
  <c r="Q454" i="12" a="1"/>
  <c r="Q454" i="12" s="1"/>
  <c r="Q453" i="12" a="1"/>
  <c r="Q453" i="12" s="1"/>
  <c r="Q449" i="12" a="1"/>
  <c r="Q449" i="12" s="1"/>
  <c r="Q441" i="12" a="1"/>
  <c r="Q441" i="12" s="1"/>
  <c r="Q440" i="12" a="1"/>
  <c r="Q440" i="12" s="1"/>
  <c r="Q439" i="12" a="1"/>
  <c r="Q439" i="12" s="1"/>
  <c r="Q434" i="12" a="1"/>
  <c r="Q434" i="12" s="1"/>
  <c r="Q433" i="12" a="1"/>
  <c r="Q433" i="12" s="1"/>
  <c r="Q430" i="12" a="1"/>
  <c r="Q430" i="12" s="1"/>
  <c r="Q429" i="12" a="1"/>
  <c r="Q429" i="12" s="1"/>
  <c r="Q428" i="12" a="1"/>
  <c r="Q428" i="12" s="1"/>
  <c r="Q427" i="12" a="1"/>
  <c r="Q427" i="12" s="1"/>
  <c r="Q426" i="12" a="1"/>
  <c r="Q426" i="12" s="1"/>
  <c r="Q425" i="12" a="1"/>
  <c r="Q425" i="12" s="1"/>
  <c r="Q424" i="12" a="1"/>
  <c r="Q424" i="12" s="1"/>
  <c r="Q423" i="12" a="1"/>
  <c r="Q423" i="12" s="1"/>
  <c r="Q421" i="12" a="1"/>
  <c r="Q421" i="12" s="1"/>
  <c r="Q420" i="12" a="1"/>
  <c r="Q420" i="12" s="1"/>
  <c r="Q419" i="12" a="1"/>
  <c r="Q419" i="12" s="1"/>
  <c r="Q417" i="12" a="1"/>
  <c r="Q417" i="12" s="1"/>
  <c r="Q416" i="12" a="1"/>
  <c r="Q416" i="12" s="1"/>
  <c r="Q415" i="12" a="1"/>
  <c r="Q415" i="12" s="1"/>
  <c r="Q414" i="12" a="1"/>
  <c r="Q414" i="12" s="1"/>
  <c r="Q412" i="12" a="1"/>
  <c r="Q412" i="12" s="1"/>
  <c r="Q410" i="12" a="1"/>
  <c r="Q410" i="12" s="1"/>
  <c r="Q408" i="12" a="1"/>
  <c r="Q408" i="12" s="1"/>
  <c r="Q406" i="12" a="1"/>
  <c r="Q406" i="12" s="1"/>
  <c r="Q405" i="12" a="1"/>
  <c r="Q405" i="12" s="1"/>
  <c r="Q403" i="12" a="1"/>
  <c r="Q403" i="12" s="1"/>
  <c r="Q398" i="12" a="1"/>
  <c r="Q398" i="12" s="1"/>
  <c r="Q394" i="12" a="1"/>
  <c r="Q394" i="12" s="1"/>
  <c r="Q393" i="12" a="1"/>
  <c r="Q393" i="12" s="1"/>
  <c r="Q392" i="12" a="1"/>
  <c r="Q392" i="12" s="1"/>
  <c r="Q390" i="12" a="1"/>
  <c r="Q390" i="12" s="1"/>
  <c r="Q388" i="12" a="1"/>
  <c r="Q388" i="12" s="1"/>
  <c r="Q387" i="12" a="1"/>
  <c r="Q387" i="12" s="1"/>
  <c r="Q386" i="12" a="1"/>
  <c r="Q386" i="12" s="1"/>
  <c r="Q384" i="12" a="1"/>
  <c r="Q384" i="12" s="1"/>
  <c r="Q383" i="12" a="1"/>
  <c r="Q383" i="12" s="1"/>
  <c r="Q382" i="12" a="1"/>
  <c r="Q382" i="12" s="1"/>
  <c r="Q380" i="12" a="1"/>
  <c r="Q380" i="12" s="1"/>
  <c r="Q379" i="12" a="1"/>
  <c r="Q379" i="12" s="1"/>
  <c r="Q374" i="12" a="1"/>
  <c r="Q374" i="12" s="1"/>
  <c r="Q371" i="12" a="1"/>
  <c r="Q371" i="12" s="1"/>
  <c r="Q370" i="12" a="1"/>
  <c r="Q370" i="12" s="1"/>
  <c r="Q369" i="12" a="1"/>
  <c r="Q369" i="12" s="1"/>
  <c r="Q366" i="12" a="1"/>
  <c r="Q366" i="12" s="1"/>
  <c r="Q365" i="12" a="1"/>
  <c r="Q365" i="12" s="1"/>
  <c r="Q364" i="12" a="1"/>
  <c r="Q364" i="12" s="1"/>
  <c r="Q363" i="12" a="1"/>
  <c r="Q363" i="12" s="1"/>
  <c r="Q362" i="12" a="1"/>
  <c r="Q362" i="12" s="1"/>
  <c r="Q361" i="12" a="1"/>
  <c r="Q361" i="12" s="1"/>
  <c r="Q360" i="12" a="1"/>
  <c r="Q360" i="12" s="1"/>
  <c r="Q359" i="12" a="1"/>
  <c r="Q359" i="12" s="1"/>
  <c r="Q356" i="12" a="1"/>
  <c r="Q356" i="12" s="1"/>
  <c r="Q354" i="12" a="1"/>
  <c r="Q354" i="12" s="1"/>
  <c r="Q352" i="12" a="1"/>
  <c r="Q352" i="12" s="1"/>
  <c r="Q350" i="12" a="1"/>
  <c r="Q350" i="12" s="1"/>
  <c r="Q349" i="12" a="1"/>
  <c r="Q349" i="12" s="1"/>
  <c r="Q347" i="12" a="1"/>
  <c r="Q347" i="12" s="1"/>
  <c r="Q346" i="12" a="1"/>
  <c r="Q346" i="12" s="1"/>
  <c r="Q345" i="12" a="1"/>
  <c r="Q345" i="12" s="1"/>
  <c r="Q344" i="12" a="1"/>
  <c r="Q344" i="12" s="1"/>
  <c r="Q343" i="12" a="1"/>
  <c r="Q343" i="12" s="1"/>
  <c r="Q342" i="12" a="1"/>
  <c r="Q342" i="12" s="1"/>
  <c r="Q341" i="12" a="1"/>
  <c r="Q341" i="12" s="1"/>
  <c r="Q340" i="12" a="1"/>
  <c r="Q340" i="12" s="1"/>
  <c r="Q338" i="12" a="1"/>
  <c r="Q338" i="12" s="1"/>
  <c r="Q336" i="12" a="1"/>
  <c r="Q336" i="12" s="1"/>
  <c r="Q334" i="12" a="1"/>
  <c r="Q334" i="12" s="1"/>
  <c r="Q330" i="12" a="1"/>
  <c r="Q330" i="12" s="1"/>
  <c r="Q329" i="12" a="1"/>
  <c r="Q329" i="12" s="1"/>
  <c r="Q328" i="12" a="1"/>
  <c r="Q328" i="12" s="1"/>
  <c r="Q327" i="12" a="1"/>
  <c r="Q327" i="12" s="1"/>
  <c r="Q326" i="12" a="1"/>
  <c r="Q326" i="12" s="1"/>
  <c r="Q325" i="12" a="1"/>
  <c r="Q325" i="12" s="1"/>
  <c r="Q324" i="12" a="1"/>
  <c r="Q324" i="12" s="1"/>
  <c r="Q323" i="12" a="1"/>
  <c r="Q323" i="12" s="1"/>
  <c r="Q322" i="12" a="1"/>
  <c r="Q322" i="12" s="1"/>
  <c r="Q321" i="12" a="1"/>
  <c r="Q321" i="12" s="1"/>
  <c r="Q319" i="12" a="1"/>
  <c r="Q319" i="12" s="1"/>
  <c r="Q317" i="12" a="1"/>
  <c r="Q317" i="12" s="1"/>
  <c r="Q309" i="12" a="1"/>
  <c r="Q309" i="12" s="1"/>
  <c r="Q308" i="12" a="1"/>
  <c r="Q308" i="12" s="1"/>
  <c r="Q304" i="12" a="1"/>
  <c r="Q304" i="12" s="1"/>
  <c r="Q303" i="12" a="1"/>
  <c r="Q303" i="12" s="1"/>
  <c r="Q300" i="12" a="1"/>
  <c r="Q300" i="12" s="1"/>
  <c r="Q299" i="12" a="1"/>
  <c r="Q299" i="12" s="1"/>
  <c r="Q298" i="12" a="1"/>
  <c r="Q298" i="12" s="1"/>
  <c r="Q295" i="12" a="1"/>
  <c r="Q295" i="12" s="1"/>
  <c r="Q293" i="12" a="1"/>
  <c r="Q293" i="12" s="1"/>
  <c r="Q289" i="12" a="1"/>
  <c r="Q289" i="12" s="1"/>
  <c r="Q288" i="12" a="1"/>
  <c r="Q288" i="12" s="1"/>
  <c r="Q287" i="12" a="1"/>
  <c r="Q287" i="12" s="1"/>
  <c r="Q285" i="12" a="1"/>
  <c r="Q285" i="12" s="1"/>
  <c r="Q283" i="12" a="1"/>
  <c r="Q283" i="12" s="1"/>
  <c r="Q282" i="12" a="1"/>
  <c r="Q282" i="12" s="1"/>
  <c r="Q281" i="12" a="1"/>
  <c r="Q281" i="12" s="1"/>
  <c r="Q279" i="12" a="1"/>
  <c r="Q279" i="12" s="1"/>
  <c r="Q278" i="12" a="1"/>
  <c r="Q278" i="12" s="1"/>
  <c r="Q277" i="12" a="1"/>
  <c r="Q277" i="12" s="1"/>
  <c r="Q275" i="12" a="1"/>
  <c r="Q275" i="12" s="1"/>
  <c r="Q274" i="12" a="1"/>
  <c r="Q274" i="12" s="1"/>
  <c r="Q270" i="12" a="1"/>
  <c r="Q270" i="12" s="1"/>
  <c r="Q268" i="12" a="1"/>
  <c r="Q268" i="12" s="1"/>
  <c r="Q264" i="12" a="1"/>
  <c r="Q264" i="12" s="1"/>
  <c r="Q263" i="12" a="1"/>
  <c r="Q263" i="12" s="1"/>
  <c r="Q261" i="12" a="1"/>
  <c r="Q261" i="12" s="1"/>
  <c r="Q258" i="12" a="1"/>
  <c r="Q258" i="12" s="1"/>
  <c r="Q256" i="12" a="1"/>
  <c r="Q256" i="12" s="1"/>
  <c r="Q254" i="12" a="1"/>
  <c r="Q254" i="12" s="1"/>
  <c r="Q250" i="12" a="1"/>
  <c r="Q250" i="12" s="1"/>
  <c r="Q249" i="12" a="1"/>
  <c r="Q249" i="12" s="1"/>
  <c r="Q247" i="12" a="1"/>
  <c r="Q247" i="12" s="1"/>
  <c r="Q246" i="12" a="1"/>
  <c r="Q246" i="12" s="1"/>
  <c r="Q242" i="12" a="1"/>
  <c r="Q242" i="12" s="1"/>
  <c r="Q240" i="12" a="1"/>
  <c r="Q240" i="12" s="1"/>
  <c r="Q238" i="12" a="1"/>
  <c r="Q238" i="12" s="1"/>
  <c r="Q237" i="12" a="1"/>
  <c r="Q237" i="12" s="1"/>
  <c r="Q236" i="12" a="1"/>
  <c r="Q236" i="12" s="1"/>
  <c r="Q234" i="12" a="1"/>
  <c r="Q234" i="12" s="1"/>
  <c r="Q233" i="12" a="1"/>
  <c r="Q233" i="12" s="1"/>
  <c r="AB233" i="12" s="1"/>
  <c r="Q232" i="12" a="1"/>
  <c r="Q232" i="12" s="1"/>
  <c r="AB232" i="12" s="1"/>
  <c r="Q230" i="12" a="1"/>
  <c r="Q230" i="12" s="1"/>
  <c r="AB230" i="12" s="1"/>
  <c r="Q229" i="12" a="1"/>
  <c r="Q229" i="12" s="1"/>
  <c r="AB229" i="12" s="1"/>
  <c r="Q225" i="12" a="1"/>
  <c r="Q225" i="12" s="1"/>
  <c r="AB225" i="12" s="1"/>
  <c r="Q187" i="12" a="1"/>
  <c r="Q187" i="12" s="1"/>
  <c r="Q185" i="12" a="1"/>
  <c r="Q185" i="12" s="1"/>
  <c r="Q184" i="12" a="1"/>
  <c r="Q184" i="12" s="1"/>
  <c r="Q183" i="12" a="1"/>
  <c r="Q183" i="12" s="1"/>
  <c r="Q181" i="12" a="1"/>
  <c r="Q181" i="12" s="1"/>
  <c r="Q179" i="12" a="1"/>
  <c r="Q179" i="12" s="1"/>
  <c r="Q177" i="12" a="1"/>
  <c r="Q177" i="12" s="1"/>
  <c r="Q176" i="12" a="1"/>
  <c r="Q176" i="12" s="1"/>
  <c r="Q175" i="12" a="1"/>
  <c r="Q175" i="12" s="1"/>
  <c r="Q173" i="12" a="1"/>
  <c r="Q173" i="12" s="1"/>
  <c r="Q172" i="12" a="1"/>
  <c r="Q172" i="12" s="1"/>
  <c r="Q169" i="12" a="1"/>
  <c r="Q169" i="12" s="1"/>
  <c r="Q167" i="12" a="1"/>
  <c r="Q167" i="12" s="1"/>
  <c r="Q165" i="12" a="1"/>
  <c r="Q165" i="12" s="1"/>
  <c r="Q163" i="12" a="1"/>
  <c r="Q163" i="12" s="1"/>
  <c r="Q161" i="12" a="1"/>
  <c r="Q161" i="12" s="1"/>
  <c r="Q160" i="12" a="1"/>
  <c r="Q160" i="12" s="1"/>
  <c r="Q158" i="12" a="1"/>
  <c r="Q158" i="12" s="1"/>
  <c r="Q157" i="12" a="1"/>
  <c r="Q157" i="12" s="1"/>
  <c r="Q156" i="12" a="1"/>
  <c r="Q156" i="12" s="1"/>
  <c r="Q155" i="12" a="1"/>
  <c r="Q155" i="12" s="1"/>
  <c r="Q154" i="12" a="1"/>
  <c r="Q154" i="12" s="1"/>
  <c r="Q153" i="12" a="1"/>
  <c r="Q153" i="12" s="1"/>
  <c r="Q152" i="12" a="1"/>
  <c r="Q152" i="12" s="1"/>
  <c r="Q151" i="12" a="1"/>
  <c r="Q151" i="12" s="1"/>
  <c r="Q150" i="12" a="1"/>
  <c r="Q150" i="12" s="1"/>
  <c r="Q149" i="12" a="1"/>
  <c r="Q149" i="12" s="1"/>
  <c r="Q148" i="12" a="1"/>
  <c r="Q148" i="12" s="1"/>
  <c r="Q144" i="12" a="1"/>
  <c r="Q144" i="12" s="1"/>
  <c r="Q141" i="12" a="1"/>
  <c r="Q141" i="12" s="1"/>
  <c r="Q139" i="12" a="1"/>
  <c r="Q139" i="12" s="1"/>
  <c r="Q137" i="12" a="1"/>
  <c r="Q137" i="12" s="1"/>
  <c r="Q135" i="12" a="1"/>
  <c r="Q135" i="12" s="1"/>
  <c r="Q133" i="12" a="1"/>
  <c r="Q133" i="12" s="1"/>
  <c r="Q131" i="12" a="1"/>
  <c r="Q131" i="12" s="1"/>
  <c r="Q129" i="12" a="1"/>
  <c r="Q129" i="12" s="1"/>
  <c r="Q127" i="12" a="1"/>
  <c r="Q127" i="12" s="1"/>
  <c r="Q125" i="12" a="1"/>
  <c r="Q125" i="12" s="1"/>
  <c r="Q123" i="12" a="1"/>
  <c r="Q123" i="12" s="1"/>
  <c r="Q122" i="12" a="1"/>
  <c r="Q122" i="12" s="1"/>
  <c r="Q120" i="12" a="1"/>
  <c r="Q120" i="12" s="1"/>
  <c r="Q118" i="12" a="1"/>
  <c r="Q118" i="12" s="1"/>
  <c r="Q116" i="12" a="1"/>
  <c r="Q116" i="12" s="1"/>
  <c r="Q115" i="12" a="1"/>
  <c r="Q115" i="12" s="1"/>
  <c r="Q113" i="12" a="1"/>
  <c r="Q113" i="12" s="1"/>
  <c r="Q111" i="12" a="1"/>
  <c r="Q111" i="12" s="1"/>
  <c r="Q109" i="12" a="1"/>
  <c r="Q109" i="12" s="1"/>
  <c r="Q107" i="12" a="1"/>
  <c r="Q107" i="12" s="1"/>
  <c r="Q105" i="12" a="1"/>
  <c r="Q105" i="12" s="1"/>
  <c r="Q103" i="12" a="1"/>
  <c r="Q103" i="12" s="1"/>
  <c r="Q101" i="12" a="1"/>
  <c r="Q101" i="12" s="1"/>
  <c r="AB101" i="12" s="1"/>
  <c r="Q99" i="12" a="1"/>
  <c r="Q99" i="12" s="1"/>
  <c r="AB99" i="12" s="1"/>
  <c r="Q96" i="12" a="1"/>
  <c r="Q96" i="12" s="1"/>
  <c r="Q88" i="12" a="1"/>
  <c r="Q88" i="12" s="1"/>
  <c r="Q87" i="12" a="1"/>
  <c r="Q87" i="12" s="1"/>
  <c r="Q84" i="12" a="1"/>
  <c r="Q84" i="12" s="1"/>
  <c r="Q83" i="12" a="1"/>
  <c r="Q83" i="12" s="1"/>
  <c r="Q80" i="12" a="1"/>
  <c r="Q80" i="12" s="1"/>
  <c r="Q79" i="12" a="1"/>
  <c r="Q79" i="12" s="1"/>
  <c r="Q76" i="12" a="1"/>
  <c r="Q76" i="12" s="1"/>
  <c r="Q75" i="12" a="1"/>
  <c r="Q75" i="12" s="1"/>
  <c r="Q74" i="12" a="1"/>
  <c r="Q74" i="12" s="1"/>
  <c r="Q73" i="12" a="1"/>
  <c r="Q73" i="12" s="1"/>
  <c r="Q72" i="12" a="1"/>
  <c r="Q72" i="12" s="1"/>
  <c r="Q71" i="12" a="1"/>
  <c r="Q71" i="12" s="1"/>
  <c r="Q70" i="12" a="1"/>
  <c r="Q70" i="12" s="1"/>
  <c r="Q69" i="12" a="1"/>
  <c r="Q69" i="12" s="1"/>
  <c r="Q68" i="12" a="1"/>
  <c r="Q68" i="12" s="1"/>
  <c r="Q67" i="12" a="1"/>
  <c r="Q67" i="12" s="1"/>
  <c r="Q66" i="12" a="1"/>
  <c r="Q66" i="12" s="1"/>
  <c r="Q65" i="12" a="1"/>
  <c r="Q65" i="12" s="1"/>
  <c r="Q64" i="12" a="1"/>
  <c r="Q64" i="12" s="1"/>
  <c r="Q63" i="12" a="1"/>
  <c r="Q63" i="12" s="1"/>
  <c r="Q62" i="12" a="1"/>
  <c r="Q62" i="12" s="1"/>
  <c r="Q61" i="12" a="1"/>
  <c r="Q61" i="12" s="1"/>
  <c r="Q60" i="12" a="1"/>
  <c r="Q60" i="12" s="1"/>
  <c r="Q59" i="12" a="1"/>
  <c r="Q59" i="12" s="1"/>
  <c r="Q58" i="12" a="1"/>
  <c r="Q58" i="12" s="1"/>
  <c r="Q57" i="12" a="1"/>
  <c r="Q57" i="12" s="1"/>
  <c r="Q56" i="12" a="1"/>
  <c r="Q56" i="12" s="1"/>
  <c r="Q55" i="12" a="1"/>
  <c r="Q55" i="12" s="1"/>
  <c r="Q54" i="12" a="1"/>
  <c r="Q54" i="12" s="1"/>
  <c r="Q53" i="12" a="1"/>
  <c r="Q53" i="12" s="1"/>
  <c r="Q52" i="12" a="1"/>
  <c r="Q52" i="12" s="1"/>
  <c r="Q51" i="12" a="1"/>
  <c r="Q51" i="12" s="1"/>
  <c r="Q50" i="12" a="1"/>
  <c r="Q50" i="12" s="1"/>
  <c r="Q49" i="12" a="1"/>
  <c r="Q49" i="12" s="1"/>
  <c r="Q48" i="12" a="1"/>
  <c r="Q48" i="12" s="1"/>
  <c r="Q47" i="12" a="1"/>
  <c r="Q47" i="12" s="1"/>
  <c r="Q46" i="12" a="1"/>
  <c r="Q46" i="12" s="1"/>
  <c r="Q45" i="12" a="1"/>
  <c r="Q45" i="12" s="1"/>
  <c r="Q44" i="12" a="1"/>
  <c r="Q44" i="12" s="1"/>
  <c r="Q43" i="12" a="1"/>
  <c r="Q43" i="12" s="1"/>
  <c r="Q42" i="12" a="1"/>
  <c r="Q42" i="12" s="1"/>
  <c r="Q41" i="12" a="1"/>
  <c r="Q41" i="12" s="1"/>
  <c r="Q40" i="12" a="1"/>
  <c r="Q40" i="12" s="1"/>
  <c r="Q39" i="12" a="1"/>
  <c r="Q39" i="12" s="1"/>
  <c r="Q38" i="12" a="1"/>
  <c r="Q38" i="12" s="1"/>
  <c r="Q37" i="12" a="1"/>
  <c r="Q37" i="12" s="1"/>
  <c r="Q36" i="12" a="1"/>
  <c r="Q36" i="12" s="1"/>
  <c r="Q35" i="12" a="1"/>
  <c r="Q35" i="12" s="1"/>
  <c r="Q34" i="12" a="1"/>
  <c r="Q34" i="12" s="1"/>
  <c r="Q33" i="12" a="1"/>
  <c r="Q33" i="12" s="1"/>
  <c r="Q32" i="12" a="1"/>
  <c r="Q32" i="12" s="1"/>
  <c r="Q31" i="12" a="1"/>
  <c r="Q31" i="12" s="1"/>
  <c r="Q30" i="12" a="1"/>
  <c r="Q30" i="12" s="1"/>
  <c r="Q8" i="12" a="1"/>
  <c r="Q8" i="12" s="1"/>
  <c r="Q6" i="12" a="1"/>
  <c r="Q6" i="12" s="1"/>
  <c r="Q5" i="12" a="1"/>
  <c r="Q5" i="12" s="1"/>
  <c r="O646" i="12" a="1"/>
  <c r="O646" i="12" s="1"/>
  <c r="Z646" i="12" s="1"/>
  <c r="P645" i="12"/>
  <c r="AA645" i="12" s="1"/>
  <c r="O645" i="12" a="1"/>
  <c r="O645" i="12" s="1"/>
  <c r="Z645" i="12" s="1"/>
  <c r="O616" i="12" a="1"/>
  <c r="O616" i="12" s="1"/>
  <c r="Z616" i="12" s="1"/>
  <c r="P615" i="12"/>
  <c r="AA615" i="12" s="1"/>
  <c r="O615" i="12" a="1"/>
  <c r="O615" i="12" s="1"/>
  <c r="Z615" i="12" s="1"/>
  <c r="P647" i="12"/>
  <c r="AA647" i="12" s="1"/>
  <c r="O647" i="12" a="1"/>
  <c r="O647" i="12" s="1"/>
  <c r="Z647" i="12" s="1"/>
  <c r="P644" i="12"/>
  <c r="AA644" i="12" s="1"/>
  <c r="O644" i="12" a="1"/>
  <c r="O644" i="12" s="1"/>
  <c r="Z644" i="12" s="1"/>
  <c r="O648" i="12" a="1"/>
  <c r="O648" i="12" s="1"/>
  <c r="Z648" i="12" s="1"/>
  <c r="O643" i="12" a="1"/>
  <c r="O643" i="12" s="1"/>
  <c r="Z643" i="12" s="1"/>
  <c r="O642" i="12" a="1"/>
  <c r="O642" i="12" s="1"/>
  <c r="Z642" i="12" s="1"/>
  <c r="O641" i="12" a="1"/>
  <c r="O641" i="12" s="1"/>
  <c r="Z641" i="12" s="1"/>
  <c r="P640" i="12"/>
  <c r="AA640" i="12" s="1"/>
  <c r="O640" i="12" a="1"/>
  <c r="O640" i="12" s="1"/>
  <c r="Z640" i="12" s="1"/>
  <c r="P639" i="12"/>
  <c r="AA639" i="12" s="1"/>
  <c r="O639" i="12" a="1"/>
  <c r="O639" i="12" s="1"/>
  <c r="Z639" i="12" s="1"/>
  <c r="P638" i="12"/>
  <c r="AA638" i="12" s="1"/>
  <c r="O638" i="12" a="1"/>
  <c r="O638" i="12" s="1"/>
  <c r="Z638" i="12" s="1"/>
  <c r="O637" i="12" a="1"/>
  <c r="O637" i="12" s="1"/>
  <c r="Z637" i="12" s="1"/>
  <c r="P636" i="12"/>
  <c r="AA636" i="12" s="1"/>
  <c r="O636" i="12" a="1"/>
  <c r="O636" i="12" s="1"/>
  <c r="Z636" i="12" s="1"/>
  <c r="O655" i="12" a="1"/>
  <c r="O655" i="12" s="1"/>
  <c r="Z655" i="12" s="1"/>
  <c r="O654" i="12" a="1"/>
  <c r="O654" i="12" s="1"/>
  <c r="Z654" i="12" s="1"/>
  <c r="P626" i="12"/>
  <c r="AA626" i="12" s="1"/>
  <c r="O626" i="12" a="1"/>
  <c r="O626" i="12" s="1"/>
  <c r="Z626" i="12" s="1"/>
  <c r="O625" i="12" a="1"/>
  <c r="O625" i="12" s="1"/>
  <c r="Z625" i="12" s="1"/>
  <c r="P621" i="12"/>
  <c r="AA621" i="12" s="1"/>
  <c r="O621" i="12" a="1"/>
  <c r="O621" i="12" s="1"/>
  <c r="Z621" i="12" s="1"/>
  <c r="O620" i="12" a="1"/>
  <c r="O620" i="12" s="1"/>
  <c r="Z620" i="12" s="1"/>
  <c r="P679" i="12"/>
  <c r="AA679" i="12" s="1"/>
  <c r="O679" i="12" a="1"/>
  <c r="O679" i="12" s="1"/>
  <c r="Z679" i="12" s="1"/>
  <c r="P678" i="12"/>
  <c r="AA678" i="12" s="1"/>
  <c r="O678" i="12" a="1"/>
  <c r="O678" i="12" s="1"/>
  <c r="Z678" i="12" s="1"/>
  <c r="P677" i="12"/>
  <c r="AA677" i="12" s="1"/>
  <c r="O677" i="12" a="1"/>
  <c r="O677" i="12" s="1"/>
  <c r="Z677" i="12" s="1"/>
  <c r="P676" i="12"/>
  <c r="AA676" i="12" s="1"/>
  <c r="O676" i="12" a="1"/>
  <c r="O676" i="12" s="1"/>
  <c r="Z676" i="12" s="1"/>
  <c r="P675" i="12"/>
  <c r="AA675" i="12" s="1"/>
  <c r="O675" i="12" a="1"/>
  <c r="O675" i="12" s="1"/>
  <c r="Z675" i="12" s="1"/>
  <c r="P674" i="12"/>
  <c r="AA674" i="12" s="1"/>
  <c r="O674" i="12" a="1"/>
  <c r="O674" i="12" s="1"/>
  <c r="Z674" i="12" s="1"/>
  <c r="P673" i="12"/>
  <c r="AA673" i="12" s="1"/>
  <c r="O673" i="12" a="1"/>
  <c r="O673" i="12" s="1"/>
  <c r="Z673" i="12" s="1"/>
  <c r="P672" i="12"/>
  <c r="AA672" i="12" s="1"/>
  <c r="O672" i="12" a="1"/>
  <c r="O672" i="12" s="1"/>
  <c r="Z672" i="12" s="1"/>
  <c r="P671" i="12"/>
  <c r="AA671" i="12" s="1"/>
  <c r="O671" i="12" a="1"/>
  <c r="O671" i="12" s="1"/>
  <c r="Z671" i="12" s="1"/>
  <c r="P670" i="12"/>
  <c r="AA670" i="12" s="1"/>
  <c r="O670" i="12" a="1"/>
  <c r="O670" i="12" s="1"/>
  <c r="Z670" i="12" s="1"/>
  <c r="P669" i="12"/>
  <c r="AA669" i="12" s="1"/>
  <c r="O669" i="12" a="1"/>
  <c r="O669" i="12" s="1"/>
  <c r="Z669" i="12" s="1"/>
  <c r="P668" i="12"/>
  <c r="AA668" i="12" s="1"/>
  <c r="O668" i="12" a="1"/>
  <c r="O668" i="12" s="1"/>
  <c r="Z668" i="12" s="1"/>
  <c r="P667" i="12"/>
  <c r="AA667" i="12" s="1"/>
  <c r="O667" i="12" a="1"/>
  <c r="O667" i="12" s="1"/>
  <c r="Z667" i="12" s="1"/>
  <c r="P666" i="12"/>
  <c r="AA666" i="12" s="1"/>
  <c r="O666" i="12" a="1"/>
  <c r="O666" i="12" s="1"/>
  <c r="Z666" i="12" s="1"/>
  <c r="P665" i="12"/>
  <c r="AA665" i="12" s="1"/>
  <c r="O665" i="12" a="1"/>
  <c r="O665" i="12" s="1"/>
  <c r="Z665" i="12" s="1"/>
  <c r="P664" i="12"/>
  <c r="AA664" i="12" s="1"/>
  <c r="O664" i="12" a="1"/>
  <c r="O664" i="12" s="1"/>
  <c r="Z664" i="12" s="1"/>
  <c r="P663" i="12"/>
  <c r="AA663" i="12" s="1"/>
  <c r="O663" i="12" a="1"/>
  <c r="O663" i="12" s="1"/>
  <c r="Z663" i="12" s="1"/>
  <c r="P662" i="12"/>
  <c r="AA662" i="12" s="1"/>
  <c r="O662" i="12" a="1"/>
  <c r="O662" i="12" s="1"/>
  <c r="Z662" i="12" s="1"/>
  <c r="P661" i="12"/>
  <c r="AA661" i="12" s="1"/>
  <c r="O661" i="12" a="1"/>
  <c r="O661" i="12" s="1"/>
  <c r="Z661" i="12" s="1"/>
  <c r="P660" i="12"/>
  <c r="AA660" i="12" s="1"/>
  <c r="O660" i="12" a="1"/>
  <c r="O660" i="12" s="1"/>
  <c r="Z660" i="12" s="1"/>
  <c r="P659" i="12"/>
  <c r="AA659" i="12" s="1"/>
  <c r="O658" i="12" a="1"/>
  <c r="O658" i="12" s="1"/>
  <c r="Z658" i="12" s="1"/>
  <c r="P657" i="12"/>
  <c r="AA657" i="12" s="1"/>
  <c r="O657" i="12" a="1"/>
  <c r="O657" i="12" s="1"/>
  <c r="Z657" i="12" s="1"/>
  <c r="O656" i="12" a="1"/>
  <c r="O656" i="12" s="1"/>
  <c r="Z656" i="12" s="1"/>
  <c r="O653" i="12" a="1"/>
  <c r="O653" i="12" s="1"/>
  <c r="Z653" i="12" s="1"/>
  <c r="O652" i="12" a="1"/>
  <c r="O652" i="12" s="1"/>
  <c r="Z652" i="12" s="1"/>
  <c r="P651" i="12"/>
  <c r="AA651" i="12" s="1"/>
  <c r="O651" i="12" a="1"/>
  <c r="O651" i="12" s="1"/>
  <c r="Z651" i="12" s="1"/>
  <c r="O650" i="12" a="1"/>
  <c r="O650" i="12" s="1"/>
  <c r="Z650" i="12" s="1"/>
  <c r="P649" i="12"/>
  <c r="AA649" i="12" s="1"/>
  <c r="O649" i="12" a="1"/>
  <c r="O649" i="12" s="1"/>
  <c r="Z649" i="12" s="1"/>
  <c r="O635" i="12" a="1"/>
  <c r="O635" i="12" s="1"/>
  <c r="Z635" i="12" s="1"/>
  <c r="P634" i="12"/>
  <c r="AA634" i="12" s="1"/>
  <c r="O634" i="12" a="1"/>
  <c r="O634" i="12" s="1"/>
  <c r="Z634" i="12" s="1"/>
  <c r="O633" i="12" a="1"/>
  <c r="O633" i="12" s="1"/>
  <c r="Z633" i="12" s="1"/>
  <c r="P632" i="12"/>
  <c r="AA632" i="12" s="1"/>
  <c r="O632" i="12" a="1"/>
  <c r="O632" i="12" s="1"/>
  <c r="Z632" i="12" s="1"/>
  <c r="O631" i="12" a="1"/>
  <c r="O631" i="12" s="1"/>
  <c r="Z631" i="12" s="1"/>
  <c r="O630" i="12" a="1"/>
  <c r="O630" i="12" s="1"/>
  <c r="Z630" i="12" s="1"/>
  <c r="P629" i="12"/>
  <c r="AA629" i="12" s="1"/>
  <c r="O629" i="12" a="1"/>
  <c r="O629" i="12" s="1"/>
  <c r="Z629" i="12" s="1"/>
  <c r="O628" i="12" a="1"/>
  <c r="O628" i="12" s="1"/>
  <c r="Z628" i="12" s="1"/>
  <c r="P627" i="12"/>
  <c r="AA627" i="12" s="1"/>
  <c r="O627" i="12" a="1"/>
  <c r="O627" i="12" s="1"/>
  <c r="Z627" i="12" s="1"/>
  <c r="O624" i="12" a="1"/>
  <c r="O624" i="12" s="1"/>
  <c r="Z624" i="12" s="1"/>
  <c r="P623" i="12"/>
  <c r="AA623" i="12" s="1"/>
  <c r="O623" i="12" a="1"/>
  <c r="O623" i="12" s="1"/>
  <c r="Z623" i="12" s="1"/>
  <c r="P622" i="12"/>
  <c r="AA622" i="12" s="1"/>
  <c r="O622" i="12" a="1"/>
  <c r="O622" i="12" s="1"/>
  <c r="Z622" i="12" s="1"/>
  <c r="O619" i="12" a="1"/>
  <c r="O619" i="12" s="1"/>
  <c r="Z619" i="12" s="1"/>
  <c r="P618" i="12"/>
  <c r="AA618" i="12" s="1"/>
  <c r="O618" i="12" a="1"/>
  <c r="O618" i="12" s="1"/>
  <c r="Z618" i="12" s="1"/>
  <c r="P617" i="12"/>
  <c r="AA617" i="12" s="1"/>
  <c r="O617" i="12" a="1"/>
  <c r="O617" i="12" s="1"/>
  <c r="Z617" i="12" s="1"/>
  <c r="P614" i="12"/>
  <c r="AA614" i="12" s="1"/>
  <c r="O614" i="12" a="1"/>
  <c r="O614" i="12" s="1"/>
  <c r="Z614" i="12" s="1"/>
  <c r="O557" i="12" l="1" a="1"/>
  <c r="O557" i="12" s="1"/>
  <c r="Z557" i="12" s="1"/>
  <c r="AB427" i="12"/>
  <c r="P427" i="12"/>
  <c r="AA427" i="12" s="1"/>
  <c r="O427" i="12" a="1"/>
  <c r="O427" i="12" s="1"/>
  <c r="Z427" i="12" s="1"/>
  <c r="AB426" i="12"/>
  <c r="P426" i="12"/>
  <c r="AA426" i="12" s="1"/>
  <c r="O426" i="12" a="1"/>
  <c r="O426" i="12" s="1"/>
  <c r="Z426" i="12" s="1"/>
  <c r="AB425" i="12"/>
  <c r="P425" i="12"/>
  <c r="AA425" i="12" s="1"/>
  <c r="O425" i="12" a="1"/>
  <c r="O425" i="12" s="1"/>
  <c r="Z425" i="12" s="1"/>
  <c r="AB424" i="12"/>
  <c r="P424" i="12"/>
  <c r="AA424" i="12" s="1"/>
  <c r="O424" i="12" a="1"/>
  <c r="O424" i="12" s="1"/>
  <c r="Z424" i="12" s="1"/>
  <c r="AB423" i="12"/>
  <c r="P423" i="12"/>
  <c r="AA423" i="12" s="1"/>
  <c r="O423" i="12" a="1"/>
  <c r="O423" i="12" s="1"/>
  <c r="Z423" i="12" s="1"/>
  <c r="O422" i="12" a="1"/>
  <c r="O422" i="12" s="1"/>
  <c r="Z422" i="12" s="1"/>
  <c r="AB421" i="12"/>
  <c r="P421" i="12"/>
  <c r="AA421" i="12" s="1"/>
  <c r="O421" i="12" a="1"/>
  <c r="O421" i="12" s="1"/>
  <c r="Z421" i="12" s="1"/>
  <c r="AB420" i="12"/>
  <c r="P420" i="12"/>
  <c r="AA420" i="12" s="1"/>
  <c r="O420" i="12" a="1"/>
  <c r="O420" i="12" s="1"/>
  <c r="Z420" i="12" s="1"/>
  <c r="O436" i="12" a="1"/>
  <c r="O436" i="12" s="1"/>
  <c r="Z436" i="12" s="1"/>
  <c r="O435" i="12" a="1"/>
  <c r="O435" i="12" s="1"/>
  <c r="Z435" i="12" s="1"/>
  <c r="AB417" i="12"/>
  <c r="P417" i="12"/>
  <c r="AA417" i="12" s="1"/>
  <c r="O417" i="12" a="1"/>
  <c r="O417" i="12" s="1"/>
  <c r="Z417" i="12" s="1"/>
  <c r="AB416" i="12"/>
  <c r="P416" i="12"/>
  <c r="AA416" i="12" s="1"/>
  <c r="O416" i="12" a="1"/>
  <c r="O416" i="12" s="1"/>
  <c r="Z416" i="12" s="1"/>
  <c r="AB419" i="12"/>
  <c r="P419" i="12"/>
  <c r="AA419" i="12" s="1"/>
  <c r="O419" i="12" a="1"/>
  <c r="O419" i="12" s="1"/>
  <c r="Z419" i="12" s="1"/>
  <c r="O437" i="12" a="1"/>
  <c r="O437" i="12" s="1"/>
  <c r="Z437" i="12" s="1"/>
  <c r="AB603" i="12"/>
  <c r="P603" i="12"/>
  <c r="AA603" i="12" s="1"/>
  <c r="O603" i="12" a="1"/>
  <c r="O603" i="12" s="1"/>
  <c r="Z603" i="12" s="1"/>
  <c r="O602" i="12" a="1"/>
  <c r="O602" i="12" s="1"/>
  <c r="Z602" i="12" s="1"/>
  <c r="AB604" i="12"/>
  <c r="P604" i="12"/>
  <c r="AA604" i="12" s="1"/>
  <c r="O604" i="12" a="1"/>
  <c r="O604" i="12" s="1"/>
  <c r="Z604" i="12" s="1"/>
  <c r="AB613" i="12" l="1"/>
  <c r="P613" i="12"/>
  <c r="AA613" i="12" s="1"/>
  <c r="O613" i="12" a="1"/>
  <c r="O613" i="12" s="1"/>
  <c r="Z613" i="12" s="1"/>
  <c r="AB612" i="12"/>
  <c r="P612" i="12"/>
  <c r="AA612" i="12" s="1"/>
  <c r="O612" i="12" a="1"/>
  <c r="O612" i="12" s="1"/>
  <c r="Z612" i="12" s="1"/>
  <c r="O611" i="12" a="1"/>
  <c r="O611" i="12" s="1"/>
  <c r="Z611" i="12" s="1"/>
  <c r="O610" i="12" a="1"/>
  <c r="O610" i="12" s="1"/>
  <c r="Z610" i="12" s="1"/>
  <c r="AB609" i="12"/>
  <c r="P609" i="12"/>
  <c r="AA609" i="12" s="1"/>
  <c r="O609" i="12" a="1"/>
  <c r="O609" i="12" s="1"/>
  <c r="Z609" i="12" s="1"/>
  <c r="AB608" i="12"/>
  <c r="P608" i="12"/>
  <c r="AA608" i="12" s="1"/>
  <c r="O608" i="12" a="1"/>
  <c r="O608" i="12" s="1"/>
  <c r="Z608" i="12" s="1"/>
  <c r="AB607" i="12"/>
  <c r="P607" i="12"/>
  <c r="AA607" i="12" s="1"/>
  <c r="O607" i="12" a="1"/>
  <c r="O607" i="12" s="1"/>
  <c r="Z607" i="12" s="1"/>
  <c r="O606" i="12" a="1"/>
  <c r="O606" i="12" s="1"/>
  <c r="Z606" i="12" s="1"/>
  <c r="O605" i="12" a="1"/>
  <c r="O605" i="12" s="1"/>
  <c r="Z605" i="12" s="1"/>
  <c r="AB105" i="12"/>
  <c r="P105" i="12"/>
  <c r="AA105" i="12" s="1"/>
  <c r="O105" i="12" a="1"/>
  <c r="O105" i="12" s="1"/>
  <c r="Z105" i="12" s="1"/>
  <c r="O104" i="12" a="1"/>
  <c r="O104" i="12" s="1"/>
  <c r="Z104" i="12" s="1"/>
  <c r="O102" i="12" l="1" a="1"/>
  <c r="O102" i="12" s="1"/>
  <c r="Z102" i="12" s="1"/>
  <c r="P101" i="12"/>
  <c r="AA101" i="12" s="1"/>
  <c r="O101" i="12" a="1"/>
  <c r="O101" i="12" s="1"/>
  <c r="Z101" i="12" s="1"/>
  <c r="O100" i="12" a="1"/>
  <c r="O100" i="12" s="1"/>
  <c r="Z100" i="12" s="1"/>
  <c r="P99" i="12"/>
  <c r="AA99" i="12" s="1"/>
  <c r="O99" i="12" a="1"/>
  <c r="O99" i="12" s="1"/>
  <c r="Z99" i="12" s="1"/>
  <c r="AB96" i="12"/>
  <c r="P96" i="12"/>
  <c r="AA96" i="12" s="1"/>
  <c r="O96" i="12" a="1"/>
  <c r="O96" i="12" s="1"/>
  <c r="Z96" i="12" s="1"/>
  <c r="O95" i="12" a="1"/>
  <c r="O95" i="12" s="1"/>
  <c r="Z95" i="12" s="1"/>
  <c r="O94" i="12" a="1"/>
  <c r="O94" i="12" s="1"/>
  <c r="Z94" i="12" s="1"/>
  <c r="O93" i="12" a="1"/>
  <c r="O93" i="12" s="1"/>
  <c r="Z93" i="12" s="1"/>
  <c r="O273" i="12" l="1" a="1"/>
  <c r="O273" i="12" s="1"/>
  <c r="O272" i="12" a="1"/>
  <c r="O272" i="12" s="1"/>
  <c r="O271" i="12" a="1"/>
  <c r="O271" i="12" s="1"/>
  <c r="P270" i="12"/>
  <c r="O270" i="12" a="1"/>
  <c r="O270" i="12" s="1"/>
  <c r="O269" i="12" a="1"/>
  <c r="O269" i="12" s="1"/>
  <c r="P268" i="12"/>
  <c r="O268" i="12" a="1"/>
  <c r="O268" i="12" s="1"/>
  <c r="O267" i="12" a="1"/>
  <c r="O267" i="12" s="1"/>
  <c r="O266" i="12" a="1"/>
  <c r="O266" i="12" s="1"/>
  <c r="O265" i="12" a="1"/>
  <c r="O265" i="12" s="1"/>
  <c r="P264" i="12"/>
  <c r="O264" i="12" a="1"/>
  <c r="O264" i="12" s="1"/>
  <c r="P263" i="12"/>
  <c r="O263" i="12" a="1"/>
  <c r="O263" i="12" s="1"/>
  <c r="O262" i="12" a="1"/>
  <c r="O262" i="12" s="1"/>
  <c r="P261" i="12"/>
  <c r="O261" i="12" a="1"/>
  <c r="O261" i="12" s="1"/>
  <c r="AB479" i="12"/>
  <c r="P479" i="12"/>
  <c r="AA479" i="12" s="1"/>
  <c r="O479" i="12" a="1"/>
  <c r="O479" i="12" s="1"/>
  <c r="Z479" i="12" s="1"/>
  <c r="O478" i="12" a="1"/>
  <c r="O478" i="12" s="1"/>
  <c r="Z478" i="12" s="1"/>
  <c r="AB477" i="12"/>
  <c r="P477" i="12"/>
  <c r="AA477" i="12" s="1"/>
  <c r="O477" i="12" a="1"/>
  <c r="O477" i="12" s="1"/>
  <c r="Z477" i="12" s="1"/>
  <c r="O476" i="12" a="1"/>
  <c r="O476" i="12" s="1"/>
  <c r="Z476" i="12" s="1"/>
  <c r="AB475" i="12"/>
  <c r="P475" i="12"/>
  <c r="AA475" i="12" s="1"/>
  <c r="O475" i="12" a="1"/>
  <c r="O475" i="12" s="1"/>
  <c r="Z475" i="12" s="1"/>
  <c r="AB474" i="12"/>
  <c r="P474" i="12"/>
  <c r="AA474" i="12" s="1"/>
  <c r="O474" i="12" a="1"/>
  <c r="O474" i="12" s="1"/>
  <c r="Z474" i="12" s="1"/>
  <c r="O473" i="12" a="1"/>
  <c r="O473" i="12" s="1"/>
  <c r="Z473" i="12" s="1"/>
  <c r="AB472" i="12"/>
  <c r="P472" i="12"/>
  <c r="AA472" i="12" s="1"/>
  <c r="O472" i="12" a="1"/>
  <c r="O472" i="12" s="1"/>
  <c r="Z472" i="12" s="1"/>
  <c r="O471" i="12" a="1"/>
  <c r="O471" i="12" s="1"/>
  <c r="Z471" i="12" s="1"/>
  <c r="AB470" i="12"/>
  <c r="P470" i="12"/>
  <c r="AA470" i="12" s="1"/>
  <c r="O470" i="12" a="1"/>
  <c r="O470" i="12" s="1"/>
  <c r="Z470" i="12" s="1"/>
  <c r="AB469" i="12"/>
  <c r="P469" i="12"/>
  <c r="AA469" i="12" s="1"/>
  <c r="O469" i="12" a="1"/>
  <c r="O469" i="12" s="1"/>
  <c r="Z469" i="12" s="1"/>
  <c r="AB468" i="12"/>
  <c r="P468" i="12"/>
  <c r="AA468" i="12" s="1"/>
  <c r="O468" i="12" a="1"/>
  <c r="O468" i="12" s="1"/>
  <c r="Z468" i="12" s="1"/>
  <c r="O467" i="12" a="1"/>
  <c r="O467" i="12" s="1"/>
  <c r="Z467" i="12" s="1"/>
  <c r="O488" i="12" l="1" a="1"/>
  <c r="O488" i="12" s="1"/>
  <c r="Z488" i="12" s="1"/>
  <c r="AB487" i="12"/>
  <c r="P487" i="12"/>
  <c r="AA487" i="12" s="1"/>
  <c r="O487" i="12" a="1"/>
  <c r="O487" i="12" s="1"/>
  <c r="Z487" i="12" s="1"/>
  <c r="O486" i="12" a="1"/>
  <c r="O486" i="12" s="1"/>
  <c r="Z486" i="12" s="1"/>
  <c r="AB485" i="12"/>
  <c r="P485" i="12"/>
  <c r="AA485" i="12" s="1"/>
  <c r="O485" i="12" a="1"/>
  <c r="O485" i="12" s="1"/>
  <c r="Z485" i="12" s="1"/>
  <c r="AB484" i="12"/>
  <c r="P484" i="12"/>
  <c r="AA484" i="12" s="1"/>
  <c r="O484" i="12" a="1"/>
  <c r="O484" i="12" s="1"/>
  <c r="Z484" i="12" s="1"/>
  <c r="O483" i="12" a="1"/>
  <c r="O483" i="12" s="1"/>
  <c r="Z483" i="12" s="1"/>
  <c r="AB482" i="12"/>
  <c r="P482" i="12"/>
  <c r="AA482" i="12" s="1"/>
  <c r="O482" i="12" a="1"/>
  <c r="O482" i="12" s="1"/>
  <c r="Z482" i="12" s="1"/>
  <c r="O481" i="12" a="1"/>
  <c r="O481" i="12" s="1"/>
  <c r="Z481" i="12" s="1"/>
  <c r="O480" i="12" a="1"/>
  <c r="O480" i="12" s="1"/>
  <c r="Z480" i="12" s="1"/>
  <c r="AB264" i="12"/>
  <c r="AA264" i="12"/>
  <c r="Z264" i="12"/>
  <c r="AB263" i="12"/>
  <c r="AA263" i="12"/>
  <c r="Z263" i="12"/>
  <c r="Z262" i="12"/>
  <c r="AB261" i="12"/>
  <c r="AA261" i="12"/>
  <c r="Z261" i="12"/>
  <c r="AB175" i="12"/>
  <c r="P175" i="12"/>
  <c r="AA175" i="12" s="1"/>
  <c r="O175" i="12" a="1"/>
  <c r="O175" i="12" s="1"/>
  <c r="Z175" i="12" s="1"/>
  <c r="O174" i="12" a="1"/>
  <c r="O174" i="12" s="1"/>
  <c r="Z174" i="12" s="1"/>
  <c r="AB173" i="12"/>
  <c r="P173" i="12"/>
  <c r="AA173" i="12" s="1"/>
  <c r="O173" i="12" a="1"/>
  <c r="O173" i="12" s="1"/>
  <c r="Z173" i="12" s="1"/>
  <c r="AB158" i="12" l="1"/>
  <c r="P158" i="12"/>
  <c r="AA158" i="12" s="1"/>
  <c r="O158" i="12" a="1"/>
  <c r="O158" i="12" s="1"/>
  <c r="Z158" i="12" s="1"/>
  <c r="AB157" i="12"/>
  <c r="P157" i="12"/>
  <c r="AA157" i="12" s="1"/>
  <c r="O157" i="12" a="1"/>
  <c r="O157" i="12" s="1"/>
  <c r="Z157" i="12" s="1"/>
  <c r="AB156" i="12"/>
  <c r="P156" i="12"/>
  <c r="AA156" i="12" s="1"/>
  <c r="O156" i="12" a="1"/>
  <c r="O156" i="12" s="1"/>
  <c r="Z156" i="12" s="1"/>
  <c r="AB155" i="12"/>
  <c r="P155" i="12"/>
  <c r="AA155" i="12" s="1"/>
  <c r="O155" i="12" a="1"/>
  <c r="O155" i="12" s="1"/>
  <c r="Z155" i="12" s="1"/>
  <c r="AB154" i="12"/>
  <c r="P154" i="12"/>
  <c r="AA154" i="12" s="1"/>
  <c r="O154" i="12" a="1"/>
  <c r="O154" i="12" s="1"/>
  <c r="Z154" i="12" s="1"/>
  <c r="AB153" i="12"/>
  <c r="P153" i="12"/>
  <c r="AA153" i="12" s="1"/>
  <c r="O153" i="12" a="1"/>
  <c r="O153" i="12" s="1"/>
  <c r="Z153" i="12" s="1"/>
  <c r="AB152" i="12"/>
  <c r="P152" i="12"/>
  <c r="AA152" i="12" s="1"/>
  <c r="O152" i="12" a="1"/>
  <c r="O152" i="12" s="1"/>
  <c r="Z152" i="12" s="1"/>
  <c r="AB151" i="12"/>
  <c r="P151" i="12"/>
  <c r="AA151" i="12" s="1"/>
  <c r="O151" i="12" a="1"/>
  <c r="O151" i="12" s="1"/>
  <c r="Z151" i="12" s="1"/>
  <c r="AB150" i="12"/>
  <c r="P150" i="12"/>
  <c r="AA150" i="12" s="1"/>
  <c r="O150" i="12" a="1"/>
  <c r="O150" i="12" s="1"/>
  <c r="Z150" i="12" s="1"/>
  <c r="AB149" i="12"/>
  <c r="P149" i="12"/>
  <c r="AA149" i="12" s="1"/>
  <c r="O149" i="12" a="1"/>
  <c r="O149" i="12" s="1"/>
  <c r="Z149" i="12" s="1"/>
  <c r="AB148" i="12"/>
  <c r="P148" i="12"/>
  <c r="AA148" i="12" s="1"/>
  <c r="O148" i="12" a="1"/>
  <c r="O148" i="12" s="1"/>
  <c r="Z148" i="12" s="1"/>
  <c r="O147" i="12" a="1"/>
  <c r="O147" i="12" s="1"/>
  <c r="Z147" i="12" s="1"/>
  <c r="O146" i="12" a="1"/>
  <c r="O146" i="12" s="1"/>
  <c r="Z146" i="12" s="1"/>
  <c r="O188" i="12" a="1"/>
  <c r="O188" i="12" s="1"/>
  <c r="Z188" i="12" s="1"/>
  <c r="AB187" i="12"/>
  <c r="P187" i="12"/>
  <c r="AA187" i="12" s="1"/>
  <c r="O187" i="12" a="1"/>
  <c r="O187" i="12" s="1"/>
  <c r="Z187" i="12" s="1"/>
  <c r="O186" i="12" a="1"/>
  <c r="O186" i="12" s="1"/>
  <c r="Z186" i="12" s="1"/>
  <c r="AB185" i="12"/>
  <c r="P185" i="12"/>
  <c r="AA185" i="12" s="1"/>
  <c r="O185" i="12" a="1"/>
  <c r="O185" i="12" s="1"/>
  <c r="Z185" i="12" s="1"/>
  <c r="AB184" i="12"/>
  <c r="P184" i="12"/>
  <c r="AA184" i="12" s="1"/>
  <c r="O184" i="12" a="1"/>
  <c r="O184" i="12" s="1"/>
  <c r="Z184" i="12" s="1"/>
  <c r="O159" i="12" a="1"/>
  <c r="O159" i="12" s="1"/>
  <c r="Z159" i="12" s="1"/>
  <c r="O145" i="12" a="1"/>
  <c r="O145" i="12" s="1"/>
  <c r="Z145" i="12" s="1"/>
  <c r="AB144" i="12"/>
  <c r="P144" i="12"/>
  <c r="AA144" i="12" s="1"/>
  <c r="O144" i="12" a="1"/>
  <c r="O144" i="12" s="1"/>
  <c r="Z144" i="12" s="1"/>
  <c r="O143" i="12" a="1"/>
  <c r="O143" i="12" s="1"/>
  <c r="Z143" i="12" s="1"/>
  <c r="O103" i="12" a="1"/>
  <c r="O103" i="12" s="1"/>
  <c r="Z103" i="12" s="1"/>
  <c r="O595" i="12" a="1"/>
  <c r="O595" i="12" s="1"/>
  <c r="Z595" i="12" s="1"/>
  <c r="O594" i="12" a="1"/>
  <c r="O594" i="12" s="1"/>
  <c r="Z594" i="12" s="1"/>
  <c r="AB593" i="12"/>
  <c r="P593" i="12"/>
  <c r="AA593" i="12" s="1"/>
  <c r="O593" i="12" a="1"/>
  <c r="O593" i="12" s="1"/>
  <c r="Z593" i="12" s="1"/>
  <c r="O592" i="12" a="1"/>
  <c r="O592" i="12" s="1"/>
  <c r="Z592" i="12" s="1"/>
  <c r="O591" i="12" a="1"/>
  <c r="O591" i="12" s="1"/>
  <c r="Z591" i="12" s="1"/>
  <c r="O590" i="12" a="1"/>
  <c r="O590" i="12" s="1"/>
  <c r="Z590" i="12" s="1"/>
  <c r="O589" i="12" a="1"/>
  <c r="O589" i="12" s="1"/>
  <c r="Z589" i="12" s="1"/>
  <c r="O588" i="12" a="1"/>
  <c r="O588" i="12" s="1"/>
  <c r="Z588" i="12" s="1"/>
  <c r="O587" i="12" a="1"/>
  <c r="O587" i="12" s="1"/>
  <c r="Z587" i="12" s="1"/>
  <c r="O451" i="12" l="1" a="1"/>
  <c r="O451" i="12" s="1"/>
  <c r="Z451" i="12" s="1"/>
  <c r="O450" i="12" a="1"/>
  <c r="O450" i="12" s="1"/>
  <c r="Z450" i="12" s="1"/>
  <c r="O449" i="12" a="1"/>
  <c r="O449" i="12" s="1"/>
  <c r="Z449" i="12" s="1"/>
  <c r="O448" i="12" a="1"/>
  <c r="O448" i="12" s="1"/>
  <c r="Z448" i="12" s="1"/>
  <c r="O447" i="12" a="1"/>
  <c r="O447" i="12" s="1"/>
  <c r="Z447" i="12" s="1"/>
  <c r="O446" i="12" a="1"/>
  <c r="O446" i="12" s="1"/>
  <c r="Z446" i="12" s="1"/>
  <c r="O445" i="12" a="1"/>
  <c r="O445" i="12" s="1"/>
  <c r="Z445" i="12" s="1"/>
  <c r="O444" i="12" a="1"/>
  <c r="O444" i="12" s="1"/>
  <c r="Z444" i="12" s="1"/>
  <c r="O443" i="12" a="1"/>
  <c r="O443" i="12" s="1"/>
  <c r="Z443" i="12" s="1"/>
  <c r="O442" i="12" a="1"/>
  <c r="O442" i="12" s="1"/>
  <c r="Z442" i="12" s="1"/>
  <c r="AB561" i="12" l="1"/>
  <c r="AB560" i="12"/>
  <c r="AB559" i="12"/>
  <c r="AB558" i="12"/>
  <c r="AB489" i="12"/>
  <c r="AB428" i="12"/>
  <c r="AB161" i="12"/>
  <c r="AB160" i="12"/>
  <c r="AB79" i="12"/>
  <c r="AB76" i="12"/>
  <c r="AB75" i="12"/>
  <c r="AB74" i="12"/>
  <c r="AB73" i="12"/>
  <c r="AB72" i="12"/>
  <c r="AB71" i="12"/>
  <c r="AB70" i="12"/>
  <c r="AB69" i="12"/>
  <c r="AB68" i="12"/>
  <c r="AB67" i="12"/>
  <c r="AB66" i="12"/>
  <c r="AB65" i="12"/>
  <c r="AB64" i="12"/>
  <c r="AB63" i="12"/>
  <c r="AB62" i="12"/>
  <c r="AB61" i="12"/>
  <c r="AB60" i="12"/>
  <c r="AB59" i="12"/>
  <c r="AB58" i="12"/>
  <c r="AB57" i="12"/>
  <c r="AB56" i="12"/>
  <c r="AB55" i="12"/>
  <c r="AB54" i="12"/>
  <c r="AB53" i="12"/>
  <c r="AB52" i="12"/>
  <c r="AB51" i="12"/>
  <c r="AB50" i="12"/>
  <c r="AB49" i="12"/>
  <c r="AB48" i="12"/>
  <c r="AB47" i="12"/>
  <c r="AB46" i="12"/>
  <c r="AB45" i="12"/>
  <c r="AB44" i="12"/>
  <c r="AB43" i="12"/>
  <c r="AB42" i="12"/>
  <c r="AB41" i="12"/>
  <c r="AB40" i="12"/>
  <c r="AB39" i="12"/>
  <c r="AB38" i="12"/>
  <c r="AB37" i="12"/>
  <c r="AB36" i="12"/>
  <c r="AB35" i="12"/>
  <c r="AB34" i="12"/>
  <c r="AB33" i="12"/>
  <c r="AB32" i="12"/>
  <c r="P76" i="12" l="1"/>
  <c r="AA76" i="12" s="1"/>
  <c r="O76" i="12" a="1"/>
  <c r="O76" i="12" s="1"/>
  <c r="Z76" i="12" s="1"/>
  <c r="P75" i="12"/>
  <c r="AA75" i="12" s="1"/>
  <c r="O75" i="12" a="1"/>
  <c r="O75" i="12" s="1"/>
  <c r="Z75" i="12" s="1"/>
  <c r="P74" i="12"/>
  <c r="AA74" i="12" s="1"/>
  <c r="O74" i="12" a="1"/>
  <c r="O74" i="12" s="1"/>
  <c r="Z74" i="12" s="1"/>
  <c r="P73" i="12"/>
  <c r="AA73" i="12" s="1"/>
  <c r="O73" i="12" a="1"/>
  <c r="O73" i="12" s="1"/>
  <c r="Z73" i="12" s="1"/>
  <c r="P72" i="12"/>
  <c r="AA72" i="12" s="1"/>
  <c r="O72" i="12" a="1"/>
  <c r="O72" i="12" s="1"/>
  <c r="Z72" i="12" s="1"/>
  <c r="P71" i="12"/>
  <c r="AA71" i="12" s="1"/>
  <c r="O71" i="12" a="1"/>
  <c r="O71" i="12" s="1"/>
  <c r="Z71" i="12" s="1"/>
  <c r="P70" i="12"/>
  <c r="AA70" i="12" s="1"/>
  <c r="O70" i="12" a="1"/>
  <c r="O70" i="12" s="1"/>
  <c r="Z70" i="12" s="1"/>
  <c r="P69" i="12"/>
  <c r="AA69" i="12" s="1"/>
  <c r="O69" i="12" a="1"/>
  <c r="O69" i="12" s="1"/>
  <c r="Z69" i="12" s="1"/>
  <c r="P68" i="12"/>
  <c r="AA68" i="12" s="1"/>
  <c r="O68" i="12" a="1"/>
  <c r="O68" i="12" s="1"/>
  <c r="Z68" i="12" s="1"/>
  <c r="P67" i="12"/>
  <c r="AA67" i="12" s="1"/>
  <c r="O67" i="12" a="1"/>
  <c r="O67" i="12" s="1"/>
  <c r="Z67" i="12" s="1"/>
  <c r="P66" i="12"/>
  <c r="AA66" i="12" s="1"/>
  <c r="O66" i="12" a="1"/>
  <c r="O66" i="12" s="1"/>
  <c r="Z66" i="12" s="1"/>
  <c r="P65" i="12"/>
  <c r="AA65" i="12" s="1"/>
  <c r="O65" i="12" a="1"/>
  <c r="O65" i="12" s="1"/>
  <c r="Z65" i="12" s="1"/>
  <c r="P64" i="12"/>
  <c r="AA64" i="12" s="1"/>
  <c r="O64" i="12" a="1"/>
  <c r="O64" i="12" s="1"/>
  <c r="Z64" i="12" s="1"/>
  <c r="P63" i="12"/>
  <c r="AA63" i="12" s="1"/>
  <c r="O63" i="12" a="1"/>
  <c r="O63" i="12" s="1"/>
  <c r="Z63" i="12" s="1"/>
  <c r="P62" i="12"/>
  <c r="AA62" i="12" s="1"/>
  <c r="O62" i="12" a="1"/>
  <c r="O62" i="12" s="1"/>
  <c r="Z62" i="12" s="1"/>
  <c r="P61" i="12"/>
  <c r="AA61" i="12" s="1"/>
  <c r="O61" i="12" a="1"/>
  <c r="O61" i="12" s="1"/>
  <c r="Z61" i="12" s="1"/>
  <c r="P60" i="12"/>
  <c r="AA60" i="12" s="1"/>
  <c r="O60" i="12" a="1"/>
  <c r="O60" i="12" s="1"/>
  <c r="Z60" i="12" s="1"/>
  <c r="P59" i="12"/>
  <c r="AA59" i="12" s="1"/>
  <c r="O59" i="12" a="1"/>
  <c r="O59" i="12" s="1"/>
  <c r="Z59" i="12" s="1"/>
  <c r="P58" i="12"/>
  <c r="AA58" i="12" s="1"/>
  <c r="O58" i="12" a="1"/>
  <c r="O58" i="12" s="1"/>
  <c r="Z58" i="12" s="1"/>
  <c r="P57" i="12"/>
  <c r="AA57" i="12" s="1"/>
  <c r="O57" i="12" a="1"/>
  <c r="O57" i="12" s="1"/>
  <c r="Z57" i="12" s="1"/>
  <c r="P56" i="12"/>
  <c r="AA56" i="12" s="1"/>
  <c r="O56" i="12" a="1"/>
  <c r="O56" i="12" s="1"/>
  <c r="Z56" i="12" s="1"/>
  <c r="P55" i="12"/>
  <c r="AA55" i="12" s="1"/>
  <c r="O55" i="12" a="1"/>
  <c r="O55" i="12" s="1"/>
  <c r="Z55" i="12" s="1"/>
  <c r="P54" i="12"/>
  <c r="AA54" i="12" s="1"/>
  <c r="O54" i="12" a="1"/>
  <c r="O54" i="12" s="1"/>
  <c r="Z54" i="12" s="1"/>
  <c r="P53" i="12"/>
  <c r="AA53" i="12" s="1"/>
  <c r="O53" i="12" a="1"/>
  <c r="O53" i="12" s="1"/>
  <c r="Z53" i="12" s="1"/>
  <c r="P52" i="12"/>
  <c r="AA52" i="12" s="1"/>
  <c r="O52" i="12" a="1"/>
  <c r="O52" i="12" s="1"/>
  <c r="Z52" i="12" s="1"/>
  <c r="P51" i="12"/>
  <c r="AA51" i="12" s="1"/>
  <c r="O51" i="12" a="1"/>
  <c r="O51" i="12" s="1"/>
  <c r="Z51" i="12" s="1"/>
  <c r="P50" i="12"/>
  <c r="AA50" i="12" s="1"/>
  <c r="O50" i="12" a="1"/>
  <c r="O50" i="12" s="1"/>
  <c r="Z50" i="12" s="1"/>
  <c r="P49" i="12"/>
  <c r="AA49" i="12" s="1"/>
  <c r="O49" i="12" a="1"/>
  <c r="O49" i="12" s="1"/>
  <c r="Z49" i="12" s="1"/>
  <c r="P48" i="12"/>
  <c r="AA48" i="12" s="1"/>
  <c r="O48" i="12" a="1"/>
  <c r="O48" i="12" s="1"/>
  <c r="Z48" i="12" s="1"/>
  <c r="P47" i="12"/>
  <c r="AA47" i="12" s="1"/>
  <c r="O47" i="12" a="1"/>
  <c r="O47" i="12" s="1"/>
  <c r="Z47" i="12" s="1"/>
  <c r="P46" i="12"/>
  <c r="AA46" i="12" s="1"/>
  <c r="O46" i="12" a="1"/>
  <c r="O46" i="12" s="1"/>
  <c r="Z46" i="12" s="1"/>
  <c r="P45" i="12"/>
  <c r="AA45" i="12" s="1"/>
  <c r="O45" i="12" a="1"/>
  <c r="O45" i="12" s="1"/>
  <c r="Z45" i="12" s="1"/>
  <c r="P44" i="12"/>
  <c r="AA44" i="12" s="1"/>
  <c r="O44" i="12" a="1"/>
  <c r="O44" i="12" s="1"/>
  <c r="Z44" i="12" s="1"/>
  <c r="P43" i="12"/>
  <c r="AA43" i="12" s="1"/>
  <c r="O43" i="12" a="1"/>
  <c r="O43" i="12" s="1"/>
  <c r="Z43" i="12" s="1"/>
  <c r="P42" i="12"/>
  <c r="AA42" i="12" s="1"/>
  <c r="O42" i="12" a="1"/>
  <c r="O42" i="12" s="1"/>
  <c r="Z42" i="12" s="1"/>
  <c r="P41" i="12"/>
  <c r="AA41" i="12" s="1"/>
  <c r="O41" i="12" a="1"/>
  <c r="O41" i="12" s="1"/>
  <c r="Z41" i="12" s="1"/>
  <c r="P40" i="12"/>
  <c r="AA40" i="12" s="1"/>
  <c r="O40" i="12" a="1"/>
  <c r="O40" i="12" s="1"/>
  <c r="Z40" i="12" s="1"/>
  <c r="P39" i="12"/>
  <c r="AA39" i="12" s="1"/>
  <c r="O39" i="12" a="1"/>
  <c r="O39" i="12" s="1"/>
  <c r="Z39" i="12" s="1"/>
  <c r="P38" i="12"/>
  <c r="AA38" i="12" s="1"/>
  <c r="O38" i="12" a="1"/>
  <c r="O38" i="12" s="1"/>
  <c r="Z38" i="12" s="1"/>
  <c r="P37" i="12"/>
  <c r="AA37" i="12" s="1"/>
  <c r="O37" i="12" a="1"/>
  <c r="O37" i="12" s="1"/>
  <c r="Z37" i="12" s="1"/>
  <c r="P36" i="12"/>
  <c r="AA36" i="12" s="1"/>
  <c r="O36" i="12" a="1"/>
  <c r="O36" i="12" s="1"/>
  <c r="Z36" i="12" s="1"/>
  <c r="P35" i="12"/>
  <c r="AA35" i="12" s="1"/>
  <c r="O35" i="12" a="1"/>
  <c r="O35" i="12" s="1"/>
  <c r="Z35" i="12" s="1"/>
  <c r="P34" i="12"/>
  <c r="AA34" i="12" s="1"/>
  <c r="O34" i="12" a="1"/>
  <c r="O34" i="12" s="1"/>
  <c r="Z34" i="12" s="1"/>
  <c r="P33" i="12"/>
  <c r="AA33" i="12" s="1"/>
  <c r="O33" i="12" a="1"/>
  <c r="O33" i="12" s="1"/>
  <c r="Z33" i="12" s="1"/>
  <c r="P32" i="12"/>
  <c r="AA32" i="12" s="1"/>
  <c r="O32" i="12" a="1"/>
  <c r="O32" i="12" s="1"/>
  <c r="Z32" i="12" s="1"/>
  <c r="AB382" i="12" l="1"/>
  <c r="P382" i="12"/>
  <c r="AA382" i="12" s="1"/>
  <c r="O382" i="12" a="1"/>
  <c r="O382" i="12" s="1"/>
  <c r="Z382" i="12" s="1"/>
  <c r="O381" i="12" a="1"/>
  <c r="O381" i="12" s="1"/>
  <c r="Z381" i="12" s="1"/>
  <c r="O377" i="12" a="1"/>
  <c r="O377" i="12" s="1"/>
  <c r="Z377" i="12" s="1"/>
  <c r="O380" i="12" a="1"/>
  <c r="O380" i="12" s="1"/>
  <c r="Z380" i="12" s="1"/>
  <c r="AB379" i="12"/>
  <c r="P379" i="12"/>
  <c r="AA379" i="12" s="1"/>
  <c r="O379" i="12" a="1"/>
  <c r="O379" i="12" s="1"/>
  <c r="Z379" i="12" s="1"/>
  <c r="O378" i="12" a="1"/>
  <c r="O378" i="12" s="1"/>
  <c r="Z378" i="12" s="1"/>
  <c r="O376" i="12" a="1"/>
  <c r="O376" i="12" s="1"/>
  <c r="Z376" i="12" s="1"/>
  <c r="Z271" i="12" l="1"/>
  <c r="AB270" i="12"/>
  <c r="AA270" i="12"/>
  <c r="Z270" i="12"/>
  <c r="Z269" i="12"/>
  <c r="AB268" i="12"/>
  <c r="AA268" i="12"/>
  <c r="Z268" i="12"/>
  <c r="AB322" i="12"/>
  <c r="P322" i="12"/>
  <c r="AA322" i="12" s="1"/>
  <c r="O322" i="12" a="1"/>
  <c r="O322" i="12" s="1"/>
  <c r="Z322" i="12" s="1"/>
  <c r="AB321" i="12"/>
  <c r="P321" i="12"/>
  <c r="AA321" i="12" s="1"/>
  <c r="O321" i="12" a="1"/>
  <c r="O321" i="12" s="1"/>
  <c r="Z321" i="12" s="1"/>
  <c r="AB516" i="12"/>
  <c r="P516" i="12"/>
  <c r="AA516" i="12" s="1"/>
  <c r="O516" i="12" a="1"/>
  <c r="O516" i="12" s="1"/>
  <c r="Z516" i="12" s="1"/>
  <c r="O600" i="12" l="1" a="1"/>
  <c r="O600" i="12" s="1"/>
  <c r="Z600" i="12" s="1"/>
  <c r="AB599" i="12"/>
  <c r="P599" i="12"/>
  <c r="AA599" i="12" s="1"/>
  <c r="O599" i="12" a="1"/>
  <c r="O599" i="12" s="1"/>
  <c r="Z599" i="12" s="1"/>
  <c r="O415" i="12" l="1" a="1"/>
  <c r="O415" i="12" s="1"/>
  <c r="Z415" i="12" s="1"/>
  <c r="O372" i="12" l="1" a="1"/>
  <c r="O372" i="12" s="1"/>
  <c r="Z372" i="12" s="1"/>
  <c r="AB371" i="12"/>
  <c r="P371" i="12"/>
  <c r="AA371" i="12" s="1"/>
  <c r="O371" i="12" a="1"/>
  <c r="O371" i="12" s="1"/>
  <c r="Z371" i="12" s="1"/>
  <c r="AB300" i="12"/>
  <c r="P300" i="12"/>
  <c r="AA300" i="12" s="1"/>
  <c r="O300" i="12" a="1"/>
  <c r="O300" i="12" s="1"/>
  <c r="Z300" i="12" s="1"/>
  <c r="AB299" i="12"/>
  <c r="P299" i="12"/>
  <c r="AA299" i="12" s="1"/>
  <c r="O299" i="12" a="1"/>
  <c r="O299" i="12" s="1"/>
  <c r="Z299" i="12" s="1"/>
  <c r="P601" i="12"/>
  <c r="O601" i="12" a="1"/>
  <c r="O601" i="12" s="1"/>
  <c r="P598" i="12"/>
  <c r="O598" i="12" a="1"/>
  <c r="O598" i="12" s="1"/>
  <c r="P597" i="12"/>
  <c r="O597" i="12" a="1"/>
  <c r="O597" i="12" s="1"/>
  <c r="O596" i="12" a="1"/>
  <c r="O596" i="12" s="1"/>
  <c r="Z596" i="12" s="1"/>
  <c r="O586" i="12" a="1"/>
  <c r="O586" i="12" s="1"/>
  <c r="P585" i="12"/>
  <c r="O585" i="12" a="1"/>
  <c r="O585" i="12" s="1"/>
  <c r="O584" i="12" a="1"/>
  <c r="O584" i="12" s="1"/>
  <c r="P583" i="12"/>
  <c r="O583" i="12" a="1"/>
  <c r="O583" i="12" s="1"/>
  <c r="P582" i="12"/>
  <c r="O582" i="12" a="1"/>
  <c r="O582" i="12" s="1"/>
  <c r="P581" i="12"/>
  <c r="O581" i="12" a="1"/>
  <c r="O581" i="12" s="1"/>
  <c r="O580" i="12" a="1"/>
  <c r="O580" i="12" s="1"/>
  <c r="P579" i="12"/>
  <c r="O579" i="12" a="1"/>
  <c r="O579" i="12" s="1"/>
  <c r="P578" i="12"/>
  <c r="O578" i="12" a="1"/>
  <c r="O578" i="12" s="1"/>
  <c r="P577" i="12"/>
  <c r="O577" i="12" a="1"/>
  <c r="O577" i="12" s="1"/>
  <c r="P576" i="12"/>
  <c r="O576" i="12" a="1"/>
  <c r="O576" i="12" s="1"/>
  <c r="P575" i="12"/>
  <c r="O575" i="12" a="1"/>
  <c r="O575" i="12" s="1"/>
  <c r="P574" i="12"/>
  <c r="O574" i="12" a="1"/>
  <c r="O574" i="12" s="1"/>
  <c r="P573" i="12"/>
  <c r="O573" i="12" a="1"/>
  <c r="O573" i="12" s="1"/>
  <c r="P572" i="12"/>
  <c r="O572" i="12" a="1"/>
  <c r="O572" i="12" s="1"/>
  <c r="O571" i="12" a="1"/>
  <c r="O571" i="12" s="1"/>
  <c r="P570" i="12"/>
  <c r="O570" i="12" a="1"/>
  <c r="O570" i="12" s="1"/>
  <c r="O569" i="12" a="1"/>
  <c r="O569" i="12" s="1"/>
  <c r="P568" i="12"/>
  <c r="O568" i="12" a="1"/>
  <c r="O568" i="12" s="1"/>
  <c r="P567" i="12"/>
  <c r="O567" i="12" a="1"/>
  <c r="O567" i="12" s="1"/>
  <c r="P566" i="12"/>
  <c r="O566" i="12" a="1"/>
  <c r="O566" i="12" s="1"/>
  <c r="P565" i="12"/>
  <c r="O565" i="12" a="1"/>
  <c r="O565" i="12" s="1"/>
  <c r="P564" i="12"/>
  <c r="O564" i="12" a="1"/>
  <c r="O564" i="12" s="1"/>
  <c r="P563" i="12"/>
  <c r="O563" i="12" a="1"/>
  <c r="O563" i="12" s="1"/>
  <c r="P562" i="12"/>
  <c r="O562" i="12" a="1"/>
  <c r="O562" i="12" s="1"/>
  <c r="P561" i="12"/>
  <c r="AA561" i="12" s="1"/>
  <c r="O561" i="12" a="1"/>
  <c r="O561" i="12" s="1"/>
  <c r="Z561" i="12" s="1"/>
  <c r="P560" i="12"/>
  <c r="AA560" i="12" s="1"/>
  <c r="O560" i="12" a="1"/>
  <c r="O560" i="12" s="1"/>
  <c r="Z560" i="12" s="1"/>
  <c r="P559" i="12"/>
  <c r="AA559" i="12" s="1"/>
  <c r="O559" i="12" a="1"/>
  <c r="O559" i="12" s="1"/>
  <c r="Z559" i="12" s="1"/>
  <c r="P558" i="12"/>
  <c r="AA558" i="12" s="1"/>
  <c r="O558" i="12" a="1"/>
  <c r="O558" i="12" s="1"/>
  <c r="Z558" i="12" s="1"/>
  <c r="O556" i="12" a="1"/>
  <c r="O556" i="12" s="1"/>
  <c r="P555" i="12"/>
  <c r="O555" i="12" a="1"/>
  <c r="O555" i="12" s="1"/>
  <c r="P554" i="12"/>
  <c r="O554" i="12" a="1"/>
  <c r="O554" i="12" s="1"/>
  <c r="P553" i="12"/>
  <c r="O553" i="12" a="1"/>
  <c r="O553" i="12" s="1"/>
  <c r="P552" i="12"/>
  <c r="O552" i="12" a="1"/>
  <c r="O552" i="12" s="1"/>
  <c r="P551" i="12"/>
  <c r="O551" i="12" a="1"/>
  <c r="O551" i="12" s="1"/>
  <c r="P550" i="12"/>
  <c r="O550" i="12" a="1"/>
  <c r="O550" i="12" s="1"/>
  <c r="P549" i="12"/>
  <c r="O549" i="12" a="1"/>
  <c r="O549" i="12" s="1"/>
  <c r="P548" i="12"/>
  <c r="O548" i="12" a="1"/>
  <c r="O548" i="12" s="1"/>
  <c r="O547" i="12" a="1"/>
  <c r="O547" i="12" s="1"/>
  <c r="P546" i="12"/>
  <c r="O546" i="12" a="1"/>
  <c r="O546" i="12" s="1"/>
  <c r="P545" i="12"/>
  <c r="O545" i="12" a="1"/>
  <c r="O545" i="12" s="1"/>
  <c r="P544" i="12"/>
  <c r="O544" i="12" a="1"/>
  <c r="O544" i="12" s="1"/>
  <c r="P543" i="12"/>
  <c r="O543" i="12" a="1"/>
  <c r="O543" i="12" s="1"/>
  <c r="P542" i="12"/>
  <c r="O542" i="12" a="1"/>
  <c r="O542" i="12" s="1"/>
  <c r="P541" i="12"/>
  <c r="O541" i="12" a="1"/>
  <c r="O541" i="12" s="1"/>
  <c r="P540" i="12"/>
  <c r="O540" i="12" a="1"/>
  <c r="O540" i="12" s="1"/>
  <c r="P539" i="12"/>
  <c r="O539" i="12" a="1"/>
  <c r="O539" i="12" s="1"/>
  <c r="P538" i="12"/>
  <c r="O538" i="12" a="1"/>
  <c r="O538" i="12" s="1"/>
  <c r="P537" i="12"/>
  <c r="O537" i="12" a="1"/>
  <c r="O537" i="12" s="1"/>
  <c r="O536" i="12" a="1"/>
  <c r="O536" i="12" s="1"/>
  <c r="O535" i="12" a="1"/>
  <c r="O535" i="12" s="1"/>
  <c r="AB534" i="12"/>
  <c r="P534" i="12"/>
  <c r="AA534" i="12" s="1"/>
  <c r="O534" i="12" a="1"/>
  <c r="O534" i="12" s="1"/>
  <c r="Z534" i="12" s="1"/>
  <c r="AB533" i="12"/>
  <c r="P533" i="12"/>
  <c r="AA533" i="12" s="1"/>
  <c r="O533" i="12" a="1"/>
  <c r="O533" i="12" s="1"/>
  <c r="Z533" i="12" s="1"/>
  <c r="AB532" i="12"/>
  <c r="P532" i="12"/>
  <c r="AA532" i="12" s="1"/>
  <c r="O532" i="12" a="1"/>
  <c r="O532" i="12" s="1"/>
  <c r="Z532" i="12" s="1"/>
  <c r="AB531" i="12"/>
  <c r="P531" i="12"/>
  <c r="AA531" i="12" s="1"/>
  <c r="O531" i="12" a="1"/>
  <c r="O531" i="12" s="1"/>
  <c r="Z531" i="12" s="1"/>
  <c r="AB530" i="12"/>
  <c r="P530" i="12"/>
  <c r="AA530" i="12" s="1"/>
  <c r="O530" i="12" a="1"/>
  <c r="O530" i="12" s="1"/>
  <c r="Z530" i="12" s="1"/>
  <c r="AB529" i="12"/>
  <c r="P529" i="12"/>
  <c r="AA529" i="12" s="1"/>
  <c r="O529" i="12" a="1"/>
  <c r="O529" i="12" s="1"/>
  <c r="Z529" i="12" s="1"/>
  <c r="AB528" i="12"/>
  <c r="P528" i="12"/>
  <c r="AA528" i="12" s="1"/>
  <c r="O528" i="12" a="1"/>
  <c r="O528" i="12" s="1"/>
  <c r="Z528" i="12" s="1"/>
  <c r="AB527" i="12"/>
  <c r="P527" i="12"/>
  <c r="AA527" i="12" s="1"/>
  <c r="O527" i="12" a="1"/>
  <c r="O527" i="12" s="1"/>
  <c r="Z527" i="12" s="1"/>
  <c r="O526" i="12" a="1"/>
  <c r="O526" i="12" s="1"/>
  <c r="Z526" i="12" s="1"/>
  <c r="AB525" i="12"/>
  <c r="P525" i="12"/>
  <c r="AA525" i="12" s="1"/>
  <c r="O525" i="12" a="1"/>
  <c r="O525" i="12" s="1"/>
  <c r="Z525" i="12" s="1"/>
  <c r="AB524" i="12"/>
  <c r="P524" i="12"/>
  <c r="AA524" i="12" s="1"/>
  <c r="O524" i="12" a="1"/>
  <c r="O524" i="12" s="1"/>
  <c r="Z524" i="12" s="1"/>
  <c r="O523" i="12" a="1"/>
  <c r="O523" i="12" s="1"/>
  <c r="Z523" i="12" s="1"/>
  <c r="O522" i="12" a="1"/>
  <c r="O522" i="12" s="1"/>
  <c r="Z522" i="12" s="1"/>
  <c r="AB521" i="12"/>
  <c r="P521" i="12"/>
  <c r="AA521" i="12" s="1"/>
  <c r="O521" i="12" a="1"/>
  <c r="O521" i="12" s="1"/>
  <c r="Z521" i="12" s="1"/>
  <c r="AB520" i="12"/>
  <c r="P520" i="12"/>
  <c r="AA520" i="12" s="1"/>
  <c r="O520" i="12" a="1"/>
  <c r="O520" i="12" s="1"/>
  <c r="Z520" i="12" s="1"/>
  <c r="O519" i="12" a="1"/>
  <c r="O519" i="12" s="1"/>
  <c r="Z519" i="12" s="1"/>
  <c r="O518" i="12" a="1"/>
  <c r="O518" i="12" s="1"/>
  <c r="Z518" i="12" s="1"/>
  <c r="O517" i="12" a="1"/>
  <c r="O517" i="12" s="1"/>
  <c r="Z517" i="12" s="1"/>
  <c r="AB515" i="12"/>
  <c r="P515" i="12"/>
  <c r="AA515" i="12" s="1"/>
  <c r="O515" i="12" a="1"/>
  <c r="O515" i="12" s="1"/>
  <c r="Z515" i="12" s="1"/>
  <c r="O514" i="12" a="1"/>
  <c r="O514" i="12" s="1"/>
  <c r="Z514" i="12" s="1"/>
  <c r="AB513" i="12"/>
  <c r="P513" i="12"/>
  <c r="AA513" i="12" s="1"/>
  <c r="O513" i="12" a="1"/>
  <c r="O513" i="12" s="1"/>
  <c r="Z513" i="12" s="1"/>
  <c r="O512" i="12" a="1"/>
  <c r="O512" i="12" s="1"/>
  <c r="Z512" i="12" s="1"/>
  <c r="AB511" i="12"/>
  <c r="P511" i="12"/>
  <c r="AA511" i="12" s="1"/>
  <c r="O511" i="12" a="1"/>
  <c r="O511" i="12" s="1"/>
  <c r="Z511" i="12" s="1"/>
  <c r="O510" i="12" a="1"/>
  <c r="O510" i="12" s="1"/>
  <c r="Z510" i="12" s="1"/>
  <c r="AB509" i="12"/>
  <c r="P509" i="12"/>
  <c r="AA509" i="12" s="1"/>
  <c r="O509" i="12" a="1"/>
  <c r="O509" i="12" s="1"/>
  <c r="Z509" i="12" s="1"/>
  <c r="O508" i="12" a="1"/>
  <c r="O508" i="12" s="1"/>
  <c r="Z508" i="12" s="1"/>
  <c r="AB507" i="12"/>
  <c r="P507" i="12"/>
  <c r="AA507" i="12" s="1"/>
  <c r="O507" i="12" a="1"/>
  <c r="O507" i="12" s="1"/>
  <c r="Z507" i="12" s="1"/>
  <c r="AB506" i="12"/>
  <c r="P506" i="12"/>
  <c r="AA506" i="12" s="1"/>
  <c r="O506" i="12" a="1"/>
  <c r="O506" i="12" s="1"/>
  <c r="Z506" i="12" s="1"/>
  <c r="O505" i="12" a="1"/>
  <c r="O505" i="12" s="1"/>
  <c r="Z505" i="12" s="1"/>
  <c r="O504" i="12" a="1"/>
  <c r="O504" i="12" s="1"/>
  <c r="Z504" i="12" s="1"/>
  <c r="O503" i="12" a="1"/>
  <c r="O503" i="12" s="1"/>
  <c r="Z503" i="12" s="1"/>
  <c r="AB502" i="12"/>
  <c r="P502" i="12"/>
  <c r="AA502" i="12" s="1"/>
  <c r="O502" i="12" a="1"/>
  <c r="O502" i="12" s="1"/>
  <c r="Z502" i="12" s="1"/>
  <c r="O501" i="12" a="1"/>
  <c r="O501" i="12" s="1"/>
  <c r="Z501" i="12" s="1"/>
  <c r="AB500" i="12"/>
  <c r="P500" i="12"/>
  <c r="AA500" i="12" s="1"/>
  <c r="O500" i="12" a="1"/>
  <c r="O500" i="12" s="1"/>
  <c r="Z500" i="12" s="1"/>
  <c r="O499" i="12" a="1"/>
  <c r="O499" i="12" s="1"/>
  <c r="Z499" i="12" s="1"/>
  <c r="O498" i="12" a="1"/>
  <c r="O498" i="12" s="1"/>
  <c r="Z498" i="12" s="1"/>
  <c r="O497" i="12" a="1"/>
  <c r="O497" i="12" s="1"/>
  <c r="Z497" i="12" s="1"/>
  <c r="O496" i="12" a="1"/>
  <c r="O496" i="12" s="1"/>
  <c r="Z496" i="12" s="1"/>
  <c r="AB495" i="12"/>
  <c r="P495" i="12"/>
  <c r="AA495" i="12" s="1"/>
  <c r="O495" i="12" a="1"/>
  <c r="O495" i="12" s="1"/>
  <c r="Z495" i="12" s="1"/>
  <c r="AB494" i="12"/>
  <c r="P494" i="12"/>
  <c r="AA494" i="12" s="1"/>
  <c r="O494" i="12" a="1"/>
  <c r="O494" i="12" s="1"/>
  <c r="Z494" i="12" s="1"/>
  <c r="AB493" i="12"/>
  <c r="P493" i="12"/>
  <c r="AA493" i="12" s="1"/>
  <c r="O493" i="12" a="1"/>
  <c r="O493" i="12" s="1"/>
  <c r="Z493" i="12" s="1"/>
  <c r="AB492" i="12"/>
  <c r="P492" i="12"/>
  <c r="AA492" i="12" s="1"/>
  <c r="O492" i="12" a="1"/>
  <c r="O492" i="12" s="1"/>
  <c r="Z492" i="12" s="1"/>
  <c r="O491" i="12" a="1"/>
  <c r="O491" i="12" s="1"/>
  <c r="Z491" i="12" s="1"/>
  <c r="O490" i="12" a="1"/>
  <c r="O490" i="12" s="1"/>
  <c r="Z490" i="12" s="1"/>
  <c r="P489" i="12"/>
  <c r="AA489" i="12" s="1"/>
  <c r="O489" i="12" a="1"/>
  <c r="O489" i="12" s="1"/>
  <c r="Z489" i="12" s="1"/>
  <c r="AB466" i="12"/>
  <c r="P466" i="12"/>
  <c r="AA466" i="12" s="1"/>
  <c r="O466" i="12" a="1"/>
  <c r="O466" i="12" s="1"/>
  <c r="Z466" i="12" s="1"/>
  <c r="O465" i="12" a="1"/>
  <c r="O465" i="12" s="1"/>
  <c r="Z465" i="12" s="1"/>
  <c r="AB464" i="12"/>
  <c r="P464" i="12"/>
  <c r="AA464" i="12" s="1"/>
  <c r="O464" i="12" a="1"/>
  <c r="O464" i="12" s="1"/>
  <c r="Z464" i="12" s="1"/>
  <c r="O463" i="12" a="1"/>
  <c r="O463" i="12" s="1"/>
  <c r="Z463" i="12" s="1"/>
  <c r="AB462" i="12"/>
  <c r="P462" i="12"/>
  <c r="AA462" i="12" s="1"/>
  <c r="O462" i="12" a="1"/>
  <c r="O462" i="12" s="1"/>
  <c r="Z462" i="12" s="1"/>
  <c r="O461" i="12" a="1"/>
  <c r="O461" i="12" s="1"/>
  <c r="Z461" i="12" s="1"/>
  <c r="AB460" i="12"/>
  <c r="P460" i="12"/>
  <c r="AA460" i="12" s="1"/>
  <c r="O460" i="12" a="1"/>
  <c r="O460" i="12" s="1"/>
  <c r="Z460" i="12" s="1"/>
  <c r="O459" i="12" a="1"/>
  <c r="O459" i="12" s="1"/>
  <c r="Z459" i="12" s="1"/>
  <c r="AB458" i="12"/>
  <c r="P458" i="12"/>
  <c r="AA458" i="12" s="1"/>
  <c r="O458" i="12" a="1"/>
  <c r="O458" i="12" s="1"/>
  <c r="Z458" i="12" s="1"/>
  <c r="O457" i="12" a="1"/>
  <c r="O457" i="12" s="1"/>
  <c r="Z457" i="12" s="1"/>
  <c r="AB456" i="12"/>
  <c r="P456" i="12"/>
  <c r="AA456" i="12" s="1"/>
  <c r="O456" i="12" a="1"/>
  <c r="O456" i="12" s="1"/>
  <c r="Z456" i="12" s="1"/>
  <c r="O455" i="12" a="1"/>
  <c r="O455" i="12" s="1"/>
  <c r="Z455" i="12" s="1"/>
  <c r="AB454" i="12"/>
  <c r="P454" i="12"/>
  <c r="AA454" i="12" s="1"/>
  <c r="O454" i="12" a="1"/>
  <c r="O454" i="12" s="1"/>
  <c r="Z454" i="12" s="1"/>
  <c r="AB453" i="12"/>
  <c r="P453" i="12"/>
  <c r="AA453" i="12" s="1"/>
  <c r="O453" i="12" a="1"/>
  <c r="O453" i="12" s="1"/>
  <c r="Z453" i="12" s="1"/>
  <c r="O452" i="12" a="1"/>
  <c r="O452" i="12" s="1"/>
  <c r="Z452" i="12" s="1"/>
  <c r="AB441" i="12"/>
  <c r="P441" i="12"/>
  <c r="AA441" i="12" s="1"/>
  <c r="O441" i="12" a="1"/>
  <c r="O441" i="12" s="1"/>
  <c r="Z441" i="12" s="1"/>
  <c r="AB440" i="12"/>
  <c r="P440" i="12"/>
  <c r="AA440" i="12" s="1"/>
  <c r="O440" i="12" a="1"/>
  <c r="O440" i="12" s="1"/>
  <c r="Z440" i="12" s="1"/>
  <c r="AB439" i="12"/>
  <c r="P439" i="12"/>
  <c r="AA439" i="12" s="1"/>
  <c r="O439" i="12" a="1"/>
  <c r="O439" i="12" s="1"/>
  <c r="Z439" i="12" s="1"/>
  <c r="O438" i="12" a="1"/>
  <c r="O438" i="12" s="1"/>
  <c r="Z438" i="12" s="1"/>
  <c r="P434" i="12"/>
  <c r="O434" i="12" a="1"/>
  <c r="O434" i="12" s="1"/>
  <c r="P433" i="12"/>
  <c r="O433" i="12" a="1"/>
  <c r="O433" i="12" s="1"/>
  <c r="O432" i="12" a="1"/>
  <c r="O432" i="12" s="1"/>
  <c r="O431" i="12" a="1"/>
  <c r="O431" i="12" s="1"/>
  <c r="P430" i="12"/>
  <c r="O430" i="12" a="1"/>
  <c r="O430" i="12" s="1"/>
  <c r="P429" i="12"/>
  <c r="O429" i="12" a="1"/>
  <c r="O429" i="12" s="1"/>
  <c r="P428" i="12"/>
  <c r="AA428" i="12" s="1"/>
  <c r="O428" i="12" a="1"/>
  <c r="O428" i="12" s="1"/>
  <c r="Z428" i="12" s="1"/>
  <c r="O418" i="12" a="1"/>
  <c r="O418" i="12" s="1"/>
  <c r="Z418" i="12" s="1"/>
  <c r="AB415" i="12"/>
  <c r="P415" i="12"/>
  <c r="AA415" i="12" s="1"/>
  <c r="AB414" i="12"/>
  <c r="P414" i="12"/>
  <c r="AA414" i="12" s="1"/>
  <c r="O414" i="12" a="1"/>
  <c r="O414" i="12" s="1"/>
  <c r="Z414" i="12" s="1"/>
  <c r="O413" i="12" a="1"/>
  <c r="O413" i="12" s="1"/>
  <c r="P412" i="12"/>
  <c r="O412" i="12" a="1"/>
  <c r="O412" i="12" s="1"/>
  <c r="O411" i="12" a="1"/>
  <c r="O411" i="12" s="1"/>
  <c r="P410" i="12"/>
  <c r="O410" i="12" a="1"/>
  <c r="O410" i="12" s="1"/>
  <c r="O409" i="12" a="1"/>
  <c r="O409" i="12" s="1"/>
  <c r="AB408" i="12"/>
  <c r="P408" i="12"/>
  <c r="AA408" i="12" s="1"/>
  <c r="O408" i="12" a="1"/>
  <c r="O408" i="12" s="1"/>
  <c r="Z408" i="12" s="1"/>
  <c r="O407" i="12" a="1"/>
  <c r="O407" i="12" s="1"/>
  <c r="Z407" i="12" s="1"/>
  <c r="AB406" i="12"/>
  <c r="P406" i="12"/>
  <c r="AA406" i="12" s="1"/>
  <c r="O406" i="12" a="1"/>
  <c r="O406" i="12" s="1"/>
  <c r="Z406" i="12" s="1"/>
  <c r="AB405" i="12"/>
  <c r="P405" i="12"/>
  <c r="AA405" i="12" s="1"/>
  <c r="O405" i="12" a="1"/>
  <c r="O405" i="12" s="1"/>
  <c r="Z405" i="12" s="1"/>
  <c r="O404" i="12" a="1"/>
  <c r="O404" i="12" s="1"/>
  <c r="Z404" i="12" s="1"/>
  <c r="AB403" i="12"/>
  <c r="P403" i="12"/>
  <c r="AA403" i="12" s="1"/>
  <c r="O403" i="12" a="1"/>
  <c r="O403" i="12" s="1"/>
  <c r="Z403" i="12" s="1"/>
  <c r="O402" i="12" a="1"/>
  <c r="O402" i="12" s="1"/>
  <c r="Z402" i="12" s="1"/>
  <c r="O401" i="12" a="1"/>
  <c r="O401" i="12" s="1"/>
  <c r="Z401" i="12" s="1"/>
  <c r="O400" i="12" a="1"/>
  <c r="O400" i="12" s="1"/>
  <c r="Z400" i="12" s="1"/>
  <c r="O399" i="12" a="1"/>
  <c r="O399" i="12" s="1"/>
  <c r="Z399" i="12" s="1"/>
  <c r="P398" i="12"/>
  <c r="O398" i="12" a="1"/>
  <c r="O398" i="12" s="1"/>
  <c r="O397" i="12" a="1"/>
  <c r="O397" i="12" s="1"/>
  <c r="O396" i="12" a="1"/>
  <c r="O396" i="12" s="1"/>
  <c r="O395" i="12" a="1"/>
  <c r="O395" i="12" s="1"/>
  <c r="P394" i="12"/>
  <c r="O394" i="12" a="1"/>
  <c r="O394" i="12" s="1"/>
  <c r="P393" i="12"/>
  <c r="O393" i="12" a="1"/>
  <c r="O393" i="12" s="1"/>
  <c r="P392" i="12"/>
  <c r="O392" i="12" a="1"/>
  <c r="O392" i="12" s="1"/>
  <c r="O391" i="12" a="1"/>
  <c r="O391" i="12" s="1"/>
  <c r="P390" i="12"/>
  <c r="O390" i="12" a="1"/>
  <c r="O390" i="12" s="1"/>
  <c r="O389" i="12" a="1"/>
  <c r="O389" i="12" s="1"/>
  <c r="P388" i="12"/>
  <c r="O388" i="12" a="1"/>
  <c r="O388" i="12" s="1"/>
  <c r="P387" i="12"/>
  <c r="O387" i="12" a="1"/>
  <c r="O387" i="12" s="1"/>
  <c r="P386" i="12"/>
  <c r="O386" i="12" a="1"/>
  <c r="O386" i="12" s="1"/>
  <c r="O385" i="12" a="1"/>
  <c r="O385" i="12" s="1"/>
  <c r="P384" i="12"/>
  <c r="O384" i="12" a="1"/>
  <c r="O384" i="12" s="1"/>
  <c r="AB383" i="12"/>
  <c r="P383" i="12"/>
  <c r="AA383" i="12" s="1"/>
  <c r="O383" i="12" a="1"/>
  <c r="O383" i="12" s="1"/>
  <c r="Z383" i="12" s="1"/>
  <c r="O375" i="12" a="1"/>
  <c r="O375" i="12" s="1"/>
  <c r="P374" i="12"/>
  <c r="O374" i="12" a="1"/>
  <c r="O374" i="12" s="1"/>
  <c r="O373" i="12" a="1"/>
  <c r="O373" i="12" s="1"/>
  <c r="P370" i="12"/>
  <c r="O370" i="12" a="1"/>
  <c r="O370" i="12" s="1"/>
  <c r="P369" i="12"/>
  <c r="O369" i="12" a="1"/>
  <c r="O369" i="12" s="1"/>
  <c r="O368" i="12" a="1"/>
  <c r="O368" i="12" s="1"/>
  <c r="O367" i="12" a="1"/>
  <c r="O367" i="12" s="1"/>
  <c r="P366" i="12"/>
  <c r="O366" i="12" a="1"/>
  <c r="O366" i="12" s="1"/>
  <c r="P365" i="12"/>
  <c r="O365" i="12" a="1"/>
  <c r="O365" i="12" s="1"/>
  <c r="P364" i="12"/>
  <c r="O364" i="12" a="1"/>
  <c r="O364" i="12" s="1"/>
  <c r="P363" i="12"/>
  <c r="O363" i="12" a="1"/>
  <c r="O363" i="12" s="1"/>
  <c r="P362" i="12"/>
  <c r="O362" i="12" a="1"/>
  <c r="O362" i="12" s="1"/>
  <c r="P361" i="12"/>
  <c r="O361" i="12" a="1"/>
  <c r="O361" i="12" s="1"/>
  <c r="AB360" i="12"/>
  <c r="P360" i="12"/>
  <c r="AA360" i="12" s="1"/>
  <c r="O360" i="12" a="1"/>
  <c r="O360" i="12" s="1"/>
  <c r="Z360" i="12" s="1"/>
  <c r="AB359" i="12"/>
  <c r="P359" i="12"/>
  <c r="AA359" i="12" s="1"/>
  <c r="O359" i="12" a="1"/>
  <c r="O359" i="12" s="1"/>
  <c r="Z359" i="12" s="1"/>
  <c r="O358" i="12" a="1"/>
  <c r="O358" i="12" s="1"/>
  <c r="Z358" i="12" s="1"/>
  <c r="O357" i="12" a="1"/>
  <c r="O357" i="12" s="1"/>
  <c r="Z357" i="12" s="1"/>
  <c r="AB356" i="12"/>
  <c r="P356" i="12"/>
  <c r="AA356" i="12" s="1"/>
  <c r="O356" i="12" a="1"/>
  <c r="O356" i="12" s="1"/>
  <c r="Z356" i="12" s="1"/>
  <c r="O355" i="12" a="1"/>
  <c r="O355" i="12" s="1"/>
  <c r="Z355" i="12" s="1"/>
  <c r="AB354" i="12"/>
  <c r="P354" i="12"/>
  <c r="AA354" i="12" s="1"/>
  <c r="O354" i="12" a="1"/>
  <c r="O354" i="12" s="1"/>
  <c r="Z354" i="12" s="1"/>
  <c r="O353" i="12" a="1"/>
  <c r="O353" i="12" s="1"/>
  <c r="Z353" i="12" s="1"/>
  <c r="AB352" i="12"/>
  <c r="P352" i="12"/>
  <c r="AA352" i="12" s="1"/>
  <c r="O352" i="12" a="1"/>
  <c r="O352" i="12" s="1"/>
  <c r="Z352" i="12" s="1"/>
  <c r="O351" i="12" a="1"/>
  <c r="O351" i="12" s="1"/>
  <c r="Z351" i="12" s="1"/>
  <c r="AB350" i="12"/>
  <c r="P350" i="12"/>
  <c r="AA350" i="12" s="1"/>
  <c r="O350" i="12" a="1"/>
  <c r="O350" i="12" s="1"/>
  <c r="Z350" i="12" s="1"/>
  <c r="P349" i="12"/>
  <c r="O349" i="12" a="1"/>
  <c r="O349" i="12" s="1"/>
  <c r="O348" i="12" a="1"/>
  <c r="O348" i="12" s="1"/>
  <c r="P347" i="12"/>
  <c r="O347" i="12" a="1"/>
  <c r="O347" i="12" s="1"/>
  <c r="P346" i="12"/>
  <c r="O346" i="12" a="1"/>
  <c r="O346" i="12" s="1"/>
  <c r="P345" i="12"/>
  <c r="O345" i="12" a="1"/>
  <c r="O345" i="12" s="1"/>
  <c r="P344" i="12"/>
  <c r="O344" i="12" a="1"/>
  <c r="O344" i="12" s="1"/>
  <c r="P343" i="12"/>
  <c r="O343" i="12" a="1"/>
  <c r="O343" i="12" s="1"/>
  <c r="P342" i="12"/>
  <c r="O342" i="12" a="1"/>
  <c r="O342" i="12" s="1"/>
  <c r="P341" i="12"/>
  <c r="O341" i="12" a="1"/>
  <c r="O341" i="12" s="1"/>
  <c r="P340" i="12"/>
  <c r="O340" i="12" a="1"/>
  <c r="O340" i="12" s="1"/>
  <c r="O339" i="12" a="1"/>
  <c r="O339" i="12" s="1"/>
  <c r="P338" i="12"/>
  <c r="O338" i="12" a="1"/>
  <c r="O338" i="12" s="1"/>
  <c r="O337" i="12" a="1"/>
  <c r="O337" i="12" s="1"/>
  <c r="P336" i="12"/>
  <c r="O336" i="12" a="1"/>
  <c r="O336" i="12" s="1"/>
  <c r="O335" i="12" a="1"/>
  <c r="O335" i="12" s="1"/>
  <c r="P334" i="12"/>
  <c r="O334" i="12" a="1"/>
  <c r="O334" i="12" s="1"/>
  <c r="O333" i="12" a="1"/>
  <c r="O333" i="12" s="1"/>
  <c r="O332" i="12" a="1"/>
  <c r="O332" i="12" s="1"/>
  <c r="O331" i="12" a="1"/>
  <c r="O331" i="12" s="1"/>
  <c r="P330" i="12"/>
  <c r="O330" i="12" a="1"/>
  <c r="O330" i="12" s="1"/>
  <c r="P329" i="12"/>
  <c r="O329" i="12" a="1"/>
  <c r="O329" i="12" s="1"/>
  <c r="P328" i="12"/>
  <c r="O328" i="12" a="1"/>
  <c r="O328" i="12" s="1"/>
  <c r="P327" i="12"/>
  <c r="O327" i="12" a="1"/>
  <c r="O327" i="12" s="1"/>
  <c r="P326" i="12"/>
  <c r="O326" i="12" a="1"/>
  <c r="O326" i="12" s="1"/>
  <c r="P325" i="12"/>
  <c r="O325" i="12" a="1"/>
  <c r="O325" i="12" s="1"/>
  <c r="P324" i="12"/>
  <c r="O324" i="12" a="1"/>
  <c r="O324" i="12" s="1"/>
  <c r="P323" i="12"/>
  <c r="O323" i="12" a="1"/>
  <c r="O323" i="12" s="1"/>
  <c r="O320" i="12" a="1"/>
  <c r="O320" i="12" s="1"/>
  <c r="P319" i="12"/>
  <c r="O319" i="12" a="1"/>
  <c r="O319" i="12" s="1"/>
  <c r="O318" i="12" a="1"/>
  <c r="O318" i="12" s="1"/>
  <c r="P317" i="12"/>
  <c r="O317" i="12" a="1"/>
  <c r="O317" i="12" s="1"/>
  <c r="O316" i="12" a="1"/>
  <c r="O316" i="12" s="1"/>
  <c r="O315" i="12" a="1"/>
  <c r="O315" i="12" s="1"/>
  <c r="O314" i="12" a="1"/>
  <c r="O314" i="12" s="1"/>
  <c r="O313" i="12" a="1"/>
  <c r="O313" i="12" s="1"/>
  <c r="O312" i="12" a="1"/>
  <c r="O312" i="12" s="1"/>
  <c r="O311" i="12" a="1"/>
  <c r="O311" i="12" s="1"/>
  <c r="O310" i="12" a="1"/>
  <c r="O310" i="12" s="1"/>
  <c r="P309" i="12"/>
  <c r="O309" i="12" a="1"/>
  <c r="O309" i="12" s="1"/>
  <c r="P308" i="12"/>
  <c r="O308" i="12" a="1"/>
  <c r="O308" i="12" s="1"/>
  <c r="O307" i="12" a="1"/>
  <c r="O307" i="12" s="1"/>
  <c r="O306" i="12" a="1"/>
  <c r="O306" i="12" s="1"/>
  <c r="O305" i="12" a="1"/>
  <c r="O305" i="12" s="1"/>
  <c r="P304" i="12"/>
  <c r="O304" i="12" a="1"/>
  <c r="O304" i="12" s="1"/>
  <c r="P303" i="12"/>
  <c r="O303" i="12" a="1"/>
  <c r="O303" i="12" s="1"/>
  <c r="O302" i="12" a="1"/>
  <c r="O302" i="12" s="1"/>
  <c r="O301" i="12" a="1"/>
  <c r="O301" i="12" s="1"/>
  <c r="Z301" i="12" s="1"/>
  <c r="AB298" i="12"/>
  <c r="P298" i="12"/>
  <c r="AA298" i="12" s="1"/>
  <c r="O298" i="12" a="1"/>
  <c r="O298" i="12" s="1"/>
  <c r="Z298" i="12" s="1"/>
  <c r="O297" i="12" a="1"/>
  <c r="O297" i="12" s="1"/>
  <c r="Z297" i="12" s="1"/>
  <c r="O296" i="12" a="1"/>
  <c r="O296" i="12" s="1"/>
  <c r="Z296" i="12" s="1"/>
  <c r="AB295" i="12"/>
  <c r="P295" i="12"/>
  <c r="AA295" i="12" s="1"/>
  <c r="O295" i="12" a="1"/>
  <c r="O295" i="12" s="1"/>
  <c r="Z295" i="12" s="1"/>
  <c r="O294" i="12" a="1"/>
  <c r="O294" i="12" s="1"/>
  <c r="Z294" i="12" s="1"/>
  <c r="AB293" i="12"/>
  <c r="P293" i="12"/>
  <c r="AA293" i="12" s="1"/>
  <c r="O293" i="12" a="1"/>
  <c r="O293" i="12" s="1"/>
  <c r="Z293" i="12" s="1"/>
  <c r="O292" i="12" a="1"/>
  <c r="O292" i="12" s="1"/>
  <c r="O291" i="12" a="1"/>
  <c r="O291" i="12" s="1"/>
  <c r="O290" i="12" a="1"/>
  <c r="O290" i="12" s="1"/>
  <c r="P289" i="12"/>
  <c r="O289" i="12" a="1"/>
  <c r="O289" i="12" s="1"/>
  <c r="P288" i="12"/>
  <c r="O288" i="12" a="1"/>
  <c r="O288" i="12" s="1"/>
  <c r="P287" i="12"/>
  <c r="O287" i="12" a="1"/>
  <c r="O287" i="12" s="1"/>
  <c r="O286" i="12" a="1"/>
  <c r="O286" i="12" s="1"/>
  <c r="P285" i="12"/>
  <c r="O285" i="12" a="1"/>
  <c r="O285" i="12" s="1"/>
  <c r="O284" i="12" a="1"/>
  <c r="O284" i="12" s="1"/>
  <c r="P283" i="12"/>
  <c r="O283" i="12" a="1"/>
  <c r="O283" i="12" s="1"/>
  <c r="P282" i="12"/>
  <c r="O282" i="12" a="1"/>
  <c r="O282" i="12" s="1"/>
  <c r="P281" i="12"/>
  <c r="O281" i="12" a="1"/>
  <c r="O281" i="12" s="1"/>
  <c r="O280" i="12" a="1"/>
  <c r="O280" i="12" s="1"/>
  <c r="P279" i="12"/>
  <c r="O279" i="12" a="1"/>
  <c r="O279" i="12" s="1"/>
  <c r="AB278" i="12"/>
  <c r="P278" i="12"/>
  <c r="AA278" i="12" s="1"/>
  <c r="O278" i="12" a="1"/>
  <c r="O278" i="12" s="1"/>
  <c r="Z278" i="12" s="1"/>
  <c r="AB277" i="12"/>
  <c r="P277" i="12"/>
  <c r="AA277" i="12" s="1"/>
  <c r="O277" i="12" a="1"/>
  <c r="O277" i="12" s="1"/>
  <c r="Z277" i="12" s="1"/>
  <c r="O276" i="12" a="1"/>
  <c r="O276" i="12" s="1"/>
  <c r="Z276" i="12" s="1"/>
  <c r="AB275" i="12"/>
  <c r="P275" i="12"/>
  <c r="AA275" i="12" s="1"/>
  <c r="O275" i="12" a="1"/>
  <c r="O275" i="12" s="1"/>
  <c r="Z275" i="12" s="1"/>
  <c r="AB274" i="12"/>
  <c r="P274" i="12"/>
  <c r="AA274" i="12" s="1"/>
  <c r="O274" i="12" a="1"/>
  <c r="O274" i="12" s="1"/>
  <c r="Z274" i="12" s="1"/>
  <c r="Z273" i="12"/>
  <c r="Z272" i="12"/>
  <c r="Z267" i="12"/>
  <c r="O260" i="12" a="1"/>
  <c r="O260" i="12" s="1"/>
  <c r="O259" i="12" a="1"/>
  <c r="O259" i="12" s="1"/>
  <c r="P258" i="12"/>
  <c r="O258" i="12" a="1"/>
  <c r="O258" i="12" s="1"/>
  <c r="O257" i="12" a="1"/>
  <c r="O257" i="12" s="1"/>
  <c r="P256" i="12"/>
  <c r="O256" i="12" a="1"/>
  <c r="O256" i="12" s="1"/>
  <c r="O255" i="12" a="1"/>
  <c r="O255" i="12" s="1"/>
  <c r="P254" i="12"/>
  <c r="O254" i="12" a="1"/>
  <c r="O254" i="12" s="1"/>
  <c r="O253" i="12" a="1"/>
  <c r="O253" i="12" s="1"/>
  <c r="O252" i="12" a="1"/>
  <c r="O252" i="12" s="1"/>
  <c r="Z252" i="12" s="1"/>
  <c r="O251" i="12" a="1"/>
  <c r="O251" i="12" s="1"/>
  <c r="Z251" i="12" s="1"/>
  <c r="AB250" i="12"/>
  <c r="P250" i="12"/>
  <c r="AA250" i="12" s="1"/>
  <c r="O250" i="12" a="1"/>
  <c r="O250" i="12" s="1"/>
  <c r="Z250" i="12" s="1"/>
  <c r="AB249" i="12"/>
  <c r="P249" i="12"/>
  <c r="AA249" i="12" s="1"/>
  <c r="O249" i="12" a="1"/>
  <c r="O249" i="12" s="1"/>
  <c r="Z249" i="12" s="1"/>
  <c r="O248" i="12" a="1"/>
  <c r="O248" i="12" s="1"/>
  <c r="Z248" i="12" s="1"/>
  <c r="AB247" i="12"/>
  <c r="P247" i="12"/>
  <c r="AA247" i="12" s="1"/>
  <c r="O247" i="12" a="1"/>
  <c r="O247" i="12" s="1"/>
  <c r="Z247" i="12" s="1"/>
  <c r="AB246" i="12"/>
  <c r="P246" i="12"/>
  <c r="AA246" i="12" s="1"/>
  <c r="O246" i="12" a="1"/>
  <c r="O246" i="12" s="1"/>
  <c r="Z246" i="12" s="1"/>
  <c r="O245" i="12" a="1"/>
  <c r="O245" i="12" s="1"/>
  <c r="Z245" i="12" s="1"/>
  <c r="O244" i="12" a="1"/>
  <c r="O244" i="12" s="1"/>
  <c r="Z244" i="12" s="1"/>
  <c r="O243" i="12" a="1"/>
  <c r="O243" i="12" s="1"/>
  <c r="P242" i="12"/>
  <c r="O242" i="12" a="1"/>
  <c r="O242" i="12" s="1"/>
  <c r="O241" i="12" a="1"/>
  <c r="O241" i="12" s="1"/>
  <c r="P240" i="12"/>
  <c r="O240" i="12" a="1"/>
  <c r="O240" i="12" s="1"/>
  <c r="O239" i="12" a="1"/>
  <c r="O239" i="12" s="1"/>
  <c r="P238" i="12"/>
  <c r="O238" i="12" a="1"/>
  <c r="O238" i="12" s="1"/>
  <c r="P237" i="12"/>
  <c r="O237" i="12" a="1"/>
  <c r="O237" i="12" s="1"/>
  <c r="P236" i="12"/>
  <c r="O236" i="12" a="1"/>
  <c r="O236" i="12" s="1"/>
  <c r="O235" i="12" a="1"/>
  <c r="O235" i="12" s="1"/>
  <c r="AB234" i="12"/>
  <c r="P234" i="12"/>
  <c r="AA234" i="12" s="1"/>
  <c r="O234" i="12" a="1"/>
  <c r="O234" i="12" s="1"/>
  <c r="Z234" i="12" s="1"/>
  <c r="P233" i="12"/>
  <c r="AA233" i="12" s="1"/>
  <c r="O233" i="12" a="1"/>
  <c r="O233" i="12" s="1"/>
  <c r="Z233" i="12" s="1"/>
  <c r="P232" i="12"/>
  <c r="AA232" i="12" s="1"/>
  <c r="O232" i="12" a="1"/>
  <c r="O232" i="12" s="1"/>
  <c r="Z232" i="12" s="1"/>
  <c r="O231" i="12" a="1"/>
  <c r="O231" i="12" s="1"/>
  <c r="Z231" i="12" s="1"/>
  <c r="P230" i="12"/>
  <c r="AA230" i="12" s="1"/>
  <c r="O230" i="12" a="1"/>
  <c r="O230" i="12" s="1"/>
  <c r="Z230" i="12" s="1"/>
  <c r="P229" i="12"/>
  <c r="AA229" i="12" s="1"/>
  <c r="O229" i="12" a="1"/>
  <c r="O229" i="12" s="1"/>
  <c r="Z229" i="12" s="1"/>
  <c r="O228" i="12" a="1"/>
  <c r="O228" i="12" s="1"/>
  <c r="Z228" i="12" s="1"/>
  <c r="O227" i="12" a="1"/>
  <c r="O227" i="12" s="1"/>
  <c r="Z227" i="12" s="1"/>
  <c r="O226" i="12" a="1"/>
  <c r="O226" i="12" s="1"/>
  <c r="Z226" i="12" s="1"/>
  <c r="P225" i="12"/>
  <c r="AA225" i="12" s="1"/>
  <c r="O225" i="12" a="1"/>
  <c r="O225" i="12" s="1"/>
  <c r="Z225" i="12" s="1"/>
  <c r="O224" i="12" a="1"/>
  <c r="O224" i="12" s="1"/>
  <c r="Z224" i="12" s="1"/>
  <c r="O183" i="12" a="1"/>
  <c r="O183" i="12" s="1"/>
  <c r="O182" i="12" a="1"/>
  <c r="O182" i="12" s="1"/>
  <c r="P181" i="12"/>
  <c r="O181" i="12" a="1"/>
  <c r="O181" i="12" s="1"/>
  <c r="O180" i="12" a="1"/>
  <c r="O180" i="12" s="1"/>
  <c r="P179" i="12"/>
  <c r="O179" i="12" a="1"/>
  <c r="O179" i="12" s="1"/>
  <c r="O178" i="12" a="1"/>
  <c r="O178" i="12" s="1"/>
  <c r="Z178" i="12" s="1"/>
  <c r="AB177" i="12"/>
  <c r="P177" i="12"/>
  <c r="AA177" i="12" s="1"/>
  <c r="O177" i="12" a="1"/>
  <c r="O177" i="12" s="1"/>
  <c r="Z177" i="12" s="1"/>
  <c r="AB176" i="12"/>
  <c r="P176" i="12"/>
  <c r="AA176" i="12" s="1"/>
  <c r="O176" i="12" a="1"/>
  <c r="O176" i="12" s="1"/>
  <c r="Z176" i="12" s="1"/>
  <c r="P172" i="12"/>
  <c r="O172" i="12" a="1"/>
  <c r="O172" i="12" s="1"/>
  <c r="O171" i="12" a="1"/>
  <c r="O171" i="12" s="1"/>
  <c r="O170" i="12" a="1"/>
  <c r="O170" i="12" s="1"/>
  <c r="P169" i="12"/>
  <c r="O169" i="12" a="1"/>
  <c r="O169" i="12" s="1"/>
  <c r="O168" i="12" a="1"/>
  <c r="O168" i="12" s="1"/>
  <c r="P167" i="12"/>
  <c r="O167" i="12" a="1"/>
  <c r="O167" i="12" s="1"/>
  <c r="O166" i="12" a="1"/>
  <c r="O166" i="12" s="1"/>
  <c r="P165" i="12"/>
  <c r="O165" i="12" a="1"/>
  <c r="O165" i="12" s="1"/>
  <c r="O164" i="12" a="1"/>
  <c r="O164" i="12" s="1"/>
  <c r="P163" i="12"/>
  <c r="O163" i="12" a="1"/>
  <c r="O163" i="12" s="1"/>
  <c r="O162" i="12" a="1"/>
  <c r="O162" i="12" s="1"/>
  <c r="P161" i="12"/>
  <c r="AA161" i="12" s="1"/>
  <c r="O161" i="12" a="1"/>
  <c r="O161" i="12" s="1"/>
  <c r="Z161" i="12" s="1"/>
  <c r="P160" i="12"/>
  <c r="AA160" i="12" s="1"/>
  <c r="O160" i="12" a="1"/>
  <c r="O160" i="12" s="1"/>
  <c r="Z160" i="12" s="1"/>
  <c r="O142" i="12" a="1"/>
  <c r="O142" i="12" s="1"/>
  <c r="P141" i="12"/>
  <c r="O141" i="12" a="1"/>
  <c r="O141" i="12" s="1"/>
  <c r="O140" i="12" a="1"/>
  <c r="O140" i="12" s="1"/>
  <c r="P139" i="12"/>
  <c r="O139" i="12" a="1"/>
  <c r="O139" i="12" s="1"/>
  <c r="O138" i="12" a="1"/>
  <c r="O138" i="12" s="1"/>
  <c r="P137" i="12"/>
  <c r="O137" i="12" a="1"/>
  <c r="O137" i="12" s="1"/>
  <c r="O136" i="12" a="1"/>
  <c r="O136" i="12" s="1"/>
  <c r="P135" i="12"/>
  <c r="O135" i="12" a="1"/>
  <c r="O135" i="12" s="1"/>
  <c r="O134" i="12" a="1"/>
  <c r="O134" i="12" s="1"/>
  <c r="P133" i="12"/>
  <c r="O133" i="12" a="1"/>
  <c r="O133" i="12" s="1"/>
  <c r="O132" i="12" a="1"/>
  <c r="O132" i="12" s="1"/>
  <c r="P131" i="12"/>
  <c r="O131" i="12" a="1"/>
  <c r="O131" i="12" s="1"/>
  <c r="O130" i="12" a="1"/>
  <c r="O130" i="12" s="1"/>
  <c r="Z130" i="12" s="1"/>
  <c r="AB129" i="12"/>
  <c r="P129" i="12"/>
  <c r="AA129" i="12" s="1"/>
  <c r="O129" i="12" a="1"/>
  <c r="O129" i="12" s="1"/>
  <c r="Z129" i="12" s="1"/>
  <c r="O128" i="12" a="1"/>
  <c r="O128" i="12" s="1"/>
  <c r="Z128" i="12" s="1"/>
  <c r="AB127" i="12"/>
  <c r="P127" i="12"/>
  <c r="AA127" i="12" s="1"/>
  <c r="O127" i="12" a="1"/>
  <c r="O127" i="12" s="1"/>
  <c r="Z127" i="12" s="1"/>
  <c r="O126" i="12" a="1"/>
  <c r="O126" i="12" s="1"/>
  <c r="Z126" i="12" s="1"/>
  <c r="AB125" i="12"/>
  <c r="P125" i="12"/>
  <c r="AA125" i="12" s="1"/>
  <c r="O125" i="12" a="1"/>
  <c r="O125" i="12" s="1"/>
  <c r="Z125" i="12" s="1"/>
  <c r="O124" i="12" a="1"/>
  <c r="O124" i="12" s="1"/>
  <c r="Z124" i="12" s="1"/>
  <c r="AB123" i="12"/>
  <c r="P123" i="12"/>
  <c r="AA123" i="12" s="1"/>
  <c r="O123" i="12" a="1"/>
  <c r="O123" i="12" s="1"/>
  <c r="Z123" i="12" s="1"/>
  <c r="AB122" i="12"/>
  <c r="P122" i="12"/>
  <c r="AA122" i="12" s="1"/>
  <c r="O122" i="12" a="1"/>
  <c r="O122" i="12" s="1"/>
  <c r="Z122" i="12" s="1"/>
  <c r="O121" i="12" a="1"/>
  <c r="O121" i="12" s="1"/>
  <c r="Z121" i="12" s="1"/>
  <c r="AB120" i="12"/>
  <c r="P120" i="12"/>
  <c r="AA120" i="12" s="1"/>
  <c r="O120" i="12" a="1"/>
  <c r="O120" i="12" s="1"/>
  <c r="Z120" i="12" s="1"/>
  <c r="O119" i="12" a="1"/>
  <c r="O119" i="12" s="1"/>
  <c r="Z119" i="12" s="1"/>
  <c r="AB118" i="12"/>
  <c r="P118" i="12"/>
  <c r="AA118" i="12" s="1"/>
  <c r="O118" i="12" a="1"/>
  <c r="O118" i="12" s="1"/>
  <c r="Z118" i="12" s="1"/>
  <c r="O117" i="12" a="1"/>
  <c r="O117" i="12" s="1"/>
  <c r="Z117" i="12" s="1"/>
  <c r="AB116" i="12"/>
  <c r="P116" i="12"/>
  <c r="AA116" i="12" s="1"/>
  <c r="O116" i="12" a="1"/>
  <c r="O116" i="12" s="1"/>
  <c r="Z116" i="12" s="1"/>
  <c r="P115" i="12"/>
  <c r="O115" i="12" a="1"/>
  <c r="O115" i="12" s="1"/>
  <c r="O114" i="12" a="1"/>
  <c r="O114" i="12" s="1"/>
  <c r="P113" i="12"/>
  <c r="O113" i="12" a="1"/>
  <c r="O113" i="12" s="1"/>
  <c r="O112" i="12" a="1"/>
  <c r="O112" i="12" s="1"/>
  <c r="P111" i="12"/>
  <c r="O111" i="12" a="1"/>
  <c r="O111" i="12" s="1"/>
  <c r="O110" i="12" a="1"/>
  <c r="O110" i="12" s="1"/>
  <c r="P109" i="12"/>
  <c r="O109" i="12" a="1"/>
  <c r="O109" i="12" s="1"/>
  <c r="O108" i="12" a="1"/>
  <c r="O108" i="12" s="1"/>
  <c r="Z108" i="12" s="1"/>
  <c r="AB107" i="12"/>
  <c r="P107" i="12"/>
  <c r="AA107" i="12" s="1"/>
  <c r="O107" i="12" a="1"/>
  <c r="O107" i="12" s="1"/>
  <c r="Z107" i="12" s="1"/>
  <c r="O106" i="12" a="1"/>
  <c r="O106" i="12" s="1"/>
  <c r="Z106" i="12" s="1"/>
  <c r="O92" i="12" a="1"/>
  <c r="O92" i="12" s="1"/>
  <c r="Z92" i="12" s="1"/>
  <c r="O91" i="12" a="1"/>
  <c r="O91" i="12" s="1"/>
  <c r="Z91" i="12" s="1"/>
  <c r="O90" i="12" a="1"/>
  <c r="O90" i="12" s="1"/>
  <c r="Z90" i="12" s="1"/>
  <c r="O89" i="12" a="1"/>
  <c r="O89" i="12" s="1"/>
  <c r="P88" i="12"/>
  <c r="O88" i="12" a="1"/>
  <c r="O88" i="12" s="1"/>
  <c r="P87" i="12"/>
  <c r="O87" i="12" a="1"/>
  <c r="O87" i="12" s="1"/>
  <c r="O86" i="12" a="1"/>
  <c r="O86" i="12" s="1"/>
  <c r="O85" i="12" a="1"/>
  <c r="O85" i="12" s="1"/>
  <c r="P84" i="12"/>
  <c r="O84" i="12" a="1"/>
  <c r="O84" i="12" s="1"/>
  <c r="P83" i="12"/>
  <c r="O83" i="12" a="1"/>
  <c r="O83" i="12" s="1"/>
  <c r="O82" i="12" a="1"/>
  <c r="O82" i="12" s="1"/>
  <c r="O81" i="12" a="1"/>
  <c r="O81" i="12" s="1"/>
  <c r="P80" i="12"/>
  <c r="O80" i="12" a="1"/>
  <c r="O80" i="12" s="1"/>
  <c r="P79" i="12"/>
  <c r="AA79" i="12" s="1"/>
  <c r="O79" i="12" a="1"/>
  <c r="O79" i="12" s="1"/>
  <c r="Z79" i="12" s="1"/>
  <c r="O78" i="12" a="1"/>
  <c r="O78" i="12" s="1"/>
  <c r="Z78" i="12" s="1"/>
  <c r="O77" i="12" a="1"/>
  <c r="O77" i="12" s="1"/>
  <c r="Z77" i="12" s="1"/>
  <c r="O5" i="12" a="1"/>
  <c r="O5" i="12" s="1"/>
  <c r="Z601" i="12" l="1"/>
  <c r="Z598" i="12"/>
  <c r="Z597" i="12"/>
  <c r="Z586" i="12"/>
  <c r="Z585" i="12"/>
  <c r="Z584" i="12"/>
  <c r="Z583" i="12"/>
  <c r="Z582" i="12"/>
  <c r="Z581" i="12"/>
  <c r="Z580" i="12"/>
  <c r="Z579" i="12"/>
  <c r="Z578" i="12"/>
  <c r="Z577" i="12"/>
  <c r="Z576" i="12"/>
  <c r="Z575" i="12"/>
  <c r="Z574" i="12"/>
  <c r="Z573" i="12"/>
  <c r="Z572" i="12"/>
  <c r="Z571" i="12"/>
  <c r="Z570" i="12"/>
  <c r="Z569" i="12"/>
  <c r="Z568" i="12"/>
  <c r="Z567" i="12"/>
  <c r="Z566" i="12"/>
  <c r="Z565" i="12"/>
  <c r="Z564" i="12"/>
  <c r="Z563" i="12"/>
  <c r="Z562" i="12"/>
  <c r="Z556" i="12"/>
  <c r="Z555" i="12"/>
  <c r="Z554" i="12"/>
  <c r="Z553" i="12"/>
  <c r="Z552" i="12"/>
  <c r="Z551" i="12"/>
  <c r="Z550" i="12"/>
  <c r="Z549" i="12"/>
  <c r="Z548" i="12"/>
  <c r="Z547" i="12"/>
  <c r="Z546" i="12"/>
  <c r="Z545" i="12"/>
  <c r="Z544" i="12"/>
  <c r="Z543" i="12"/>
  <c r="Z542" i="12"/>
  <c r="Z541" i="12"/>
  <c r="Z540" i="12"/>
  <c r="Z539" i="12"/>
  <c r="Z538" i="12"/>
  <c r="Z537" i="12"/>
  <c r="Z536" i="12"/>
  <c r="Z535" i="12"/>
  <c r="Z434" i="12"/>
  <c r="Z433" i="12"/>
  <c r="Z432" i="12"/>
  <c r="Z431" i="12"/>
  <c r="Z430" i="12"/>
  <c r="Z429" i="12"/>
  <c r="Z413" i="12"/>
  <c r="Z412" i="12"/>
  <c r="Z411" i="12"/>
  <c r="Z410" i="12"/>
  <c r="Z409" i="12"/>
  <c r="Z398" i="12"/>
  <c r="Z397" i="12"/>
  <c r="Z396" i="12"/>
  <c r="Z395" i="12"/>
  <c r="Z394" i="12"/>
  <c r="Z393" i="12"/>
  <c r="Z392" i="12"/>
  <c r="Z391" i="12"/>
  <c r="Z390" i="12"/>
  <c r="Z389" i="12"/>
  <c r="Z388" i="12"/>
  <c r="Z387" i="12"/>
  <c r="Z386" i="12"/>
  <c r="Z385" i="12"/>
  <c r="Z384" i="12"/>
  <c r="Z375" i="12"/>
  <c r="Z374" i="12"/>
  <c r="Z373" i="12"/>
  <c r="Z370" i="12"/>
  <c r="Z369" i="12"/>
  <c r="Z368" i="12"/>
  <c r="Z367" i="12"/>
  <c r="Z366" i="12"/>
  <c r="Z365" i="12"/>
  <c r="Z364" i="12"/>
  <c r="Z363" i="12"/>
  <c r="Z362" i="12"/>
  <c r="Z361" i="12"/>
  <c r="Z349" i="12"/>
  <c r="Z348" i="12"/>
  <c r="Z347" i="12"/>
  <c r="Z346" i="12"/>
  <c r="Z345" i="12"/>
  <c r="Z344" i="12"/>
  <c r="Z343" i="12"/>
  <c r="Z342" i="12"/>
  <c r="Z341" i="12"/>
  <c r="Z340" i="12"/>
  <c r="Z339" i="12"/>
  <c r="Z338" i="12"/>
  <c r="Z337" i="12"/>
  <c r="Z336" i="12"/>
  <c r="Z335" i="12"/>
  <c r="Z334" i="12"/>
  <c r="Z333" i="12"/>
  <c r="Z332" i="12"/>
  <c r="Z331" i="12"/>
  <c r="Z330" i="12"/>
  <c r="Z329" i="12"/>
  <c r="Z328" i="12"/>
  <c r="Z327" i="12"/>
  <c r="Z326" i="12"/>
  <c r="Z325" i="12"/>
  <c r="Z324" i="12"/>
  <c r="Z323" i="12"/>
  <c r="Z320" i="12"/>
  <c r="Z319" i="12"/>
  <c r="Z318" i="12"/>
  <c r="Z317" i="12"/>
  <c r="Z316" i="12"/>
  <c r="Z315" i="12"/>
  <c r="Z314" i="12"/>
  <c r="Z313" i="12"/>
  <c r="Z312" i="12"/>
  <c r="Z311" i="12"/>
  <c r="Z310" i="12"/>
  <c r="Z309" i="12"/>
  <c r="Z308" i="12"/>
  <c r="Z307" i="12"/>
  <c r="Z306" i="12"/>
  <c r="Z305" i="12"/>
  <c r="Z304" i="12"/>
  <c r="Z303" i="12"/>
  <c r="Z302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66" i="12"/>
  <c r="Z265" i="12"/>
  <c r="Z260" i="12"/>
  <c r="O31" i="12" a="1"/>
  <c r="O31" i="12" s="1"/>
  <c r="O30" i="12" a="1"/>
  <c r="O30" i="12" s="1"/>
  <c r="O29" i="12" a="1"/>
  <c r="O29" i="12" s="1"/>
  <c r="O28" i="12" a="1"/>
  <c r="O28" i="12" s="1"/>
  <c r="O27" i="12" a="1"/>
  <c r="O27" i="12" s="1"/>
  <c r="O26" i="12" a="1"/>
  <c r="O26" i="12" s="1"/>
  <c r="O25" i="12" a="1"/>
  <c r="O25" i="12" s="1"/>
  <c r="O24" i="12" a="1"/>
  <c r="O24" i="12" s="1"/>
  <c r="O23" i="12" a="1"/>
  <c r="O23" i="12" s="1"/>
  <c r="O22" i="12" a="1"/>
  <c r="O22" i="12" s="1"/>
  <c r="O21" i="12" a="1"/>
  <c r="O21" i="12" s="1"/>
  <c r="O20" i="12" a="1"/>
  <c r="O20" i="12" s="1"/>
  <c r="O19" i="12" a="1"/>
  <c r="O19" i="12" s="1"/>
  <c r="O18" i="12" a="1"/>
  <c r="O18" i="12" s="1"/>
  <c r="O17" i="12" a="1"/>
  <c r="O17" i="12" s="1"/>
  <c r="O16" i="12" a="1"/>
  <c r="O16" i="12" s="1"/>
  <c r="O15" i="12" a="1"/>
  <c r="O15" i="12" s="1"/>
  <c r="O14" i="12" a="1"/>
  <c r="O14" i="12" s="1"/>
  <c r="O13" i="12" a="1"/>
  <c r="O13" i="12" s="1"/>
  <c r="O12" i="12" a="1"/>
  <c r="O12" i="12" s="1"/>
  <c r="O11" i="12" a="1"/>
  <c r="O11" i="12" s="1"/>
  <c r="O10" i="12" a="1"/>
  <c r="O10" i="12" s="1"/>
  <c r="O9" i="12" a="1"/>
  <c r="O9" i="12" s="1"/>
  <c r="O8" i="12" a="1"/>
  <c r="O8" i="12" s="1"/>
  <c r="O7" i="12" a="1"/>
  <c r="O7" i="12" s="1"/>
  <c r="O6" i="12" a="1"/>
  <c r="O6" i="12" s="1"/>
  <c r="AA279" i="12"/>
  <c r="AB279" i="12"/>
  <c r="AA281" i="12"/>
  <c r="AB281" i="12"/>
  <c r="AA282" i="12"/>
  <c r="AB282" i="12"/>
  <c r="AA283" i="12"/>
  <c r="AB283" i="12"/>
  <c r="AA285" i="12"/>
  <c r="AB285" i="12"/>
  <c r="AA287" i="12"/>
  <c r="AB287" i="12"/>
  <c r="AA288" i="12"/>
  <c r="AB288" i="12"/>
  <c r="AA289" i="12"/>
  <c r="AB289" i="12"/>
  <c r="AA303" i="12"/>
  <c r="AB303" i="12"/>
  <c r="AA304" i="12"/>
  <c r="AB304" i="12"/>
  <c r="AA308" i="12"/>
  <c r="AB308" i="12"/>
  <c r="AA309" i="12"/>
  <c r="AB309" i="12"/>
  <c r="AA317" i="12"/>
  <c r="AB317" i="12"/>
  <c r="AA319" i="12"/>
  <c r="AB319" i="12"/>
  <c r="AA323" i="12"/>
  <c r="AB323" i="12"/>
  <c r="AA324" i="12"/>
  <c r="AB324" i="12"/>
  <c r="AA325" i="12"/>
  <c r="AB325" i="12"/>
  <c r="AA326" i="12"/>
  <c r="AB326" i="12"/>
  <c r="AA327" i="12"/>
  <c r="AB327" i="12"/>
  <c r="AA328" i="12"/>
  <c r="AB328" i="12"/>
  <c r="AA329" i="12"/>
  <c r="AB329" i="12"/>
  <c r="AA330" i="12"/>
  <c r="AB330" i="12"/>
  <c r="AA334" i="12"/>
  <c r="AB334" i="12"/>
  <c r="AA336" i="12"/>
  <c r="AB336" i="12"/>
  <c r="AA338" i="12"/>
  <c r="AB338" i="12"/>
  <c r="AA340" i="12"/>
  <c r="AB340" i="12"/>
  <c r="AA341" i="12"/>
  <c r="AB341" i="12"/>
  <c r="AA342" i="12"/>
  <c r="AB342" i="12"/>
  <c r="AA343" i="12"/>
  <c r="AB343" i="12"/>
  <c r="AA344" i="12"/>
  <c r="AB344" i="12"/>
  <c r="AA345" i="12"/>
  <c r="AB345" i="12"/>
  <c r="AA346" i="12"/>
  <c r="AB346" i="12"/>
  <c r="AA347" i="12"/>
  <c r="AB347" i="12"/>
  <c r="AA349" i="12"/>
  <c r="AB349" i="12"/>
  <c r="AA361" i="12"/>
  <c r="AB361" i="12"/>
  <c r="AA362" i="12"/>
  <c r="AB362" i="12"/>
  <c r="AA363" i="12"/>
  <c r="AB363" i="12"/>
  <c r="AA364" i="12"/>
  <c r="AB364" i="12"/>
  <c r="AA365" i="12"/>
  <c r="AB365" i="12"/>
  <c r="AA366" i="12"/>
  <c r="AB366" i="12"/>
  <c r="AA369" i="12"/>
  <c r="AB369" i="12"/>
  <c r="AA370" i="12"/>
  <c r="AB370" i="12"/>
  <c r="AA374" i="12"/>
  <c r="AB374" i="12"/>
  <c r="AA384" i="12"/>
  <c r="AB384" i="12"/>
  <c r="AA386" i="12"/>
  <c r="AB386" i="12"/>
  <c r="AA387" i="12"/>
  <c r="AB387" i="12"/>
  <c r="AA388" i="12"/>
  <c r="AB388" i="12"/>
  <c r="AA390" i="12"/>
  <c r="AB390" i="12"/>
  <c r="AA392" i="12"/>
  <c r="AB392" i="12"/>
  <c r="AA393" i="12"/>
  <c r="AB393" i="12"/>
  <c r="AA394" i="12"/>
  <c r="AB394" i="12"/>
  <c r="AA398" i="12"/>
  <c r="AB398" i="12"/>
  <c r="AA410" i="12"/>
  <c r="AB410" i="12"/>
  <c r="AA412" i="12"/>
  <c r="AB412" i="12"/>
  <c r="AA429" i="12"/>
  <c r="AB429" i="12"/>
  <c r="AA430" i="12"/>
  <c r="AB430" i="12"/>
  <c r="AA433" i="12"/>
  <c r="AB433" i="12"/>
  <c r="AA434" i="12"/>
  <c r="AB434" i="12"/>
  <c r="AA537" i="12"/>
  <c r="AB537" i="12"/>
  <c r="AA538" i="12"/>
  <c r="AB538" i="12"/>
  <c r="AA539" i="12"/>
  <c r="AB539" i="12"/>
  <c r="AA540" i="12"/>
  <c r="AB540" i="12"/>
  <c r="AA541" i="12"/>
  <c r="AB541" i="12"/>
  <c r="AA542" i="12"/>
  <c r="AB542" i="12"/>
  <c r="AA543" i="12"/>
  <c r="AB543" i="12"/>
  <c r="AA544" i="12"/>
  <c r="AB544" i="12"/>
  <c r="AA545" i="12"/>
  <c r="AB545" i="12"/>
  <c r="AA546" i="12"/>
  <c r="AB546" i="12"/>
  <c r="AA548" i="12"/>
  <c r="AB548" i="12"/>
  <c r="AA549" i="12"/>
  <c r="AB549" i="12"/>
  <c r="AA550" i="12"/>
  <c r="AB550" i="12"/>
  <c r="AA551" i="12"/>
  <c r="AB551" i="12"/>
  <c r="AA552" i="12"/>
  <c r="AB552" i="12"/>
  <c r="AA553" i="12"/>
  <c r="AB553" i="12"/>
  <c r="AA554" i="12"/>
  <c r="AB554" i="12"/>
  <c r="AA555" i="12"/>
  <c r="AB555" i="12"/>
  <c r="AA562" i="12"/>
  <c r="AB562" i="12"/>
  <c r="AA563" i="12"/>
  <c r="AB563" i="12"/>
  <c r="AA564" i="12"/>
  <c r="AB564" i="12"/>
  <c r="AA565" i="12"/>
  <c r="AB565" i="12"/>
  <c r="AA566" i="12"/>
  <c r="AB566" i="12"/>
  <c r="AA567" i="12"/>
  <c r="AB567" i="12"/>
  <c r="AA568" i="12"/>
  <c r="AB568" i="12"/>
  <c r="AA570" i="12"/>
  <c r="AB570" i="12"/>
  <c r="AA572" i="12"/>
  <c r="AB572" i="12"/>
  <c r="AA573" i="12"/>
  <c r="AB573" i="12"/>
  <c r="AA574" i="12"/>
  <c r="AB574" i="12"/>
  <c r="AA575" i="12"/>
  <c r="AB575" i="12"/>
  <c r="AA576" i="12"/>
  <c r="AB576" i="12"/>
  <c r="AA577" i="12"/>
  <c r="AB577" i="12"/>
  <c r="AA578" i="12"/>
  <c r="AB578" i="12"/>
  <c r="AA579" i="12"/>
  <c r="AB579" i="12"/>
  <c r="AA581" i="12"/>
  <c r="AB581" i="12"/>
  <c r="AA582" i="12"/>
  <c r="AB582" i="12"/>
  <c r="AA583" i="12"/>
  <c r="AB583" i="12"/>
  <c r="AA585" i="12"/>
  <c r="AB585" i="12"/>
  <c r="AA597" i="12"/>
  <c r="AB597" i="12"/>
  <c r="AA598" i="12"/>
  <c r="AB598" i="12"/>
  <c r="AA601" i="12"/>
  <c r="AB601" i="12"/>
  <c r="Z4" i="12" l="1"/>
  <c r="Z259" i="12"/>
  <c r="Z258" i="12"/>
  <c r="Z257" i="12"/>
  <c r="Z256" i="12"/>
  <c r="Z255" i="12"/>
  <c r="Z254" i="12"/>
  <c r="Z253" i="12"/>
  <c r="Z243" i="12"/>
  <c r="Z242" i="12"/>
  <c r="Z241" i="12"/>
  <c r="Z240" i="12"/>
  <c r="Z239" i="12"/>
  <c r="Z238" i="12"/>
  <c r="Z237" i="12"/>
  <c r="Z236" i="12"/>
  <c r="Z235" i="12"/>
  <c r="Z183" i="12"/>
  <c r="Z182" i="12"/>
  <c r="Z181" i="12"/>
  <c r="Z180" i="12"/>
  <c r="Z179" i="12"/>
  <c r="Z172" i="12"/>
  <c r="Z171" i="12"/>
  <c r="Z170" i="12"/>
  <c r="Z169" i="12"/>
  <c r="Z168" i="12"/>
  <c r="Z167" i="12"/>
  <c r="Z166" i="12"/>
  <c r="Z165" i="12"/>
  <c r="Z164" i="12"/>
  <c r="Z163" i="12"/>
  <c r="Z162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15" i="12"/>
  <c r="Z114" i="12"/>
  <c r="Z113" i="12"/>
  <c r="Z112" i="12"/>
  <c r="Z111" i="12"/>
  <c r="Z110" i="12"/>
  <c r="Z109" i="12"/>
  <c r="Z89" i="12"/>
  <c r="Z88" i="12"/>
  <c r="Z87" i="12"/>
  <c r="Z86" i="12"/>
  <c r="Z85" i="12"/>
  <c r="Z84" i="12"/>
  <c r="Z83" i="12"/>
  <c r="Z82" i="12"/>
  <c r="Z81" i="12"/>
  <c r="Z80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 l="1"/>
  <c r="AB258" i="12" l="1"/>
  <c r="AB256" i="12"/>
  <c r="AB254" i="12"/>
  <c r="AB242" i="12"/>
  <c r="AB240" i="12"/>
  <c r="AB238" i="12"/>
  <c r="AB237" i="12"/>
  <c r="AB236" i="12"/>
  <c r="AB181" i="12"/>
  <c r="AB179" i="12"/>
  <c r="AB172" i="12"/>
  <c r="AB169" i="12"/>
  <c r="AB167" i="12"/>
  <c r="AB165" i="12"/>
  <c r="AB163" i="12"/>
  <c r="AB141" i="12"/>
  <c r="AB139" i="12"/>
  <c r="AB137" i="12"/>
  <c r="AB135" i="12"/>
  <c r="AB133" i="12"/>
  <c r="AB131" i="12"/>
  <c r="AB115" i="12"/>
  <c r="AB88" i="12"/>
  <c r="AB87" i="12"/>
  <c r="AB84" i="12"/>
  <c r="AB83" i="12"/>
  <c r="AB80" i="12"/>
  <c r="AB31" i="12"/>
  <c r="AB30" i="12"/>
  <c r="AB8" i="12"/>
  <c r="AB6" i="12"/>
  <c r="AB5" i="12"/>
  <c r="AA258" i="12"/>
  <c r="AA256" i="12"/>
  <c r="AA254" i="12"/>
  <c r="AA242" i="12"/>
  <c r="AA240" i="12"/>
  <c r="AA238" i="12"/>
  <c r="AA237" i="12"/>
  <c r="AA236" i="12"/>
  <c r="AA181" i="12"/>
  <c r="AA179" i="12"/>
  <c r="AA172" i="12"/>
  <c r="AA169" i="12"/>
  <c r="AA167" i="12"/>
  <c r="AA165" i="12"/>
  <c r="AA163" i="12"/>
  <c r="AA141" i="12"/>
  <c r="AA139" i="12"/>
  <c r="AA137" i="12"/>
  <c r="AA135" i="12"/>
  <c r="AA133" i="12"/>
  <c r="AA131" i="12"/>
  <c r="AA115" i="12"/>
  <c r="AA88" i="12"/>
  <c r="AA87" i="12"/>
  <c r="AA84" i="12"/>
  <c r="AA83" i="12"/>
  <c r="AA80" i="12"/>
  <c r="P31" i="12"/>
  <c r="AA31" i="12" s="1"/>
  <c r="P30" i="12"/>
  <c r="AA30" i="12" s="1"/>
  <c r="P8" i="12"/>
  <c r="AA8" i="12" s="1"/>
  <c r="P6" i="12"/>
  <c r="AA6" i="12" s="1"/>
  <c r="P5" i="12"/>
  <c r="AA5" i="12" s="1"/>
  <c r="A6" i="12" l="1"/>
  <c r="B6" i="12" s="1"/>
  <c r="B5" i="12"/>
  <c r="A7" i="12" l="1"/>
  <c r="A8" i="12" l="1"/>
  <c r="B7" i="12"/>
  <c r="AB183" i="12" l="1"/>
  <c r="P183" i="12"/>
  <c r="AA183" i="12" s="1"/>
  <c r="A9" i="12"/>
  <c r="B8" i="12"/>
  <c r="A10" i="12" l="1"/>
  <c r="B9" i="12"/>
  <c r="A11" i="12" l="1"/>
  <c r="B10" i="12"/>
  <c r="B11" i="12" l="1"/>
  <c r="A12" i="12"/>
  <c r="A13" i="12" l="1"/>
  <c r="B12" i="12"/>
  <c r="B13" i="12" l="1"/>
  <c r="A14" i="12"/>
  <c r="B14" i="12" l="1"/>
  <c r="A15" i="12"/>
  <c r="A16" i="12" l="1"/>
  <c r="B15" i="12"/>
  <c r="A17" i="12" l="1"/>
  <c r="B16" i="12"/>
  <c r="A18" i="12" l="1"/>
  <c r="B17" i="12"/>
  <c r="B18" i="12" l="1"/>
  <c r="A19" i="12"/>
  <c r="A20" i="12" l="1"/>
  <c r="B19" i="12"/>
  <c r="B20" i="12" l="1"/>
  <c r="A21" i="12"/>
  <c r="B21" i="12" l="1"/>
  <c r="A22" i="12"/>
  <c r="B22" i="12" l="1"/>
  <c r="A23" i="12"/>
  <c r="B23" i="12" l="1"/>
  <c r="A24" i="12"/>
  <c r="B24" i="12" l="1"/>
  <c r="A25" i="12"/>
  <c r="A26" i="12" l="1"/>
  <c r="B25" i="12"/>
  <c r="A27" i="12" l="1"/>
  <c r="B26" i="12"/>
  <c r="B27" i="12" l="1"/>
  <c r="A28" i="12"/>
  <c r="A29" i="12" l="1"/>
  <c r="B28" i="12"/>
  <c r="B29" i="12" l="1"/>
  <c r="A30" i="12"/>
  <c r="A31" i="12" l="1"/>
  <c r="A32" i="12" s="1"/>
  <c r="B30" i="12"/>
  <c r="Q222" i="12" l="1" a="1"/>
  <c r="Q222" i="12" s="1"/>
  <c r="AB222" i="12" s="1"/>
  <c r="P222" i="12"/>
  <c r="AA222" i="12" s="1"/>
  <c r="Q102" i="12" a="1"/>
  <c r="Q102" i="12" s="1"/>
  <c r="AB102" i="12" s="1"/>
  <c r="Q100" i="12" a="1"/>
  <c r="Q100" i="12" s="1"/>
  <c r="AB100" i="12" s="1"/>
  <c r="Q9" i="12" a="1"/>
  <c r="Q9" i="12" s="1"/>
  <c r="AB9" i="12" s="1"/>
  <c r="Q486" i="12" a="1"/>
  <c r="Q486" i="12" s="1"/>
  <c r="AB486" i="12" s="1"/>
  <c r="Q166" i="12" a="1"/>
  <c r="Q166" i="12" s="1"/>
  <c r="AB166" i="12" s="1"/>
  <c r="Q117" i="12" a="1"/>
  <c r="Q117" i="12" s="1"/>
  <c r="AB117" i="12" s="1"/>
  <c r="Q89" i="12" a="1"/>
  <c r="Q89" i="12" s="1"/>
  <c r="AB89" i="12" s="1"/>
  <c r="Q162" i="12" a="1"/>
  <c r="Q162" i="12" s="1"/>
  <c r="AB162" i="12" s="1"/>
  <c r="Q145" i="12" a="1"/>
  <c r="Q145" i="12" s="1"/>
  <c r="AB145" i="12" s="1"/>
  <c r="Q182" i="12" a="1"/>
  <c r="Q182" i="12" s="1"/>
  <c r="AB182" i="12" s="1"/>
  <c r="Q124" i="12" a="1"/>
  <c r="Q124" i="12" s="1"/>
  <c r="AB124" i="12" s="1"/>
  <c r="Q259" i="12" a="1"/>
  <c r="Q259" i="12" s="1"/>
  <c r="AB259" i="12" s="1"/>
  <c r="Q602" i="12" a="1"/>
  <c r="Q602" i="12" s="1"/>
  <c r="AB602" i="12" s="1"/>
  <c r="Q265" i="12" a="1"/>
  <c r="Q265" i="12" s="1"/>
  <c r="AB265" i="12" s="1"/>
  <c r="P658" i="12"/>
  <c r="AA658" i="12" s="1"/>
  <c r="Q91" i="12" a="1"/>
  <c r="Q91" i="12" s="1"/>
  <c r="AB91" i="12" s="1"/>
  <c r="Q465" i="12" a="1"/>
  <c r="Q465" i="12" s="1"/>
  <c r="AB465" i="12" s="1"/>
  <c r="Q375" i="12" a="1"/>
  <c r="Q375" i="12" s="1"/>
  <c r="AB375" i="12" s="1"/>
  <c r="Q112" i="12" a="1"/>
  <c r="Q112" i="12" s="1"/>
  <c r="AB112" i="12" s="1"/>
  <c r="Q121" i="12" a="1"/>
  <c r="Q121" i="12" s="1"/>
  <c r="AB121" i="12" s="1"/>
  <c r="Q188" i="12" a="1"/>
  <c r="Q188" i="12" s="1"/>
  <c r="AB188" i="12" s="1"/>
  <c r="Q114" i="12" a="1"/>
  <c r="Q114" i="12" s="1"/>
  <c r="AB114" i="12" s="1"/>
  <c r="Q180" i="12" a="1"/>
  <c r="Q180" i="12" s="1"/>
  <c r="AB180" i="12" s="1"/>
  <c r="Q658" i="12" a="1"/>
  <c r="Q658" i="12" s="1"/>
  <c r="AB658" i="12" s="1"/>
  <c r="Q108" i="12" a="1"/>
  <c r="Q108" i="12" s="1"/>
  <c r="AB108" i="12" s="1"/>
  <c r="Q168" i="12" a="1"/>
  <c r="Q168" i="12" s="1"/>
  <c r="AB168" i="12" s="1"/>
  <c r="P602" i="12"/>
  <c r="AA602" i="12" s="1"/>
  <c r="P102" i="12"/>
  <c r="AA102" i="12" s="1"/>
  <c r="P100" i="12"/>
  <c r="AA100" i="12" s="1"/>
  <c r="P265" i="12"/>
  <c r="AA265" i="12" s="1"/>
  <c r="P486" i="12"/>
  <c r="AA486" i="12" s="1"/>
  <c r="P188" i="12"/>
  <c r="AA188" i="12" s="1"/>
  <c r="P145" i="12"/>
  <c r="AA145" i="12" s="1"/>
  <c r="B32" i="12"/>
  <c r="A33" i="12"/>
  <c r="P180" i="12"/>
  <c r="AA180" i="12" s="1"/>
  <c r="P465" i="12"/>
  <c r="AA465" i="12" s="1"/>
  <c r="P259" i="12"/>
  <c r="AA259" i="12" s="1"/>
  <c r="P112" i="12"/>
  <c r="AA112" i="12" s="1"/>
  <c r="P166" i="12"/>
  <c r="AA166" i="12" s="1"/>
  <c r="P162" i="12"/>
  <c r="AA162" i="12" s="1"/>
  <c r="P375" i="12"/>
  <c r="AA375" i="12" s="1"/>
  <c r="P182" i="12"/>
  <c r="AA182" i="12" s="1"/>
  <c r="P89" i="12"/>
  <c r="AA89" i="12" s="1"/>
  <c r="P124" i="12"/>
  <c r="AA124" i="12" s="1"/>
  <c r="P114" i="12"/>
  <c r="AA114" i="12" s="1"/>
  <c r="P121" i="12"/>
  <c r="AA121" i="12" s="1"/>
  <c r="P117" i="12"/>
  <c r="AA117" i="12" s="1"/>
  <c r="P108" i="12"/>
  <c r="AA108" i="12" s="1"/>
  <c r="P168" i="12"/>
  <c r="AA168" i="12" s="1"/>
  <c r="P91" i="12"/>
  <c r="AA91" i="12" s="1"/>
  <c r="AB113" i="12"/>
  <c r="AB109" i="12"/>
  <c r="P9" i="12"/>
  <c r="AA9" i="12" s="1"/>
  <c r="AA113" i="12"/>
  <c r="AA109" i="12"/>
  <c r="B31" i="12"/>
  <c r="A34" i="12" l="1"/>
  <c r="B33" i="12"/>
  <c r="B34" i="12" l="1"/>
  <c r="A35" i="12"/>
  <c r="A36" i="12" l="1"/>
  <c r="B35" i="12"/>
  <c r="A37" i="12" l="1"/>
  <c r="B36" i="12"/>
  <c r="A38" i="12" l="1"/>
  <c r="B37" i="12"/>
  <c r="A39" i="12" l="1"/>
  <c r="B38" i="12"/>
  <c r="A40" i="12" l="1"/>
  <c r="B39" i="12"/>
  <c r="A41" i="12" l="1"/>
  <c r="B40" i="12"/>
  <c r="A42" i="12" l="1"/>
  <c r="B41" i="12"/>
  <c r="B42" i="12" l="1"/>
  <c r="A43" i="12"/>
  <c r="A44" i="12" l="1"/>
  <c r="B43" i="12"/>
  <c r="A45" i="12" l="1"/>
  <c r="B44" i="12"/>
  <c r="A46" i="12" l="1"/>
  <c r="B45" i="12"/>
  <c r="A47" i="12" l="1"/>
  <c r="B46" i="12"/>
  <c r="A48" i="12" l="1"/>
  <c r="B47" i="12"/>
  <c r="A49" i="12" l="1"/>
  <c r="B48" i="12"/>
  <c r="A50" i="12" l="1"/>
  <c r="B49" i="12"/>
  <c r="B50" i="12" l="1"/>
  <c r="A51" i="12"/>
  <c r="A52" i="12" l="1"/>
  <c r="B51" i="12"/>
  <c r="AB111" i="12"/>
  <c r="AA111" i="12"/>
  <c r="A53" i="12" l="1"/>
  <c r="B52" i="12"/>
  <c r="A54" i="12" l="1"/>
  <c r="B53" i="12"/>
  <c r="A55" i="12" l="1"/>
  <c r="B54" i="12"/>
  <c r="A56" i="12" l="1"/>
  <c r="B55" i="12"/>
  <c r="A57" i="12" l="1"/>
  <c r="B56" i="12"/>
  <c r="A58" i="12" l="1"/>
  <c r="B57" i="12"/>
  <c r="B58" i="12" l="1"/>
  <c r="A59" i="12"/>
  <c r="A60" i="12" l="1"/>
  <c r="B59" i="12"/>
  <c r="A61" i="12" l="1"/>
  <c r="B60" i="12"/>
  <c r="A62" i="12" l="1"/>
  <c r="B61" i="12"/>
  <c r="A63" i="12" l="1"/>
  <c r="B62" i="12"/>
  <c r="A64" i="12" l="1"/>
  <c r="B63" i="12"/>
  <c r="A65" i="12" l="1"/>
  <c r="B64" i="12"/>
  <c r="A66" i="12" l="1"/>
  <c r="B65" i="12"/>
  <c r="B66" i="12" l="1"/>
  <c r="A67" i="12"/>
  <c r="A68" i="12" l="1"/>
  <c r="B67" i="12"/>
  <c r="A69" i="12" l="1"/>
  <c r="B68" i="12"/>
  <c r="B69" i="12" l="1"/>
  <c r="A70" i="12"/>
  <c r="A71" i="12" l="1"/>
  <c r="B70" i="12"/>
  <c r="A72" i="12" l="1"/>
  <c r="B71" i="12"/>
  <c r="B72" i="12" l="1"/>
  <c r="A73" i="12"/>
  <c r="A74" i="12" l="1"/>
  <c r="B73" i="12"/>
  <c r="A75" i="12" l="1"/>
  <c r="B74" i="12"/>
  <c r="A76" i="12" l="1"/>
  <c r="B75" i="12"/>
  <c r="B76" i="12" l="1"/>
  <c r="A77" i="12"/>
  <c r="A78" i="12" l="1"/>
  <c r="B77" i="12"/>
  <c r="A79" i="12" l="1"/>
  <c r="B78" i="12"/>
  <c r="A80" i="12" l="1"/>
  <c r="B79" i="12"/>
  <c r="Q77" i="12" s="1" a="1"/>
  <c r="Q77" i="12" s="1"/>
  <c r="AB77" i="12" l="1"/>
  <c r="P77" i="12"/>
  <c r="AA77" i="12" s="1"/>
  <c r="A81" i="12"/>
  <c r="B80" i="12"/>
  <c r="B81" i="12" l="1"/>
  <c r="A82" i="12"/>
  <c r="B82" i="12" l="1"/>
  <c r="A83" i="12"/>
  <c r="B83" i="12" l="1"/>
  <c r="Q81" i="12" s="1" a="1"/>
  <c r="Q81" i="12" s="1"/>
  <c r="A84" i="12"/>
  <c r="A85" i="12" l="1"/>
  <c r="B84" i="12"/>
  <c r="AB81" i="12"/>
  <c r="P81" i="12"/>
  <c r="AA81" i="12" s="1"/>
  <c r="B85" i="12" l="1"/>
  <c r="A86" i="12"/>
  <c r="B86" i="12" l="1"/>
  <c r="A87" i="12"/>
  <c r="A88" i="12" l="1"/>
  <c r="B87" i="12"/>
  <c r="Q85" i="12" s="1" a="1"/>
  <c r="Q85" i="12" s="1"/>
  <c r="AB85" i="12" l="1"/>
  <c r="P85" i="12"/>
  <c r="AA85" i="12" s="1"/>
  <c r="A89" i="12"/>
  <c r="B88" i="12"/>
  <c r="B89" i="12" l="1"/>
  <c r="A90" i="12"/>
  <c r="A91" i="12" l="1"/>
  <c r="B90" i="12"/>
  <c r="B91" i="12" l="1"/>
  <c r="A92" i="12"/>
  <c r="A93" i="12" s="1"/>
  <c r="A94" i="12" s="1"/>
  <c r="Q90" i="12" l="1" a="1"/>
  <c r="Q90" i="12" s="1"/>
  <c r="AB90" i="12" s="1"/>
  <c r="Q92" i="12" a="1"/>
  <c r="Q92" i="12" s="1"/>
  <c r="AB92" i="12" s="1"/>
  <c r="Q86" i="12" a="1"/>
  <c r="Q86" i="12" s="1"/>
  <c r="AB86" i="12" s="1"/>
  <c r="Q78" i="12" a="1"/>
  <c r="Q78" i="12" s="1"/>
  <c r="AB78" i="12" s="1"/>
  <c r="Q82" i="12" a="1"/>
  <c r="Q82" i="12" s="1"/>
  <c r="AB82" i="12" s="1"/>
  <c r="A95" i="12"/>
  <c r="A96" i="12" s="1"/>
  <c r="B94" i="12"/>
  <c r="B93" i="12"/>
  <c r="Q13" i="12" s="1" a="1"/>
  <c r="Q13" i="12" s="1"/>
  <c r="B92" i="12"/>
  <c r="P90" i="12"/>
  <c r="AA90" i="12" s="1"/>
  <c r="P78" i="12"/>
  <c r="AA78" i="12" s="1"/>
  <c r="P82" i="12"/>
  <c r="AA82" i="12" s="1"/>
  <c r="P92" i="12"/>
  <c r="AA92" i="12" s="1"/>
  <c r="P86" i="12"/>
  <c r="AA86" i="12" s="1"/>
  <c r="B96" i="12" l="1"/>
  <c r="A97" i="12"/>
  <c r="B95" i="12"/>
  <c r="AB13" i="12"/>
  <c r="P13" i="12"/>
  <c r="AA13" i="12" s="1"/>
  <c r="A98" i="12" l="1"/>
  <c r="B97" i="12"/>
  <c r="P93" i="12"/>
  <c r="AA93" i="12" s="1"/>
  <c r="Q93" i="12" a="1"/>
  <c r="Q93" i="12" s="1"/>
  <c r="AB93" i="12" s="1"/>
  <c r="B98" i="12" l="1"/>
  <c r="A99" i="12"/>
  <c r="Q98" i="12" a="1"/>
  <c r="Q98" i="12" s="1"/>
  <c r="AB98" i="12" s="1"/>
  <c r="P98" i="12"/>
  <c r="AA98" i="12" s="1"/>
  <c r="B99" i="12" l="1"/>
  <c r="A100" i="12"/>
  <c r="A101" i="12" l="1"/>
  <c r="B100" i="12"/>
  <c r="B101" i="12" l="1"/>
  <c r="A102" i="12"/>
  <c r="A103" i="12" l="1"/>
  <c r="B102" i="12"/>
  <c r="Q94" i="12" a="1"/>
  <c r="Q94" i="12" s="1"/>
  <c r="AB94" i="12" s="1"/>
  <c r="P94" i="12"/>
  <c r="AA94" i="12" s="1"/>
  <c r="A104" i="12" l="1"/>
  <c r="B103" i="12"/>
  <c r="Q95" i="12" l="1" a="1"/>
  <c r="Q95" i="12" s="1"/>
  <c r="AB95" i="12" s="1"/>
  <c r="P95" i="12"/>
  <c r="AA95" i="12" s="1"/>
  <c r="A105" i="12"/>
  <c r="B104" i="12"/>
  <c r="B105" i="12" l="1"/>
  <c r="A106" i="12"/>
  <c r="B106" i="12" l="1"/>
  <c r="A107" i="12"/>
  <c r="B107" i="12" l="1"/>
  <c r="A108" i="12"/>
  <c r="B108" i="12" l="1"/>
  <c r="A109" i="12"/>
  <c r="A110" i="12" l="1"/>
  <c r="B109" i="12"/>
  <c r="Q106" i="12" l="1" a="1"/>
  <c r="Q106" i="12" s="1"/>
  <c r="AB106" i="12" s="1"/>
  <c r="P106" i="12"/>
  <c r="AA106" i="12" s="1"/>
  <c r="B110" i="12"/>
  <c r="A111" i="12"/>
  <c r="A112" i="12" l="1"/>
  <c r="B111" i="12"/>
  <c r="B112" i="12" l="1"/>
  <c r="A113" i="12"/>
  <c r="B113" i="12" l="1"/>
  <c r="A114" i="12"/>
  <c r="AB103" i="12"/>
  <c r="P103" i="12"/>
  <c r="AA103" i="12" s="1"/>
  <c r="A115" i="12" l="1"/>
  <c r="B114" i="12"/>
  <c r="Q110" i="12" a="1"/>
  <c r="Q110" i="12" s="1"/>
  <c r="AB110" i="12" s="1"/>
  <c r="P110" i="12"/>
  <c r="AA110" i="12" s="1"/>
  <c r="A116" i="12" l="1"/>
  <c r="B115" i="12"/>
  <c r="Q104" i="12" l="1" a="1"/>
  <c r="Q104" i="12" s="1"/>
  <c r="AB104" i="12" s="1"/>
  <c r="P104" i="12"/>
  <c r="AA104" i="12" s="1"/>
  <c r="A117" i="12"/>
  <c r="B116" i="12"/>
  <c r="B117" i="12" l="1"/>
  <c r="A118" i="12"/>
  <c r="A119" i="12" l="1"/>
  <c r="B118" i="12"/>
  <c r="B119" i="12" l="1"/>
  <c r="A120" i="12"/>
  <c r="B120" i="12" l="1"/>
  <c r="A121" i="12"/>
  <c r="A122" i="12" l="1"/>
  <c r="B121" i="12"/>
  <c r="B122" i="12" l="1"/>
  <c r="A123" i="12"/>
  <c r="B123" i="12" l="1"/>
  <c r="A124" i="12"/>
  <c r="Q119" i="12" a="1"/>
  <c r="Q119" i="12" s="1"/>
  <c r="AB119" i="12" s="1"/>
  <c r="P119" i="12"/>
  <c r="AA119" i="12" s="1"/>
  <c r="A125" i="12" l="1"/>
  <c r="B124" i="12"/>
  <c r="B125" i="12" l="1"/>
  <c r="A126" i="12"/>
  <c r="B126" i="12" l="1"/>
  <c r="A127" i="12"/>
  <c r="Q10" i="12" a="1"/>
  <c r="Q10" i="12" s="1"/>
  <c r="AB10" i="12" s="1"/>
  <c r="P10" i="12"/>
  <c r="AA10" i="12" s="1"/>
  <c r="B127" i="12" l="1"/>
  <c r="A128" i="12"/>
  <c r="A129" i="12" l="1"/>
  <c r="B128" i="12"/>
  <c r="Q14" i="12" a="1"/>
  <c r="Q14" i="12" s="1"/>
  <c r="AB14" i="12" s="1"/>
  <c r="P14" i="12"/>
  <c r="AA14" i="12" s="1"/>
  <c r="B129" i="12" l="1"/>
  <c r="A130" i="12"/>
  <c r="B130" i="12" l="1"/>
  <c r="A131" i="12"/>
  <c r="Q18" i="12" a="1"/>
  <c r="Q18" i="12" s="1"/>
  <c r="AB18" i="12" s="1"/>
  <c r="P18" i="12"/>
  <c r="AA18" i="12" s="1"/>
  <c r="B131" i="12" l="1"/>
  <c r="A132" i="12"/>
  <c r="A133" i="12" l="1"/>
  <c r="B132" i="12"/>
  <c r="Q11" i="12" a="1"/>
  <c r="Q11" i="12" s="1"/>
  <c r="AB11" i="12" s="1"/>
  <c r="P11" i="12"/>
  <c r="AA11" i="12" s="1"/>
  <c r="A134" i="12" l="1"/>
  <c r="B133" i="12"/>
  <c r="Q15" i="12" l="1" a="1"/>
  <c r="Q15" i="12" s="1"/>
  <c r="AB15" i="12" s="1"/>
  <c r="P15" i="12"/>
  <c r="AA15" i="12" s="1"/>
  <c r="A135" i="12"/>
  <c r="B134" i="12"/>
  <c r="A136" i="12" l="1"/>
  <c r="B135" i="12"/>
  <c r="Q19" i="12" l="1" a="1"/>
  <c r="Q19" i="12" s="1"/>
  <c r="AB19" i="12" s="1"/>
  <c r="P19" i="12"/>
  <c r="AA19" i="12" s="1"/>
  <c r="B136" i="12"/>
  <c r="A137" i="12"/>
  <c r="A138" i="12" l="1"/>
  <c r="B137" i="12"/>
  <c r="Q12" i="12" l="1" a="1"/>
  <c r="Q12" i="12" s="1"/>
  <c r="AB12" i="12" s="1"/>
  <c r="P12" i="12"/>
  <c r="AA12" i="12" s="1"/>
  <c r="B138" i="12"/>
  <c r="A139" i="12"/>
  <c r="A140" i="12" l="1"/>
  <c r="B139" i="12"/>
  <c r="Q16" i="12" l="1" a="1"/>
  <c r="Q16" i="12" s="1"/>
  <c r="AB16" i="12" s="1"/>
  <c r="P16" i="12"/>
  <c r="AA16" i="12" s="1"/>
  <c r="B140" i="12"/>
  <c r="A141" i="12"/>
  <c r="A142" i="12" l="1"/>
  <c r="B141" i="12"/>
  <c r="Q20" i="12" l="1" a="1"/>
  <c r="Q20" i="12" s="1"/>
  <c r="AB20" i="12" s="1"/>
  <c r="P20" i="12"/>
  <c r="AA20" i="12" s="1"/>
  <c r="A143" i="12"/>
  <c r="B142" i="12"/>
  <c r="P138" i="12" l="1"/>
  <c r="AA138" i="12" s="1"/>
  <c r="Q138" i="12" a="1"/>
  <c r="Q138" i="12" s="1"/>
  <c r="AB138" i="12" s="1"/>
  <c r="Q140" i="12" a="1"/>
  <c r="Q140" i="12" s="1"/>
  <c r="AB140" i="12" s="1"/>
  <c r="P130" i="12"/>
  <c r="AA130" i="12" s="1"/>
  <c r="P134" i="12"/>
  <c r="AA134" i="12" s="1"/>
  <c r="P136" i="12"/>
  <c r="AA136" i="12" s="1"/>
  <c r="P140" i="12"/>
  <c r="AA140" i="12" s="1"/>
  <c r="Q134" i="12" a="1"/>
  <c r="Q134" i="12" s="1"/>
  <c r="AB134" i="12" s="1"/>
  <c r="Q132" i="12" a="1"/>
  <c r="Q132" i="12" s="1"/>
  <c r="AB132" i="12" s="1"/>
  <c r="Q130" i="12" a="1"/>
  <c r="Q130" i="12" s="1"/>
  <c r="AB130" i="12" s="1"/>
  <c r="Q126" i="12" a="1"/>
  <c r="Q126" i="12" s="1"/>
  <c r="AB126" i="12" s="1"/>
  <c r="Q128" i="12" a="1"/>
  <c r="Q128" i="12" s="1"/>
  <c r="AB128" i="12" s="1"/>
  <c r="Q136" i="12" a="1"/>
  <c r="Q136" i="12" s="1"/>
  <c r="AB136" i="12" s="1"/>
  <c r="P126" i="12"/>
  <c r="AA126" i="12" s="1"/>
  <c r="P128" i="12"/>
  <c r="AA128" i="12" s="1"/>
  <c r="P132" i="12"/>
  <c r="AA132" i="12" s="1"/>
  <c r="A144" i="12"/>
  <c r="B143" i="12"/>
  <c r="A145" i="12" l="1"/>
  <c r="B144" i="12"/>
  <c r="Q142" i="12" l="1" a="1"/>
  <c r="Q142" i="12" s="1"/>
  <c r="AB142" i="12" s="1"/>
  <c r="P142" i="12"/>
  <c r="AA142" i="12" s="1"/>
  <c r="B145" i="12"/>
  <c r="A146" i="12"/>
  <c r="B146" i="12" l="1"/>
  <c r="A147" i="12"/>
  <c r="A148" i="12" l="1"/>
  <c r="B147" i="12"/>
  <c r="Q143" i="12" a="1"/>
  <c r="Q143" i="12" s="1"/>
  <c r="AB143" i="12" s="1"/>
  <c r="P143" i="12"/>
  <c r="AA143" i="12" s="1"/>
  <c r="B148" i="12" l="1"/>
  <c r="A149" i="12"/>
  <c r="A150" i="12" l="1"/>
  <c r="B149" i="12"/>
  <c r="Q146" i="12" a="1"/>
  <c r="Q146" i="12" s="1"/>
  <c r="AB146" i="12" s="1"/>
  <c r="P146" i="12"/>
  <c r="AA146" i="12" s="1"/>
  <c r="B150" i="12" l="1"/>
  <c r="A151" i="12"/>
  <c r="A152" i="12" l="1"/>
  <c r="B151" i="12"/>
  <c r="B152" i="12" l="1"/>
  <c r="A153" i="12"/>
  <c r="A154" i="12" l="1"/>
  <c r="B153" i="12"/>
  <c r="B154" i="12" l="1"/>
  <c r="A155" i="12"/>
  <c r="A156" i="12" l="1"/>
  <c r="B155" i="12"/>
  <c r="A157" i="12" l="1"/>
  <c r="B156" i="12"/>
  <c r="B157" i="12" l="1"/>
  <c r="A158" i="12"/>
  <c r="B158" i="12" l="1"/>
  <c r="A159" i="12"/>
  <c r="B159" i="12" l="1"/>
  <c r="A160" i="12"/>
  <c r="Q147" i="12" a="1"/>
  <c r="Q147" i="12" s="1"/>
  <c r="AB147" i="12" s="1"/>
  <c r="P147" i="12"/>
  <c r="AA147" i="12" s="1"/>
  <c r="A161" i="12" l="1"/>
  <c r="B160" i="12"/>
  <c r="A162" i="12" l="1"/>
  <c r="B161" i="12"/>
  <c r="A163" i="12" l="1"/>
  <c r="B162" i="12"/>
  <c r="A164" i="12" l="1"/>
  <c r="B163" i="12"/>
  <c r="Q159" i="12" l="1" a="1"/>
  <c r="Q159" i="12" s="1"/>
  <c r="AB159" i="12" s="1"/>
  <c r="P159" i="12"/>
  <c r="AA159" i="12" s="1"/>
  <c r="A165" i="12"/>
  <c r="B164" i="12"/>
  <c r="B165" i="12" l="1"/>
  <c r="A166" i="12"/>
  <c r="B166" i="12" l="1"/>
  <c r="A167" i="12"/>
  <c r="A168" i="12" l="1"/>
  <c r="B167" i="12"/>
  <c r="Q164" i="12" l="1" a="1"/>
  <c r="Q164" i="12" s="1"/>
  <c r="AB164" i="12" s="1"/>
  <c r="P164" i="12"/>
  <c r="AA164" i="12" s="1"/>
  <c r="B168" i="12"/>
  <c r="A169" i="12"/>
  <c r="A170" i="12" l="1"/>
  <c r="B169" i="12"/>
  <c r="Q17" i="12" l="1" a="1"/>
  <c r="Q17" i="12" s="1"/>
  <c r="AB17" i="12" s="1"/>
  <c r="P17" i="12"/>
  <c r="AA17" i="12" s="1"/>
  <c r="B170" i="12"/>
  <c r="A171" i="12"/>
  <c r="A172" i="12" l="1"/>
  <c r="B171" i="12"/>
  <c r="A173" i="12" l="1"/>
  <c r="B172" i="12"/>
  <c r="Q170" i="12" l="1" a="1"/>
  <c r="Q170" i="12" s="1"/>
  <c r="AB170" i="12" s="1"/>
  <c r="P170" i="12"/>
  <c r="AA170" i="12" s="1"/>
  <c r="B173" i="12"/>
  <c r="A174" i="12"/>
  <c r="A175" i="12" l="1"/>
  <c r="B174" i="12"/>
  <c r="Q174" i="12" a="1"/>
  <c r="Q174" i="12" s="1"/>
  <c r="AB174" i="12" s="1"/>
  <c r="P174" i="12"/>
  <c r="AA174" i="12" s="1"/>
  <c r="A176" i="12" l="1"/>
  <c r="B175" i="12"/>
  <c r="B176" i="12" l="1"/>
  <c r="A177" i="12"/>
  <c r="A178" i="12" l="1"/>
  <c r="B177" i="12"/>
  <c r="Q171" i="12" l="1" a="1"/>
  <c r="Q171" i="12" s="1"/>
  <c r="AB171" i="12" s="1"/>
  <c r="P171" i="12"/>
  <c r="AA171" i="12" s="1"/>
  <c r="B178" i="12"/>
  <c r="A179" i="12"/>
  <c r="A180" i="12" l="1"/>
  <c r="B179" i="12"/>
  <c r="B180" i="12" l="1"/>
  <c r="A181" i="12"/>
  <c r="B181" i="12" l="1"/>
  <c r="A182" i="12"/>
  <c r="B182" i="12" l="1"/>
  <c r="A183" i="12"/>
  <c r="Q178" i="12" a="1"/>
  <c r="Q178" i="12" s="1"/>
  <c r="AB178" i="12" s="1"/>
  <c r="P178" i="12"/>
  <c r="AA178" i="12" s="1"/>
  <c r="B183" i="12" l="1"/>
  <c r="A184" i="12"/>
  <c r="A185" i="12" l="1"/>
  <c r="B184" i="12"/>
  <c r="Q191" i="12" a="1"/>
  <c r="Q191" i="12" s="1"/>
  <c r="AB191" i="12" s="1"/>
  <c r="P191" i="12"/>
  <c r="AA191" i="12" s="1"/>
  <c r="Q29" i="12" a="1"/>
  <c r="Q29" i="12" s="1"/>
  <c r="AB29" i="12" s="1"/>
  <c r="Q28" i="12" a="1"/>
  <c r="Q28" i="12" s="1"/>
  <c r="AB28" i="12" s="1"/>
  <c r="Q26" i="12" a="1"/>
  <c r="Q26" i="12" s="1"/>
  <c r="AB26" i="12" s="1"/>
  <c r="Q7" i="12" a="1"/>
  <c r="Q7" i="12" s="1"/>
  <c r="AB7" i="12" s="1"/>
  <c r="P7" i="12"/>
  <c r="AA7" i="12" s="1"/>
  <c r="P29" i="12"/>
  <c r="AA29" i="12" s="1"/>
  <c r="P28" i="12"/>
  <c r="AA28" i="12" s="1"/>
  <c r="P26" i="12"/>
  <c r="AA26" i="12" s="1"/>
  <c r="B185" i="12" l="1"/>
  <c r="A186" i="12"/>
  <c r="A187" i="12" l="1"/>
  <c r="B186" i="12"/>
  <c r="P186" i="12"/>
  <c r="AA186" i="12" s="1"/>
  <c r="Q186" i="12" a="1"/>
  <c r="Q186" i="12" s="1"/>
  <c r="AB186" i="12" s="1"/>
  <c r="A188" i="12" l="1"/>
  <c r="B187" i="12"/>
  <c r="Q189" i="12" a="1"/>
  <c r="Q189" i="12" s="1"/>
  <c r="AB189" i="12" s="1"/>
  <c r="P189" i="12"/>
  <c r="AA189" i="12" s="1"/>
  <c r="A189" i="12" l="1"/>
  <c r="B188" i="12"/>
  <c r="A190" i="12" l="1"/>
  <c r="B189" i="12"/>
  <c r="Q27" i="12" l="1" a="1"/>
  <c r="Q27" i="12" s="1"/>
  <c r="AB27" i="12" s="1"/>
  <c r="P27" i="12"/>
  <c r="AA27" i="12" s="1"/>
  <c r="A191" i="12"/>
  <c r="B190" i="12"/>
  <c r="A192" i="12" l="1"/>
  <c r="B191" i="12"/>
  <c r="B192" i="12" l="1"/>
  <c r="A193" i="12"/>
  <c r="B193" i="12" l="1"/>
  <c r="A194" i="12"/>
  <c r="A195" i="12" l="1"/>
  <c r="B194" i="12"/>
  <c r="Q196" i="12" a="1"/>
  <c r="Q196" i="12" s="1"/>
  <c r="AB196" i="12" s="1"/>
  <c r="P196" i="12"/>
  <c r="AA196" i="12" s="1"/>
  <c r="A196" i="12" l="1"/>
  <c r="B195" i="12"/>
  <c r="A197" i="12" l="1"/>
  <c r="A198" i="12" s="1"/>
  <c r="B196" i="12"/>
  <c r="A199" i="12" l="1"/>
  <c r="B198" i="12"/>
  <c r="B197" i="12"/>
  <c r="A200" i="12" l="1"/>
  <c r="B199" i="12"/>
  <c r="P195" i="12"/>
  <c r="AA195" i="12" s="1"/>
  <c r="Q195" i="12" a="1"/>
  <c r="Q195" i="12" s="1"/>
  <c r="AB195" i="12" s="1"/>
  <c r="Q197" i="12" l="1" a="1"/>
  <c r="Q197" i="12" s="1"/>
  <c r="AB197" i="12" s="1"/>
  <c r="P197" i="12"/>
  <c r="AA197" i="12" s="1"/>
  <c r="A201" i="12"/>
  <c r="B201" i="12" s="1"/>
  <c r="B200" i="12"/>
  <c r="P203" i="12"/>
  <c r="AA203" i="12" s="1"/>
  <c r="Q203" i="12" a="1"/>
  <c r="Q203" i="12" s="1"/>
  <c r="AB203" i="12" s="1"/>
  <c r="A202" i="12"/>
  <c r="Q198" i="12" l="1" a="1"/>
  <c r="Q198" i="12" s="1"/>
  <c r="AB198" i="12" s="1"/>
  <c r="P198" i="12"/>
  <c r="AA198" i="12" s="1"/>
  <c r="B202" i="12"/>
  <c r="A203" i="12"/>
  <c r="B203" i="12" l="1"/>
  <c r="A204" i="12"/>
  <c r="B204" i="12" l="1"/>
  <c r="A205" i="12"/>
  <c r="A206" i="12" l="1"/>
  <c r="B205" i="12"/>
  <c r="P192" i="12"/>
  <c r="AA192" i="12" s="1"/>
  <c r="Q192" i="12" a="1"/>
  <c r="Q192" i="12" s="1"/>
  <c r="AB192" i="12" s="1"/>
  <c r="Q190" i="12" a="1"/>
  <c r="Q190" i="12" s="1"/>
  <c r="AB190" i="12" s="1"/>
  <c r="P190" i="12"/>
  <c r="AA190" i="12" s="1"/>
  <c r="A207" i="12" l="1"/>
  <c r="B206" i="12"/>
  <c r="A210" i="12" l="1"/>
  <c r="B207" i="12"/>
  <c r="Q215" i="12" l="1" a="1"/>
  <c r="Q215" i="12" s="1"/>
  <c r="AB215" i="12" s="1"/>
  <c r="P215" i="12"/>
  <c r="AA215" i="12" s="1"/>
  <c r="Q206" i="12" a="1"/>
  <c r="Q206" i="12" s="1"/>
  <c r="AB206" i="12" s="1"/>
  <c r="P206" i="12"/>
  <c r="AA206" i="12" s="1"/>
  <c r="A211" i="12"/>
  <c r="B210" i="12"/>
  <c r="Q207" i="12" l="1" a="1"/>
  <c r="Q207" i="12" s="1"/>
  <c r="AB207" i="12" s="1"/>
  <c r="P207" i="12"/>
  <c r="AA207" i="12" s="1"/>
  <c r="A212" i="12"/>
  <c r="B211" i="12"/>
  <c r="B212" i="12" l="1"/>
  <c r="A213" i="12"/>
  <c r="A214" i="12" l="1"/>
  <c r="B213" i="12"/>
  <c r="A215" i="12" l="1"/>
  <c r="B214" i="12"/>
  <c r="Q211" i="12" a="1"/>
  <c r="Q211" i="12" s="1"/>
  <c r="AB211" i="12" s="1"/>
  <c r="P211" i="12"/>
  <c r="AA211" i="12" s="1"/>
  <c r="A216" i="12" l="1"/>
  <c r="B215" i="12"/>
  <c r="B216" i="12" l="1"/>
  <c r="A217" i="12"/>
  <c r="Q213" i="12" a="1"/>
  <c r="Q213" i="12" s="1"/>
  <c r="AB213" i="12" s="1"/>
  <c r="P213" i="12"/>
  <c r="AA213" i="12" s="1"/>
  <c r="Q212" i="12" a="1"/>
  <c r="Q212" i="12" s="1"/>
  <c r="AB212" i="12" s="1"/>
  <c r="P212" i="12"/>
  <c r="AA212" i="12" s="1"/>
  <c r="A218" i="12" l="1"/>
  <c r="B217" i="12"/>
  <c r="Q202" i="12" l="1" a="1"/>
  <c r="Q202" i="12" s="1"/>
  <c r="AB202" i="12" s="1"/>
  <c r="P202" i="12"/>
  <c r="AA202" i="12" s="1"/>
  <c r="B218" i="12"/>
  <c r="A219" i="12"/>
  <c r="B219" i="12" l="1"/>
  <c r="A220" i="12"/>
  <c r="A221" i="12" l="1"/>
  <c r="B220" i="12"/>
  <c r="Q220" i="12" a="1"/>
  <c r="Q220" i="12" s="1"/>
  <c r="AB220" i="12" s="1"/>
  <c r="P220" i="12"/>
  <c r="AA220" i="12" s="1"/>
  <c r="A222" i="12" l="1"/>
  <c r="B221" i="12"/>
  <c r="A223" i="12" l="1"/>
  <c r="B222" i="12"/>
  <c r="A224" i="12" l="1"/>
  <c r="B223" i="12"/>
  <c r="P21" i="12" l="1"/>
  <c r="AA21" i="12" s="1"/>
  <c r="Q21" i="12" a="1"/>
  <c r="Q21" i="12" s="1"/>
  <c r="AB21" i="12" s="1"/>
  <c r="A225" i="12"/>
  <c r="B224" i="12"/>
  <c r="A226" i="12" l="1"/>
  <c r="B225" i="12"/>
  <c r="Q223" i="12" l="1" a="1"/>
  <c r="Q223" i="12" s="1"/>
  <c r="AB223" i="12" s="1"/>
  <c r="P223" i="12"/>
  <c r="AA223" i="12" s="1"/>
  <c r="A227" i="12"/>
  <c r="B226" i="12"/>
  <c r="Q224" i="12" l="1" a="1"/>
  <c r="Q224" i="12" s="1"/>
  <c r="AB224" i="12" s="1"/>
  <c r="P224" i="12"/>
  <c r="AA224" i="12" s="1"/>
  <c r="B227" i="12"/>
  <c r="A228" i="12"/>
  <c r="A229" i="12" l="1"/>
  <c r="B228" i="12"/>
  <c r="A230" i="12" l="1"/>
  <c r="B229" i="12"/>
  <c r="P226" i="12" l="1"/>
  <c r="AA226" i="12" s="1"/>
  <c r="Q226" i="12" a="1"/>
  <c r="Q226" i="12" s="1"/>
  <c r="AB226" i="12" s="1"/>
  <c r="A231" i="12"/>
  <c r="B230" i="12"/>
  <c r="B231" i="12" l="1"/>
  <c r="A232" i="12"/>
  <c r="A233" i="12" l="1"/>
  <c r="B232" i="12"/>
  <c r="Q227" i="12" l="1" a="1"/>
  <c r="Q227" i="12" s="1"/>
  <c r="AB227" i="12" s="1"/>
  <c r="P227" i="12"/>
  <c r="AA227" i="12" s="1"/>
  <c r="B233" i="12"/>
  <c r="A234" i="12"/>
  <c r="A235" i="12" l="1"/>
  <c r="B234" i="12"/>
  <c r="AB380" i="12"/>
  <c r="P380" i="12"/>
  <c r="AA380" i="12" s="1"/>
  <c r="B235" i="12" l="1"/>
  <c r="A236" i="12"/>
  <c r="B236" i="12" l="1"/>
  <c r="A237" i="12"/>
  <c r="Q231" i="12" a="1"/>
  <c r="Q231" i="12" s="1"/>
  <c r="AB231" i="12" s="1"/>
  <c r="P239" i="12"/>
  <c r="AA239" i="12" s="1"/>
  <c r="P231" i="12"/>
  <c r="AA231" i="12" s="1"/>
  <c r="P228" i="12"/>
  <c r="AA228" i="12" s="1"/>
  <c r="Q239" i="12" a="1"/>
  <c r="Q239" i="12" s="1"/>
  <c r="AB239" i="12" s="1"/>
  <c r="Q228" i="12" a="1"/>
  <c r="Q228" i="12" s="1"/>
  <c r="AB228" i="12" s="1"/>
  <c r="A238" i="12" l="1"/>
  <c r="B237" i="12"/>
  <c r="B238" i="12" l="1"/>
  <c r="A239" i="12"/>
  <c r="A240" i="12" l="1"/>
  <c r="B239" i="12"/>
  <c r="B240" i="12" l="1"/>
  <c r="A241" i="12"/>
  <c r="B241" i="12" l="1"/>
  <c r="A242" i="12"/>
  <c r="Q235" i="12" a="1"/>
  <c r="Q235" i="12" s="1"/>
  <c r="AB235" i="12" s="1"/>
  <c r="P235" i="12"/>
  <c r="AA235" i="12" s="1"/>
  <c r="B242" i="12" l="1"/>
  <c r="A243" i="12"/>
  <c r="A244" i="12" l="1"/>
  <c r="B243" i="12"/>
  <c r="Q243" i="12" a="1"/>
  <c r="Q243" i="12" s="1"/>
  <c r="AB243" i="12" s="1"/>
  <c r="Q241" i="12" a="1"/>
  <c r="Q241" i="12" s="1"/>
  <c r="AB241" i="12" s="1"/>
  <c r="P243" i="12"/>
  <c r="AA243" i="12" s="1"/>
  <c r="P241" i="12"/>
  <c r="AA241" i="12" s="1"/>
  <c r="B244" i="12" l="1"/>
  <c r="A245" i="12"/>
  <c r="A246" i="12" l="1"/>
  <c r="B245" i="12"/>
  <c r="A247" i="12" l="1"/>
  <c r="B246" i="12"/>
  <c r="P244" i="12" l="1"/>
  <c r="AA244" i="12" s="1"/>
  <c r="Q244" i="12" a="1"/>
  <c r="Q244" i="12" s="1"/>
  <c r="AB244" i="12" s="1"/>
  <c r="A248" i="12"/>
  <c r="B247" i="12"/>
  <c r="P245" i="12" l="1"/>
  <c r="AA245" i="12" s="1"/>
  <c r="Q245" i="12" a="1"/>
  <c r="Q245" i="12" s="1"/>
  <c r="AB245" i="12" s="1"/>
  <c r="B248" i="12"/>
  <c r="A249" i="12"/>
  <c r="B249" i="12" l="1"/>
  <c r="A250" i="12"/>
  <c r="A251" i="12" l="1"/>
  <c r="B250" i="12"/>
  <c r="Q253" i="12" a="1"/>
  <c r="Q253" i="12" s="1"/>
  <c r="AB253" i="12" s="1"/>
  <c r="P253" i="12"/>
  <c r="AA253" i="12" s="1"/>
  <c r="P248" i="12" l="1"/>
  <c r="AA248" i="12" s="1"/>
  <c r="Q248" i="12" a="1"/>
  <c r="Q248" i="12" s="1"/>
  <c r="AB248" i="12" s="1"/>
  <c r="A252" i="12"/>
  <c r="B251" i="12"/>
  <c r="A253" i="12" l="1"/>
  <c r="B252" i="12"/>
  <c r="B253" i="12" l="1"/>
  <c r="A254" i="12"/>
  <c r="A255" i="12" l="1"/>
  <c r="B254" i="12"/>
  <c r="Q251" i="12" a="1"/>
  <c r="Q251" i="12" s="1"/>
  <c r="AB251" i="12" s="1"/>
  <c r="P251" i="12"/>
  <c r="AA251" i="12" s="1"/>
  <c r="Q252" i="12" l="1" a="1"/>
  <c r="Q252" i="12" s="1"/>
  <c r="AB252" i="12" s="1"/>
  <c r="P252" i="12"/>
  <c r="AA252" i="12" s="1"/>
  <c r="A256" i="12"/>
  <c r="B255" i="12"/>
  <c r="A257" i="12" l="1"/>
  <c r="B256" i="12"/>
  <c r="Q257" i="12" l="1" a="1"/>
  <c r="Q257" i="12" s="1"/>
  <c r="AB257" i="12" s="1"/>
  <c r="P257" i="12"/>
  <c r="AA257" i="12" s="1"/>
  <c r="Q255" i="12" a="1"/>
  <c r="Q255" i="12" s="1"/>
  <c r="AB255" i="12" s="1"/>
  <c r="P255" i="12"/>
  <c r="AA255" i="12" s="1"/>
  <c r="A258" i="12"/>
  <c r="B257" i="12"/>
  <c r="B258" i="12" l="1"/>
  <c r="A259" i="12"/>
  <c r="A260" i="12" l="1"/>
  <c r="B259" i="12"/>
  <c r="B260" i="12" l="1"/>
  <c r="A261" i="12"/>
  <c r="A262" i="12" l="1"/>
  <c r="B261" i="12"/>
  <c r="Q23" i="12" a="1"/>
  <c r="Q23" i="12" s="1"/>
  <c r="AB23" i="12" s="1"/>
  <c r="P23" i="12"/>
  <c r="AA23" i="12" s="1"/>
  <c r="P262" i="12" l="1"/>
  <c r="AA262" i="12" s="1"/>
  <c r="Q262" i="12" a="1"/>
  <c r="Q262" i="12" s="1"/>
  <c r="AB262" i="12" s="1"/>
  <c r="A263" i="12"/>
  <c r="B262" i="12"/>
  <c r="A264" i="12" l="1"/>
  <c r="B263" i="12"/>
  <c r="B264" i="12" l="1"/>
  <c r="A265" i="12"/>
  <c r="B265" i="12" l="1"/>
  <c r="A266" i="12"/>
  <c r="A267" i="12" l="1"/>
  <c r="B266" i="12"/>
  <c r="Q260" i="12" l="1" a="1"/>
  <c r="Q260" i="12" s="1"/>
  <c r="AB260" i="12" s="1"/>
  <c r="P260" i="12"/>
  <c r="AA260" i="12" s="1"/>
  <c r="B267" i="12"/>
  <c r="A268" i="12"/>
  <c r="A269" i="12" l="1"/>
  <c r="B268" i="12"/>
  <c r="B269" i="12" l="1"/>
  <c r="A270" i="12"/>
  <c r="A271" i="12" l="1"/>
  <c r="B270" i="12"/>
  <c r="P267" i="12" l="1"/>
  <c r="AA267" i="12" s="1"/>
  <c r="Q267" i="12" a="1"/>
  <c r="Q267" i="12" s="1"/>
  <c r="AB267" i="12" s="1"/>
  <c r="Q332" i="12" a="1"/>
  <c r="Q332" i="12" s="1"/>
  <c r="AB332" i="12" s="1"/>
  <c r="P332" i="12"/>
  <c r="AA332" i="12" s="1"/>
  <c r="B271" i="12"/>
  <c r="A272" i="12"/>
  <c r="A273" i="12" l="1"/>
  <c r="B272" i="12"/>
  <c r="Q269" i="12" a="1"/>
  <c r="Q269" i="12" s="1"/>
  <c r="AB269" i="12" s="1"/>
  <c r="P22" i="12"/>
  <c r="AA22" i="12" s="1"/>
  <c r="Q22" i="12" a="1"/>
  <c r="Q22" i="12" s="1"/>
  <c r="AB22" i="12" s="1"/>
  <c r="P269" i="12"/>
  <c r="AA269" i="12" s="1"/>
  <c r="A274" i="12" l="1"/>
  <c r="B273" i="12"/>
  <c r="B274" i="12" l="1"/>
  <c r="A275" i="12"/>
  <c r="B275" i="12" l="1"/>
  <c r="A276" i="12"/>
  <c r="P271" i="12"/>
  <c r="AA271" i="12" s="1"/>
  <c r="Q271" i="12" a="1"/>
  <c r="Q271" i="12" s="1"/>
  <c r="AB271" i="12" s="1"/>
  <c r="Q266" i="12" a="1"/>
  <c r="Q266" i="12" s="1"/>
  <c r="AB266" i="12" s="1"/>
  <c r="P266" i="12"/>
  <c r="AA266" i="12" s="1"/>
  <c r="B276" i="12" l="1"/>
  <c r="A277" i="12"/>
  <c r="A278" i="12" l="1"/>
  <c r="B277" i="12"/>
  <c r="Q272" i="12" l="1" a="1"/>
  <c r="Q272" i="12" s="1"/>
  <c r="AB272" i="12" s="1"/>
  <c r="P272" i="12"/>
  <c r="AA272" i="12" s="1"/>
  <c r="B278" i="12"/>
  <c r="A279" i="12"/>
  <c r="B279" i="12" l="1"/>
  <c r="A280" i="12"/>
  <c r="B280" i="12" l="1"/>
  <c r="A281" i="12"/>
  <c r="B281" i="12" l="1"/>
  <c r="A282" i="12"/>
  <c r="Q276" i="12" a="1"/>
  <c r="Q276" i="12" s="1"/>
  <c r="AB276" i="12" s="1"/>
  <c r="P273" i="12"/>
  <c r="AA273" i="12" s="1"/>
  <c r="Q273" i="12" a="1"/>
  <c r="Q273" i="12" s="1"/>
  <c r="AB273" i="12" s="1"/>
  <c r="P284" i="12"/>
  <c r="AA284" i="12" s="1"/>
  <c r="Q284" i="12" a="1"/>
  <c r="Q284" i="12" s="1"/>
  <c r="AB284" i="12" s="1"/>
  <c r="P276" i="12"/>
  <c r="AA276" i="12" s="1"/>
  <c r="B282" i="12" l="1"/>
  <c r="A283" i="12"/>
  <c r="B283" i="12" l="1"/>
  <c r="A284" i="12"/>
  <c r="B284" i="12" l="1"/>
  <c r="A285" i="12"/>
  <c r="B285" i="12" l="1"/>
  <c r="A286" i="12"/>
  <c r="A287" i="12" l="1"/>
  <c r="B286" i="12"/>
  <c r="Q280" i="12" a="1"/>
  <c r="Q280" i="12" s="1"/>
  <c r="AB280" i="12" s="1"/>
  <c r="P280" i="12"/>
  <c r="AA280" i="12" s="1"/>
  <c r="A288" i="12" l="1"/>
  <c r="B287" i="12"/>
  <c r="Q292" i="12" l="1" a="1"/>
  <c r="Q292" i="12" s="1"/>
  <c r="AB292" i="12" s="1"/>
  <c r="P292" i="12"/>
  <c r="AA292" i="12" s="1"/>
  <c r="A289" i="12"/>
  <c r="B288" i="12"/>
  <c r="A290" i="12" l="1"/>
  <c r="B289" i="12"/>
  <c r="P286" i="12" l="1"/>
  <c r="AA286" i="12" s="1"/>
  <c r="Q286" i="12" a="1"/>
  <c r="Q286" i="12" s="1"/>
  <c r="AB286" i="12" s="1"/>
  <c r="B290" i="12"/>
  <c r="A291" i="12"/>
  <c r="A292" i="12" l="1"/>
  <c r="B291" i="12"/>
  <c r="A293" i="12" l="1"/>
  <c r="B292" i="12"/>
  <c r="Q290" i="12" l="1" a="1"/>
  <c r="Q290" i="12" s="1"/>
  <c r="AB290" i="12" s="1"/>
  <c r="P290" i="12"/>
  <c r="AA290" i="12" s="1"/>
  <c r="A294" i="12"/>
  <c r="B293" i="12"/>
  <c r="P294" i="12" l="1"/>
  <c r="AA294" i="12" s="1"/>
  <c r="Q294" i="12" a="1"/>
  <c r="Q294" i="12" s="1"/>
  <c r="AB294" i="12" s="1"/>
  <c r="B294" i="12"/>
  <c r="A295" i="12"/>
  <c r="A296" i="12" l="1"/>
  <c r="B295" i="12"/>
  <c r="Q291" i="12" l="1" a="1"/>
  <c r="Q291" i="12" s="1"/>
  <c r="AB291" i="12" s="1"/>
  <c r="P291" i="12"/>
  <c r="AA291" i="12" s="1"/>
  <c r="A297" i="12"/>
  <c r="B296" i="12"/>
  <c r="A298" i="12" l="1"/>
  <c r="B297" i="12"/>
  <c r="A299" i="12" l="1"/>
  <c r="B298" i="12"/>
  <c r="Q302" i="12" l="1" a="1"/>
  <c r="Q302" i="12" s="1"/>
  <c r="AB302" i="12" s="1"/>
  <c r="P302" i="12"/>
  <c r="AA302" i="12" s="1"/>
  <c r="A300" i="12"/>
  <c r="B299" i="12"/>
  <c r="A301" i="12" l="1"/>
  <c r="B300" i="12"/>
  <c r="A302" i="12" l="1"/>
  <c r="B301" i="12"/>
  <c r="A303" i="12" l="1"/>
  <c r="B302" i="12"/>
  <c r="A304" i="12" l="1"/>
  <c r="B303" i="12"/>
  <c r="Q297" i="12" l="1" a="1"/>
  <c r="Q297" i="12" s="1"/>
  <c r="AB297" i="12" s="1"/>
  <c r="P306" i="12"/>
  <c r="AA306" i="12" s="1"/>
  <c r="Q306" i="12" a="1"/>
  <c r="Q306" i="12" s="1"/>
  <c r="AB306" i="12" s="1"/>
  <c r="P297" i="12"/>
  <c r="AA297" i="12" s="1"/>
  <c r="B304" i="12"/>
  <c r="A305" i="12"/>
  <c r="A306" i="12" l="1"/>
  <c r="B305" i="12"/>
  <c r="A307" i="12" l="1"/>
  <c r="B306" i="12"/>
  <c r="A308" i="12" l="1"/>
  <c r="B307" i="12"/>
  <c r="P305" i="12" l="1"/>
  <c r="AA305" i="12" s="1"/>
  <c r="P296" i="12"/>
  <c r="AA296" i="12" s="1"/>
  <c r="Q296" i="12" a="1"/>
  <c r="Q296" i="12" s="1"/>
  <c r="AB296" i="12" s="1"/>
  <c r="Q305" i="12" a="1"/>
  <c r="Q305" i="12" s="1"/>
  <c r="AB305" i="12" s="1"/>
  <c r="Q301" i="12" a="1"/>
  <c r="Q301" i="12" s="1"/>
  <c r="AB301" i="12" s="1"/>
  <c r="P301" i="12"/>
  <c r="AA301" i="12" s="1"/>
  <c r="B308" i="12"/>
  <c r="A309" i="12"/>
  <c r="B309" i="12" l="1"/>
  <c r="A310" i="12"/>
  <c r="P310" i="12"/>
  <c r="AA310" i="12" s="1"/>
  <c r="Q310" i="12" a="1"/>
  <c r="Q310" i="12" s="1"/>
  <c r="AB310" i="12" s="1"/>
  <c r="B310" i="12" l="1"/>
  <c r="A311" i="12"/>
  <c r="B311" i="12" l="1"/>
  <c r="A312" i="12"/>
  <c r="Q307" i="12" a="1"/>
  <c r="Q307" i="12" s="1"/>
  <c r="AB307" i="12" s="1"/>
  <c r="P307" i="12"/>
  <c r="AA307" i="12" s="1"/>
  <c r="A313" i="12" l="1"/>
  <c r="B312" i="12"/>
  <c r="B313" i="12" l="1"/>
  <c r="A314" i="12"/>
  <c r="B314" i="12" l="1"/>
  <c r="A315" i="12"/>
  <c r="P311" i="12"/>
  <c r="AA311" i="12" s="1"/>
  <c r="Q311" i="12" a="1"/>
  <c r="Q311" i="12" s="1"/>
  <c r="AB311" i="12" s="1"/>
  <c r="A316" i="12" l="1"/>
  <c r="B315" i="12"/>
  <c r="P312" i="12" l="1"/>
  <c r="AA312" i="12" s="1"/>
  <c r="Q312" i="12" a="1"/>
  <c r="Q312" i="12" s="1"/>
  <c r="AB312" i="12" s="1"/>
  <c r="B316" i="12"/>
  <c r="A317" i="12"/>
  <c r="B317" i="12" l="1"/>
  <c r="A318" i="12"/>
  <c r="A319" i="12" l="1"/>
  <c r="B318" i="12"/>
  <c r="Q314" i="12" a="1"/>
  <c r="Q314" i="12" s="1"/>
  <c r="AB314" i="12" s="1"/>
  <c r="P314" i="12"/>
  <c r="AA314" i="12" s="1"/>
  <c r="A320" i="12" l="1"/>
  <c r="B319" i="12"/>
  <c r="P318" i="12" l="1"/>
  <c r="AA318" i="12" s="1"/>
  <c r="Q320" i="12" a="1"/>
  <c r="Q320" i="12" s="1"/>
  <c r="AB320" i="12" s="1"/>
  <c r="P320" i="12"/>
  <c r="AA320" i="12" s="1"/>
  <c r="Q318" i="12" a="1"/>
  <c r="Q318" i="12" s="1"/>
  <c r="AB318" i="12" s="1"/>
  <c r="B320" i="12"/>
  <c r="A321" i="12"/>
  <c r="A322" i="12" l="1"/>
  <c r="B321" i="12"/>
  <c r="A323" i="12" l="1"/>
  <c r="B322" i="12"/>
  <c r="A324" i="12" l="1"/>
  <c r="B323" i="12"/>
  <c r="P315" i="12" l="1"/>
  <c r="AA315" i="12" s="1"/>
  <c r="Q315" i="12" a="1"/>
  <c r="Q315" i="12" s="1"/>
  <c r="AB315" i="12" s="1"/>
  <c r="B324" i="12"/>
  <c r="A325" i="12"/>
  <c r="A326" i="12" l="1"/>
  <c r="B325" i="12"/>
  <c r="A327" i="12" l="1"/>
  <c r="B326" i="12"/>
  <c r="A328" i="12" l="1"/>
  <c r="B327" i="12"/>
  <c r="B328" i="12" l="1"/>
  <c r="A329" i="12"/>
  <c r="A330" i="12" l="1"/>
  <c r="B329" i="12"/>
  <c r="A331" i="12" l="1"/>
  <c r="B330" i="12"/>
  <c r="B331" i="12" l="1"/>
  <c r="A332" i="12"/>
  <c r="A333" i="12" l="1"/>
  <c r="B332" i="12"/>
  <c r="B333" i="12" l="1"/>
  <c r="A334" i="12"/>
  <c r="A335" i="12" l="1"/>
  <c r="B334" i="12"/>
  <c r="B335" i="12" l="1"/>
  <c r="A336" i="12"/>
  <c r="A337" i="12" l="1"/>
  <c r="B336" i="12"/>
  <c r="Q331" i="12" l="1" a="1"/>
  <c r="Q331" i="12" s="1"/>
  <c r="AB331" i="12" s="1"/>
  <c r="P331" i="12"/>
  <c r="AA331" i="12" s="1"/>
  <c r="B337" i="12"/>
  <c r="A338" i="12"/>
  <c r="B338" i="12" l="1"/>
  <c r="A339" i="12"/>
  <c r="A340" i="12" l="1"/>
  <c r="B339" i="12"/>
  <c r="Q339" i="12" a="1"/>
  <c r="Q339" i="12" s="1"/>
  <c r="AB339" i="12" s="1"/>
  <c r="P337" i="12"/>
  <c r="AA337" i="12" s="1"/>
  <c r="Q337" i="12" a="1"/>
  <c r="Q337" i="12" s="1"/>
  <c r="AB337" i="12" s="1"/>
  <c r="P339" i="12"/>
  <c r="AA339" i="12" s="1"/>
  <c r="B340" i="12" l="1"/>
  <c r="A341" i="12"/>
  <c r="A342" i="12" l="1"/>
  <c r="B341" i="12"/>
  <c r="A343" i="12" l="1"/>
  <c r="B342" i="12"/>
  <c r="A344" i="12" l="1"/>
  <c r="B343" i="12"/>
  <c r="A345" i="12" l="1"/>
  <c r="B344" i="12"/>
  <c r="A346" i="12" l="1"/>
  <c r="B345" i="12"/>
  <c r="B346" i="12" l="1"/>
  <c r="A347" i="12"/>
  <c r="A348" i="12" l="1"/>
  <c r="B347" i="12"/>
  <c r="A349" i="12" l="1"/>
  <c r="B348" i="12"/>
  <c r="A350" i="12" l="1"/>
  <c r="B349" i="12"/>
  <c r="A351" i="12" l="1"/>
  <c r="B350" i="12"/>
  <c r="P335" i="12" l="1"/>
  <c r="AA335" i="12" s="1"/>
  <c r="Q333" i="12" a="1"/>
  <c r="Q333" i="12" s="1"/>
  <c r="AB333" i="12" s="1"/>
  <c r="Q357" i="12" a="1"/>
  <c r="Q357" i="12" s="1"/>
  <c r="AB357" i="12" s="1"/>
  <c r="Q335" i="12" a="1"/>
  <c r="Q335" i="12" s="1"/>
  <c r="AB335" i="12" s="1"/>
  <c r="P333" i="12"/>
  <c r="AA333" i="12" s="1"/>
  <c r="P357" i="12"/>
  <c r="AA357" i="12" s="1"/>
  <c r="Q348" i="12" a="1"/>
  <c r="Q348" i="12" s="1"/>
  <c r="AB348" i="12" s="1"/>
  <c r="P348" i="12"/>
  <c r="AA348" i="12" s="1"/>
  <c r="B351" i="12"/>
  <c r="A352" i="12"/>
  <c r="B352" i="12" l="1"/>
  <c r="A353" i="12"/>
  <c r="A354" i="12" l="1"/>
  <c r="B353" i="12"/>
  <c r="A355" i="12" l="1"/>
  <c r="B354" i="12"/>
  <c r="P351" i="12" l="1"/>
  <c r="AA351" i="12" s="1"/>
  <c r="Q351" i="12" a="1"/>
  <c r="Q351" i="12" s="1"/>
  <c r="AB351" i="12" s="1"/>
  <c r="B355" i="12"/>
  <c r="A356" i="12"/>
  <c r="A357" i="12" l="1"/>
  <c r="B356" i="12"/>
  <c r="Q353" i="12" l="1" a="1"/>
  <c r="Q353" i="12" s="1"/>
  <c r="AB353" i="12" s="1"/>
  <c r="P353" i="12"/>
  <c r="AA353" i="12" s="1"/>
  <c r="A358" i="12"/>
  <c r="B357" i="12"/>
  <c r="B358" i="12" l="1"/>
  <c r="A359" i="12"/>
  <c r="A360" i="12" l="1"/>
  <c r="B359" i="12"/>
  <c r="Q355" i="12" a="1"/>
  <c r="Q355" i="12" s="1"/>
  <c r="AB355" i="12" s="1"/>
  <c r="P355" i="12"/>
  <c r="AA355" i="12" s="1"/>
  <c r="Q313" i="12" l="1" a="1"/>
  <c r="Q313" i="12" s="1"/>
  <c r="AB313" i="12" s="1"/>
  <c r="P316" i="12"/>
  <c r="AA316" i="12" s="1"/>
  <c r="Q316" i="12" a="1"/>
  <c r="Q316" i="12" s="1"/>
  <c r="AB316" i="12" s="1"/>
  <c r="P313" i="12"/>
  <c r="AA313" i="12" s="1"/>
  <c r="B360" i="12"/>
  <c r="A361" i="12"/>
  <c r="A362" i="12" l="1"/>
  <c r="B361" i="12"/>
  <c r="B362" i="12" l="1"/>
  <c r="A363" i="12"/>
  <c r="A364" i="12" l="1"/>
  <c r="B363" i="12"/>
  <c r="A365" i="12" l="1"/>
  <c r="B364" i="12"/>
  <c r="B365" i="12" l="1"/>
  <c r="A366" i="12"/>
  <c r="AB449" i="12"/>
  <c r="P449" i="12"/>
  <c r="AA449" i="12" s="1"/>
  <c r="B366" i="12" l="1"/>
  <c r="A367" i="12"/>
  <c r="B367" i="12" l="1"/>
  <c r="A368" i="12"/>
  <c r="B368" i="12" l="1"/>
  <c r="A369" i="12"/>
  <c r="B369" i="12" l="1"/>
  <c r="A370" i="12"/>
  <c r="B370" i="12" l="1"/>
  <c r="A371" i="12"/>
  <c r="Q367" i="12" a="1"/>
  <c r="Q367" i="12" s="1"/>
  <c r="AB367" i="12" s="1"/>
  <c r="P367" i="12"/>
  <c r="AA367" i="12" s="1"/>
  <c r="A372" i="12" l="1"/>
  <c r="B371" i="12"/>
  <c r="A373" i="12" l="1"/>
  <c r="B372" i="12"/>
  <c r="P358" i="12" l="1"/>
  <c r="AA358" i="12" s="1"/>
  <c r="Q368" i="12" a="1"/>
  <c r="Q368" i="12" s="1"/>
  <c r="AB368" i="12" s="1"/>
  <c r="Q358" i="12" a="1"/>
  <c r="Q358" i="12" s="1"/>
  <c r="AB358" i="12" s="1"/>
  <c r="P368" i="12"/>
  <c r="AA368" i="12" s="1"/>
  <c r="B373" i="12"/>
  <c r="A374" i="12"/>
  <c r="A375" i="12" l="1"/>
  <c r="B374" i="12"/>
  <c r="P372" i="12" l="1"/>
  <c r="AA372" i="12" s="1"/>
  <c r="Q372" i="12" a="1"/>
  <c r="Q372" i="12" s="1"/>
  <c r="AB372" i="12" s="1"/>
  <c r="A376" i="12"/>
  <c r="B375" i="12"/>
  <c r="B376" i="12" l="1"/>
  <c r="A377" i="12"/>
  <c r="B377" i="12" l="1"/>
  <c r="A378" i="12"/>
  <c r="Q24" i="12" a="1"/>
  <c r="Q24" i="12" s="1"/>
  <c r="AB24" i="12" s="1"/>
  <c r="P24" i="12"/>
  <c r="AA24" i="12" s="1"/>
  <c r="A379" i="12" l="1"/>
  <c r="B378" i="12"/>
  <c r="A380" i="12" l="1"/>
  <c r="B379" i="12"/>
  <c r="Q376" i="12" l="1" a="1"/>
  <c r="Q376" i="12" s="1"/>
  <c r="AB376" i="12" s="1"/>
  <c r="P376" i="12"/>
  <c r="AA376" i="12" s="1"/>
  <c r="A381" i="12"/>
  <c r="B380" i="12"/>
  <c r="A382" i="12" l="1"/>
  <c r="B381" i="12"/>
  <c r="A383" i="12" l="1"/>
  <c r="B382" i="12"/>
  <c r="P377" i="12" l="1"/>
  <c r="AA377" i="12" s="1"/>
  <c r="Q377" i="12" a="1"/>
  <c r="Q377" i="12" s="1"/>
  <c r="AB377" i="12" s="1"/>
  <c r="A384" i="12"/>
  <c r="B383" i="12"/>
  <c r="B384" i="12" l="1"/>
  <c r="A385" i="12"/>
  <c r="A386" i="12" l="1"/>
  <c r="B385" i="12"/>
  <c r="Q381" i="12" l="1" a="1"/>
  <c r="Q381" i="12" s="1"/>
  <c r="AB381" i="12" s="1"/>
  <c r="P378" i="12"/>
  <c r="AA378" i="12" s="1"/>
  <c r="P381" i="12"/>
  <c r="AA381" i="12" s="1"/>
  <c r="P389" i="12"/>
  <c r="AA389" i="12" s="1"/>
  <c r="Q389" i="12" a="1"/>
  <c r="Q389" i="12" s="1"/>
  <c r="AB389" i="12" s="1"/>
  <c r="Q378" i="12" a="1"/>
  <c r="Q378" i="12" s="1"/>
  <c r="AB378" i="12" s="1"/>
  <c r="B386" i="12"/>
  <c r="A387" i="12"/>
  <c r="B387" i="12" l="1"/>
  <c r="A388" i="12"/>
  <c r="B388" i="12" l="1"/>
  <c r="A389" i="12"/>
  <c r="A390" i="12" l="1"/>
  <c r="B389" i="12"/>
  <c r="B390" i="12" l="1"/>
  <c r="A391" i="12"/>
  <c r="A392" i="12" l="1"/>
  <c r="B391" i="12"/>
  <c r="Q385" i="12" a="1"/>
  <c r="Q385" i="12" s="1"/>
  <c r="AB385" i="12" s="1"/>
  <c r="P385" i="12"/>
  <c r="AA385" i="12" s="1"/>
  <c r="A393" i="12" l="1"/>
  <c r="B392" i="12"/>
  <c r="Q397" i="12" l="1" a="1"/>
  <c r="Q397" i="12" s="1"/>
  <c r="AB397" i="12" s="1"/>
  <c r="P397" i="12"/>
  <c r="AA397" i="12" s="1"/>
  <c r="B393" i="12"/>
  <c r="A394" i="12"/>
  <c r="A395" i="12" l="1"/>
  <c r="B394" i="12"/>
  <c r="P391" i="12" l="1"/>
  <c r="AA391" i="12" s="1"/>
  <c r="Q391" i="12" a="1"/>
  <c r="Q391" i="12" s="1"/>
  <c r="AB391" i="12" s="1"/>
  <c r="B395" i="12"/>
  <c r="A396" i="12"/>
  <c r="A397" i="12" l="1"/>
  <c r="B396" i="12"/>
  <c r="A398" i="12" l="1"/>
  <c r="B397" i="12"/>
  <c r="P395" i="12" l="1"/>
  <c r="AA395" i="12" s="1"/>
  <c r="Q395" i="12" a="1"/>
  <c r="Q395" i="12" s="1"/>
  <c r="AB395" i="12" s="1"/>
  <c r="A399" i="12"/>
  <c r="B398" i="12"/>
  <c r="Q396" i="12" l="1" a="1"/>
  <c r="Q396" i="12" s="1"/>
  <c r="AB396" i="12" s="1"/>
  <c r="P396" i="12"/>
  <c r="AA396" i="12" s="1"/>
  <c r="A400" i="12"/>
  <c r="B399" i="12"/>
  <c r="A401" i="12" l="1"/>
  <c r="B400" i="12"/>
  <c r="B401" i="12" l="1"/>
  <c r="A402" i="12"/>
  <c r="B402" i="12" l="1"/>
  <c r="A403" i="12"/>
  <c r="A404" i="12" l="1"/>
  <c r="B403" i="12"/>
  <c r="Q399" i="12" a="1"/>
  <c r="Q399" i="12" s="1"/>
  <c r="AB399" i="12" s="1"/>
  <c r="P399" i="12"/>
  <c r="AA399" i="12" s="1"/>
  <c r="P400" i="12" l="1"/>
  <c r="AA400" i="12" s="1"/>
  <c r="Q400" i="12" a="1"/>
  <c r="Q400" i="12" s="1"/>
  <c r="AB400" i="12" s="1"/>
  <c r="B404" i="12"/>
  <c r="A405" i="12"/>
  <c r="A406" i="12" l="1"/>
  <c r="B405" i="12"/>
  <c r="P401" i="12" l="1"/>
  <c r="AA401" i="12" s="1"/>
  <c r="Q402" i="12" a="1"/>
  <c r="Q402" i="12" s="1"/>
  <c r="AB402" i="12" s="1"/>
  <c r="P402" i="12"/>
  <c r="AA402" i="12" s="1"/>
  <c r="Q401" i="12" a="1"/>
  <c r="Q401" i="12" s="1"/>
  <c r="AB401" i="12" s="1"/>
  <c r="A407" i="12"/>
  <c r="B406" i="12"/>
  <c r="Q404" i="12" l="1" a="1"/>
  <c r="Q404" i="12" s="1"/>
  <c r="AB404" i="12" s="1"/>
  <c r="P404" i="12"/>
  <c r="AA404" i="12" s="1"/>
  <c r="B407" i="12"/>
  <c r="A408" i="12"/>
  <c r="A409" i="12" l="1"/>
  <c r="B408" i="12"/>
  <c r="Q409" i="12" l="1" a="1"/>
  <c r="Q409" i="12" s="1"/>
  <c r="AB409" i="12" s="1"/>
  <c r="Q407" i="12" a="1"/>
  <c r="Q407" i="12" s="1"/>
  <c r="AB407" i="12" s="1"/>
  <c r="P409" i="12"/>
  <c r="AA409" i="12" s="1"/>
  <c r="P407" i="12"/>
  <c r="AA407" i="12" s="1"/>
  <c r="A410" i="12"/>
  <c r="B409" i="12"/>
  <c r="A411" i="12" l="1"/>
  <c r="B410" i="12"/>
  <c r="B411" i="12" l="1"/>
  <c r="A412" i="12"/>
  <c r="B412" i="12" l="1"/>
  <c r="A413" i="12"/>
  <c r="B413" i="12" l="1"/>
  <c r="A414" i="12"/>
  <c r="Q411" i="12" a="1"/>
  <c r="Q411" i="12" s="1"/>
  <c r="AB411" i="12" s="1"/>
  <c r="Q413" i="12" a="1"/>
  <c r="Q413" i="12" s="1"/>
  <c r="AB413" i="12" s="1"/>
  <c r="P413" i="12"/>
  <c r="AA413" i="12" s="1"/>
  <c r="P411" i="12"/>
  <c r="AA411" i="12" s="1"/>
  <c r="A415" i="12" l="1"/>
  <c r="B414" i="12"/>
  <c r="B415" i="12" l="1"/>
  <c r="A416" i="12"/>
  <c r="B416" i="12" l="1"/>
  <c r="A417" i="12"/>
  <c r="A418" i="12" l="1"/>
  <c r="B417" i="12"/>
  <c r="A419" i="12" l="1"/>
  <c r="B418" i="12"/>
  <c r="B419" i="12" l="1"/>
  <c r="A420" i="12"/>
  <c r="A421" i="12" l="1"/>
  <c r="B420" i="12"/>
  <c r="Q437" i="12" a="1"/>
  <c r="Q437" i="12" s="1"/>
  <c r="AB437" i="12" s="1"/>
  <c r="Q418" i="12" a="1"/>
  <c r="Q418" i="12" s="1"/>
  <c r="AB418" i="12" s="1"/>
  <c r="P418" i="12"/>
  <c r="AA418" i="12" s="1"/>
  <c r="P437" i="12"/>
  <c r="AA437" i="12" s="1"/>
  <c r="B421" i="12" l="1"/>
  <c r="A422" i="12"/>
  <c r="A423" i="12" l="1"/>
  <c r="B422" i="12"/>
  <c r="B423" i="12" l="1"/>
  <c r="A424" i="12"/>
  <c r="B424" i="12" l="1"/>
  <c r="A425" i="12"/>
  <c r="P436" i="12"/>
  <c r="AA436" i="12" s="1"/>
  <c r="Q436" i="12" a="1"/>
  <c r="Q436" i="12" s="1"/>
  <c r="AB436" i="12" s="1"/>
  <c r="B425" i="12" l="1"/>
  <c r="A426" i="12"/>
  <c r="B426" i="12" l="1"/>
  <c r="A427" i="12"/>
  <c r="B427" i="12" l="1"/>
  <c r="A428" i="12"/>
  <c r="A429" i="12" l="1"/>
  <c r="B428" i="12"/>
  <c r="A430" i="12" l="1"/>
  <c r="B429" i="12"/>
  <c r="A431" i="12" l="1"/>
  <c r="B430" i="12"/>
  <c r="A432" i="12" l="1"/>
  <c r="B431" i="12"/>
  <c r="A433" i="12" l="1"/>
  <c r="B432" i="12"/>
  <c r="A434" i="12" l="1"/>
  <c r="B433" i="12"/>
  <c r="Q431" i="12" l="1" a="1"/>
  <c r="Q431" i="12" s="1"/>
  <c r="AB431" i="12" s="1"/>
  <c r="P431" i="12"/>
  <c r="AA431" i="12" s="1"/>
  <c r="B434" i="12"/>
  <c r="A435" i="12"/>
  <c r="A436" i="12" l="1"/>
  <c r="B435" i="12"/>
  <c r="Q432" i="12" a="1"/>
  <c r="Q432" i="12" s="1"/>
  <c r="AB432" i="12" s="1"/>
  <c r="P432" i="12"/>
  <c r="AA432" i="12" s="1"/>
  <c r="A437" i="12" l="1"/>
  <c r="B436" i="12"/>
  <c r="A438" i="12" l="1"/>
  <c r="B437" i="12"/>
  <c r="Q435" i="12" l="1" a="1"/>
  <c r="Q435" i="12" s="1"/>
  <c r="AB435" i="12" s="1"/>
  <c r="Q422" i="12" a="1"/>
  <c r="Q422" i="12" s="1"/>
  <c r="AB422" i="12" s="1"/>
  <c r="P422" i="12"/>
  <c r="AA422" i="12" s="1"/>
  <c r="P435" i="12"/>
  <c r="AA435" i="12" s="1"/>
  <c r="A439" i="12"/>
  <c r="B438" i="12"/>
  <c r="B439" i="12" l="1"/>
  <c r="A440" i="12"/>
  <c r="B440" i="12" l="1"/>
  <c r="A441" i="12"/>
  <c r="A442" i="12" l="1"/>
  <c r="B441" i="12"/>
  <c r="A443" i="12" l="1"/>
  <c r="B442" i="12"/>
  <c r="Q438" i="12" l="1" a="1"/>
  <c r="Q438" i="12" s="1"/>
  <c r="AB438" i="12" s="1"/>
  <c r="P438" i="12"/>
  <c r="AA438" i="12" s="1"/>
  <c r="A444" i="12"/>
  <c r="B443" i="12"/>
  <c r="B444" i="12" l="1"/>
  <c r="A445" i="12"/>
  <c r="A446" i="12" l="1"/>
  <c r="B445" i="12"/>
  <c r="A447" i="12" l="1"/>
  <c r="B446" i="12"/>
  <c r="Q442" i="12" l="1" a="1"/>
  <c r="Q442" i="12" s="1"/>
  <c r="AB442" i="12" s="1"/>
  <c r="P442" i="12"/>
  <c r="AA442" i="12" s="1"/>
  <c r="A448" i="12"/>
  <c r="B447" i="12"/>
  <c r="A449" i="12" l="1"/>
  <c r="B448" i="12"/>
  <c r="P446" i="12" l="1"/>
  <c r="AA446" i="12" s="1"/>
  <c r="Q446" i="12" a="1"/>
  <c r="Q446" i="12" s="1"/>
  <c r="AB446" i="12" s="1"/>
  <c r="A450" i="12"/>
  <c r="B449" i="12"/>
  <c r="A451" i="12" l="1"/>
  <c r="B450" i="12"/>
  <c r="A452" i="12" l="1"/>
  <c r="B451" i="12"/>
  <c r="Q448" i="12" l="1" a="1"/>
  <c r="Q448" i="12" s="1"/>
  <c r="AB448" i="12" s="1"/>
  <c r="Q455" i="12" a="1"/>
  <c r="Q455" i="12" s="1"/>
  <c r="AB455" i="12" s="1"/>
  <c r="Q445" i="12" a="1"/>
  <c r="Q445" i="12" s="1"/>
  <c r="AB445" i="12" s="1"/>
  <c r="Q447" i="12" a="1"/>
  <c r="Q447" i="12" s="1"/>
  <c r="AB447" i="12" s="1"/>
  <c r="P455" i="12"/>
  <c r="AA455" i="12" s="1"/>
  <c r="P448" i="12"/>
  <c r="AA448" i="12" s="1"/>
  <c r="P447" i="12"/>
  <c r="AA447" i="12" s="1"/>
  <c r="P445" i="12"/>
  <c r="AA445" i="12" s="1"/>
  <c r="P443" i="12"/>
  <c r="AA443" i="12" s="1"/>
  <c r="Q443" i="12" a="1"/>
  <c r="Q443" i="12" s="1"/>
  <c r="AB443" i="12" s="1"/>
  <c r="B452" i="12"/>
  <c r="A453" i="12"/>
  <c r="A454" i="12" l="1"/>
  <c r="B453" i="12"/>
  <c r="Q451" i="12" l="1" a="1"/>
  <c r="Q451" i="12" s="1"/>
  <c r="AB451" i="12" s="1"/>
  <c r="P451" i="12"/>
  <c r="AA451" i="12" s="1"/>
  <c r="B454" i="12"/>
  <c r="A455" i="12"/>
  <c r="A456" i="12" l="1"/>
  <c r="B455" i="12"/>
  <c r="A457" i="12" l="1"/>
  <c r="B456" i="12"/>
  <c r="P452" i="12" l="1"/>
  <c r="AA452" i="12" s="1"/>
  <c r="P463" i="12"/>
  <c r="AA463" i="12" s="1"/>
  <c r="Q463" i="12" a="1"/>
  <c r="Q463" i="12" s="1"/>
  <c r="AB463" i="12" s="1"/>
  <c r="Q452" i="12" a="1"/>
  <c r="Q452" i="12" s="1"/>
  <c r="AB452" i="12" s="1"/>
  <c r="A458" i="12"/>
  <c r="B457" i="12"/>
  <c r="A459" i="12" l="1"/>
  <c r="B458" i="12"/>
  <c r="A460" i="12" l="1"/>
  <c r="B459" i="12"/>
  <c r="A461" i="12" l="1"/>
  <c r="B460" i="12"/>
  <c r="P457" i="12" l="1"/>
  <c r="AA457" i="12" s="1"/>
  <c r="Q457" i="12" a="1"/>
  <c r="Q457" i="12" s="1"/>
  <c r="AB457" i="12" s="1"/>
  <c r="A462" i="12"/>
  <c r="B461" i="12"/>
  <c r="A463" i="12" l="1"/>
  <c r="B462" i="12"/>
  <c r="P459" i="12" l="1"/>
  <c r="AA459" i="12" s="1"/>
  <c r="Q459" i="12" a="1"/>
  <c r="Q459" i="12" s="1"/>
  <c r="AB459" i="12" s="1"/>
  <c r="A464" i="12"/>
  <c r="B463" i="12"/>
  <c r="A465" i="12" l="1"/>
  <c r="B464" i="12"/>
  <c r="Q444" i="12" l="1" a="1"/>
  <c r="Q444" i="12" s="1"/>
  <c r="AB444" i="12" s="1"/>
  <c r="P444" i="12"/>
  <c r="AA444" i="12" s="1"/>
  <c r="B465" i="12"/>
  <c r="A466" i="12"/>
  <c r="A467" i="12" l="1"/>
  <c r="B466" i="12"/>
  <c r="Q25" i="12" l="1" a="1"/>
  <c r="Q25" i="12" s="1"/>
  <c r="AB25" i="12" s="1"/>
  <c r="P25" i="12"/>
  <c r="AA25" i="12" s="1"/>
  <c r="A468" i="12"/>
  <c r="B467" i="12"/>
  <c r="A469" i="12" l="1"/>
  <c r="B468" i="12"/>
  <c r="P467" i="12" l="1"/>
  <c r="AA467" i="12" s="1"/>
  <c r="P476" i="12"/>
  <c r="AA476" i="12" s="1"/>
  <c r="P473" i="12"/>
  <c r="AA473" i="12" s="1"/>
  <c r="Q476" i="12" a="1"/>
  <c r="Q476" i="12" s="1"/>
  <c r="AB476" i="12" s="1"/>
  <c r="Q467" i="12" a="1"/>
  <c r="Q467" i="12" s="1"/>
  <c r="AB467" i="12" s="1"/>
  <c r="Q473" i="12" a="1"/>
  <c r="Q473" i="12" s="1"/>
  <c r="AB473" i="12" s="1"/>
  <c r="A470" i="12"/>
  <c r="B469" i="12"/>
  <c r="A471" i="12" l="1"/>
  <c r="B470" i="12"/>
  <c r="A472" i="12" l="1"/>
  <c r="B471" i="12"/>
  <c r="A473" i="12" l="1"/>
  <c r="B472" i="12"/>
  <c r="A474" i="12" l="1"/>
  <c r="B473" i="12"/>
  <c r="B474" i="12" l="1"/>
  <c r="A475" i="12"/>
  <c r="A476" i="12" l="1"/>
  <c r="B475" i="12"/>
  <c r="Q471" i="12" a="1"/>
  <c r="Q471" i="12" s="1"/>
  <c r="AB471" i="12" s="1"/>
  <c r="P471" i="12"/>
  <c r="AA471" i="12" s="1"/>
  <c r="A477" i="12" l="1"/>
  <c r="B476" i="12"/>
  <c r="B477" i="12" l="1"/>
  <c r="A478" i="12"/>
  <c r="A479" i="12" l="1"/>
  <c r="B478" i="12"/>
  <c r="A480" i="12" l="1"/>
  <c r="B479" i="12"/>
  <c r="Q483" i="12" l="1" a="1"/>
  <c r="Q483" i="12" s="1"/>
  <c r="AB483" i="12" s="1"/>
  <c r="Q478" i="12" a="1"/>
  <c r="Q478" i="12" s="1"/>
  <c r="AB478" i="12" s="1"/>
  <c r="P478" i="12"/>
  <c r="AA478" i="12" s="1"/>
  <c r="P483" i="12"/>
  <c r="AA483" i="12" s="1"/>
  <c r="A481" i="12"/>
  <c r="B480" i="12"/>
  <c r="B481" i="12" l="1"/>
  <c r="A482" i="12"/>
  <c r="A483" i="12" l="1"/>
  <c r="B482" i="12"/>
  <c r="Q480" i="12" l="1" a="1"/>
  <c r="Q480" i="12" s="1"/>
  <c r="AB480" i="12" s="1"/>
  <c r="P480" i="12"/>
  <c r="AA480" i="12" s="1"/>
  <c r="B483" i="12"/>
  <c r="A484" i="12"/>
  <c r="B484" i="12" l="1"/>
  <c r="A485" i="12"/>
  <c r="A486" i="12" l="1"/>
  <c r="B485" i="12"/>
  <c r="A487" i="12" l="1"/>
  <c r="B486" i="12"/>
  <c r="B487" i="12" l="1"/>
  <c r="A488" i="12"/>
  <c r="A489" i="12" l="1"/>
  <c r="B488" i="12"/>
  <c r="P488" i="12"/>
  <c r="AA488" i="12" s="1"/>
  <c r="P481" i="12"/>
  <c r="AA481" i="12" s="1"/>
  <c r="Q488" i="12" a="1"/>
  <c r="Q488" i="12" s="1"/>
  <c r="AB488" i="12" s="1"/>
  <c r="Q481" i="12" a="1"/>
  <c r="Q481" i="12" s="1"/>
  <c r="AB481" i="12" s="1"/>
  <c r="A490" i="12" l="1"/>
  <c r="B489" i="12"/>
  <c r="A491" i="12" l="1"/>
  <c r="B490" i="12"/>
  <c r="A492" i="12" l="1"/>
  <c r="B491" i="12"/>
  <c r="A493" i="12" l="1"/>
  <c r="B492" i="12"/>
  <c r="Q490" i="12" l="1" a="1"/>
  <c r="Q490" i="12" s="1"/>
  <c r="AB490" i="12" s="1"/>
  <c r="P490" i="12"/>
  <c r="AA490" i="12" s="1"/>
  <c r="A494" i="12"/>
  <c r="B493" i="12"/>
  <c r="A495" i="12" l="1"/>
  <c r="B494" i="12"/>
  <c r="A496" i="12" l="1"/>
  <c r="B495" i="12"/>
  <c r="Q491" i="12" l="1" a="1"/>
  <c r="Q491" i="12" s="1"/>
  <c r="AB491" i="12" s="1"/>
  <c r="P491" i="12"/>
  <c r="AA491" i="12" s="1"/>
  <c r="A497" i="12"/>
  <c r="B496" i="12"/>
  <c r="A498" i="12" l="1"/>
  <c r="B497" i="12"/>
  <c r="B498" i="12" l="1"/>
  <c r="A499" i="12"/>
  <c r="A500" i="12" l="1"/>
  <c r="B499" i="12"/>
  <c r="P496" i="12" l="1"/>
  <c r="AA496" i="12" s="1"/>
  <c r="Q496" i="12" a="1"/>
  <c r="Q496" i="12" s="1"/>
  <c r="AB496" i="12" s="1"/>
  <c r="A501" i="12"/>
  <c r="B500" i="12"/>
  <c r="Q497" i="12" l="1" a="1"/>
  <c r="Q497" i="12" s="1"/>
  <c r="AB497" i="12" s="1"/>
  <c r="P497" i="12"/>
  <c r="AA497" i="12" s="1"/>
  <c r="A502" i="12"/>
  <c r="B501" i="12"/>
  <c r="B502" i="12" l="1"/>
  <c r="A503" i="12"/>
  <c r="B503" i="12" l="1"/>
  <c r="A504" i="12"/>
  <c r="P499" i="12"/>
  <c r="AA499" i="12" s="1"/>
  <c r="P498" i="12"/>
  <c r="AA498" i="12" s="1"/>
  <c r="Q498" i="12" a="1"/>
  <c r="Q498" i="12" s="1"/>
  <c r="AB498" i="12" s="1"/>
  <c r="Q499" i="12" a="1"/>
  <c r="Q499" i="12" s="1"/>
  <c r="AB499" i="12" s="1"/>
  <c r="A505" i="12" l="1"/>
  <c r="B504" i="12"/>
  <c r="P501" i="12"/>
  <c r="AA501" i="12" s="1"/>
  <c r="Q501" i="12" a="1"/>
  <c r="Q501" i="12" s="1"/>
  <c r="AB501" i="12" s="1"/>
  <c r="A506" i="12" l="1"/>
  <c r="B505" i="12"/>
  <c r="A507" i="12" l="1"/>
  <c r="B506" i="12"/>
  <c r="P504" i="12" l="1"/>
  <c r="AA504" i="12" s="1"/>
  <c r="Q504" i="12" a="1"/>
  <c r="Q504" i="12" s="1"/>
  <c r="AB504" i="12" s="1"/>
  <c r="A508" i="12"/>
  <c r="B507" i="12"/>
  <c r="Q505" i="12" l="1" a="1"/>
  <c r="Q505" i="12" s="1"/>
  <c r="AB505" i="12" s="1"/>
  <c r="Q503" i="12" a="1"/>
  <c r="Q503" i="12" s="1"/>
  <c r="AB503" i="12" s="1"/>
  <c r="P505" i="12"/>
  <c r="AA505" i="12" s="1"/>
  <c r="P503" i="12"/>
  <c r="AA503" i="12" s="1"/>
  <c r="A509" i="12"/>
  <c r="B508" i="12"/>
  <c r="A510" i="12" l="1"/>
  <c r="B509" i="12"/>
  <c r="AB556" i="12"/>
  <c r="P556" i="12"/>
  <c r="AA556" i="12" s="1"/>
  <c r="P510" i="12" l="1"/>
  <c r="AA510" i="12" s="1"/>
  <c r="Q508" i="12" a="1"/>
  <c r="Q508" i="12" s="1"/>
  <c r="AB508" i="12" s="1"/>
  <c r="Q510" i="12" a="1"/>
  <c r="Q510" i="12" s="1"/>
  <c r="AB510" i="12" s="1"/>
  <c r="P508" i="12"/>
  <c r="AA508" i="12" s="1"/>
  <c r="A511" i="12"/>
  <c r="B510" i="12"/>
  <c r="B511" i="12" l="1"/>
  <c r="A512" i="12"/>
  <c r="B512" i="12" l="1"/>
  <c r="A513" i="12"/>
  <c r="A514" i="12" l="1"/>
  <c r="B513" i="12"/>
  <c r="P512" i="12" l="1"/>
  <c r="AA512" i="12" s="1"/>
  <c r="Q514" i="12" a="1"/>
  <c r="Q514" i="12" s="1"/>
  <c r="AB514" i="12" s="1"/>
  <c r="Q512" i="12" a="1"/>
  <c r="Q512" i="12" s="1"/>
  <c r="AB512" i="12" s="1"/>
  <c r="P514" i="12"/>
  <c r="AA514" i="12" s="1"/>
  <c r="B514" i="12"/>
  <c r="A515" i="12"/>
  <c r="B515" i="12" l="1"/>
  <c r="A516" i="12"/>
  <c r="A517" i="12" l="1"/>
  <c r="B516" i="12"/>
  <c r="B517" i="12" l="1"/>
  <c r="A518" i="12"/>
  <c r="A519" i="12" l="1"/>
  <c r="B518" i="12"/>
  <c r="A520" i="12" l="1"/>
  <c r="B519" i="12"/>
  <c r="P522" i="12" l="1"/>
  <c r="AA522" i="12" s="1"/>
  <c r="Q522" i="12" a="1"/>
  <c r="Q522" i="12" s="1"/>
  <c r="AB522" i="12" s="1"/>
  <c r="A521" i="12"/>
  <c r="B520" i="12"/>
  <c r="A522" i="12" l="1"/>
  <c r="B521" i="12"/>
  <c r="Q517" i="12" l="1" a="1"/>
  <c r="Q517" i="12" s="1"/>
  <c r="AB517" i="12" s="1"/>
  <c r="P517" i="12"/>
  <c r="AA517" i="12" s="1"/>
  <c r="B522" i="12"/>
  <c r="A523" i="12"/>
  <c r="A524" i="12" l="1"/>
  <c r="B523" i="12"/>
  <c r="Q518" i="12" l="1" a="1"/>
  <c r="Q518" i="12" s="1"/>
  <c r="AB518" i="12" s="1"/>
  <c r="Q519" i="12" a="1"/>
  <c r="Q519" i="12" s="1"/>
  <c r="AB519" i="12" s="1"/>
  <c r="P519" i="12"/>
  <c r="AA519" i="12" s="1"/>
  <c r="P526" i="12"/>
  <c r="AA526" i="12" s="1"/>
  <c r="Q526" i="12" a="1"/>
  <c r="Q526" i="12" s="1"/>
  <c r="AB526" i="12" s="1"/>
  <c r="P518" i="12"/>
  <c r="AA518" i="12" s="1"/>
  <c r="A525" i="12"/>
  <c r="B524" i="12"/>
  <c r="B525" i="12" l="1"/>
  <c r="A526" i="12"/>
  <c r="A527" i="12" l="1"/>
  <c r="B526" i="12"/>
  <c r="A528" i="12" l="1"/>
  <c r="B527" i="12"/>
  <c r="P523" i="12" l="1"/>
  <c r="AA523" i="12" s="1"/>
  <c r="Q523" i="12" a="1"/>
  <c r="Q523" i="12" s="1"/>
  <c r="AB523" i="12" s="1"/>
  <c r="A529" i="12"/>
  <c r="B528" i="12"/>
  <c r="A530" i="12" l="1"/>
  <c r="B529" i="12"/>
  <c r="B530" i="12" l="1"/>
  <c r="A531" i="12"/>
  <c r="B531" i="12" l="1"/>
  <c r="A532" i="12"/>
  <c r="A533" i="12" l="1"/>
  <c r="B532" i="12"/>
  <c r="A534" i="12" l="1"/>
  <c r="B533" i="12"/>
  <c r="A535" i="12" l="1"/>
  <c r="B534" i="12"/>
  <c r="B535" i="12" l="1"/>
  <c r="A536" i="12"/>
  <c r="A537" i="12" l="1"/>
  <c r="B536" i="12"/>
  <c r="A538" i="12" l="1"/>
  <c r="B537" i="12"/>
  <c r="Q535" i="12" l="1" a="1"/>
  <c r="Q535" i="12" s="1"/>
  <c r="AB535" i="12" s="1"/>
  <c r="P535" i="12"/>
  <c r="AA535" i="12" s="1"/>
  <c r="A539" i="12"/>
  <c r="B538" i="12"/>
  <c r="A540" i="12" l="1"/>
  <c r="B539" i="12"/>
  <c r="B540" i="12" l="1"/>
  <c r="A541" i="12"/>
  <c r="A542" i="12" l="1"/>
  <c r="B541" i="12"/>
  <c r="B542" i="12" l="1"/>
  <c r="A543" i="12"/>
  <c r="A544" i="12" l="1"/>
  <c r="B543" i="12"/>
  <c r="A545" i="12" l="1"/>
  <c r="B544" i="12"/>
  <c r="A546" i="12" l="1"/>
  <c r="B545" i="12"/>
  <c r="B546" i="12" l="1"/>
  <c r="A547" i="12"/>
  <c r="B547" i="12" l="1"/>
  <c r="A548" i="12"/>
  <c r="B548" i="12" l="1"/>
  <c r="A549" i="12"/>
  <c r="A550" i="12" l="1"/>
  <c r="B549" i="12"/>
  <c r="Q536" i="12" a="1"/>
  <c r="Q536" i="12" s="1"/>
  <c r="AB536" i="12" s="1"/>
  <c r="P536" i="12"/>
  <c r="AA536" i="12" s="1"/>
  <c r="B550" i="12" l="1"/>
  <c r="A551" i="12"/>
  <c r="A552" i="12" l="1"/>
  <c r="B551" i="12"/>
  <c r="A553" i="12" l="1"/>
  <c r="B552" i="12"/>
  <c r="B553" i="12" l="1"/>
  <c r="A554" i="12"/>
  <c r="A555" i="12" l="1"/>
  <c r="B554" i="12"/>
  <c r="B555" i="12" l="1"/>
  <c r="A556" i="12"/>
  <c r="A557" i="12" l="1"/>
  <c r="B556" i="12"/>
  <c r="Q547" i="12" l="1" a="1"/>
  <c r="Q547" i="12" s="1"/>
  <c r="AB547" i="12" s="1"/>
  <c r="P547" i="12"/>
  <c r="AA547" i="12" s="1"/>
  <c r="A558" i="12"/>
  <c r="B557" i="12"/>
  <c r="A559" i="12" l="1"/>
  <c r="B558" i="12"/>
  <c r="P580" i="12" l="1"/>
  <c r="AA580" i="12" s="1"/>
  <c r="Q580" i="12" a="1"/>
  <c r="Q580" i="12" s="1"/>
  <c r="AB580" i="12" s="1"/>
  <c r="A560" i="12"/>
  <c r="B559" i="12"/>
  <c r="A561" i="12" l="1"/>
  <c r="B560" i="12"/>
  <c r="A562" i="12" l="1"/>
  <c r="B561" i="12"/>
  <c r="Q571" i="12" l="1" a="1"/>
  <c r="Q571" i="12" s="1"/>
  <c r="AB571" i="12" s="1"/>
  <c r="P571" i="12"/>
  <c r="AA571" i="12" s="1"/>
  <c r="Q557" i="12" a="1"/>
  <c r="Q557" i="12" s="1"/>
  <c r="AB557" i="12" s="1"/>
  <c r="P557" i="12"/>
  <c r="AA557" i="12" s="1"/>
  <c r="B562" i="12"/>
  <c r="A563" i="12"/>
  <c r="A564" i="12" l="1"/>
  <c r="B563" i="12"/>
  <c r="A565" i="12" l="1"/>
  <c r="B564" i="12"/>
  <c r="A566" i="12" l="1"/>
  <c r="B565" i="12"/>
  <c r="B566" i="12" l="1"/>
  <c r="A567" i="12"/>
  <c r="B567" i="12" l="1"/>
  <c r="A568" i="12"/>
  <c r="B568" i="12" l="1"/>
  <c r="A569" i="12"/>
  <c r="A570" i="12" l="1"/>
  <c r="B569" i="12"/>
  <c r="A571" i="12" l="1"/>
  <c r="B570" i="12"/>
  <c r="B571" i="12" l="1"/>
  <c r="A572" i="12"/>
  <c r="A573" i="12" l="1"/>
  <c r="B572" i="12"/>
  <c r="P569" i="12" l="1"/>
  <c r="AA569" i="12" s="1"/>
  <c r="Q569" i="12" a="1"/>
  <c r="Q569" i="12" s="1"/>
  <c r="AB569" i="12" s="1"/>
  <c r="A574" i="12"/>
  <c r="B573" i="12"/>
  <c r="A575" i="12" l="1"/>
  <c r="B574" i="12"/>
  <c r="A576" i="12" l="1"/>
  <c r="B575" i="12"/>
  <c r="B576" i="12" l="1"/>
  <c r="A577" i="12"/>
  <c r="A578" i="12" l="1"/>
  <c r="B577" i="12"/>
  <c r="B578" i="12" l="1"/>
  <c r="A579" i="12"/>
  <c r="B579" i="12" l="1"/>
  <c r="A580" i="12"/>
  <c r="A581" i="12" l="1"/>
  <c r="B580" i="12"/>
  <c r="A582" i="12" l="1"/>
  <c r="B581" i="12"/>
  <c r="A583" i="12" l="1"/>
  <c r="B582" i="12"/>
  <c r="B583" i="12" l="1"/>
  <c r="A584" i="12"/>
  <c r="A585" i="12" l="1"/>
  <c r="B584" i="12"/>
  <c r="A586" i="12" l="1"/>
  <c r="B585" i="12"/>
  <c r="P586" i="12" l="1"/>
  <c r="AA586" i="12" s="1"/>
  <c r="Q584" i="12" a="1"/>
  <c r="Q584" i="12" s="1"/>
  <c r="AB584" i="12" s="1"/>
  <c r="P584" i="12"/>
  <c r="AA584" i="12" s="1"/>
  <c r="Q586" i="12" a="1"/>
  <c r="Q586" i="12" s="1"/>
  <c r="AB586" i="12" s="1"/>
  <c r="B586" i="12"/>
  <c r="A587" i="12"/>
  <c r="A588" i="12" l="1"/>
  <c r="B587" i="12"/>
  <c r="B588" i="12" l="1"/>
  <c r="A589" i="12"/>
  <c r="A590" i="12" l="1"/>
  <c r="B589" i="12"/>
  <c r="A591" i="12" l="1"/>
  <c r="B590" i="12"/>
  <c r="Q588" i="12" l="1" a="1"/>
  <c r="Q588" i="12" s="1"/>
  <c r="AB588" i="12" s="1"/>
  <c r="P588" i="12"/>
  <c r="AA588" i="12" s="1"/>
  <c r="B591" i="12"/>
  <c r="A592" i="12"/>
  <c r="A593" i="12" l="1"/>
  <c r="B592" i="12"/>
  <c r="P587" i="12"/>
  <c r="AA587" i="12" s="1"/>
  <c r="Q587" i="12" a="1"/>
  <c r="Q587" i="12" s="1"/>
  <c r="AB587" i="12" s="1"/>
  <c r="B593" i="12" l="1"/>
  <c r="A594" i="12"/>
  <c r="A595" i="12" l="1"/>
  <c r="B594" i="12"/>
  <c r="A596" i="12" l="1"/>
  <c r="B595" i="12"/>
  <c r="P591" i="12" l="1"/>
  <c r="AA591" i="12" s="1"/>
  <c r="P600" i="12"/>
  <c r="AA600" i="12" s="1"/>
  <c r="Q591" i="12" a="1"/>
  <c r="Q591" i="12" s="1"/>
  <c r="AB591" i="12" s="1"/>
  <c r="P592" i="12"/>
  <c r="AA592" i="12" s="1"/>
  <c r="Q589" i="12" a="1"/>
  <c r="Q589" i="12" s="1"/>
  <c r="AB589" i="12" s="1"/>
  <c r="Q600" i="12" a="1"/>
  <c r="Q600" i="12" s="1"/>
  <c r="AB600" i="12" s="1"/>
  <c r="Q592" i="12" a="1"/>
  <c r="Q592" i="12" s="1"/>
  <c r="AB592" i="12" s="1"/>
  <c r="P589" i="12"/>
  <c r="AA589" i="12" s="1"/>
  <c r="B596" i="12"/>
  <c r="A597" i="12"/>
  <c r="A598" i="12" l="1"/>
  <c r="B597" i="12"/>
  <c r="P595" i="12" l="1"/>
  <c r="AA595" i="12" s="1"/>
  <c r="Q595" i="12" a="1"/>
  <c r="Q595" i="12" s="1"/>
  <c r="AB595" i="12" s="1"/>
  <c r="B598" i="12"/>
  <c r="A599" i="12"/>
  <c r="B599" i="12" l="1"/>
  <c r="A600" i="12"/>
  <c r="A601" i="12" l="1"/>
  <c r="B600" i="12"/>
  <c r="A602" i="12" l="1"/>
  <c r="B601" i="12"/>
  <c r="Q590" i="12" l="1" a="1"/>
  <c r="Q590" i="12" s="1"/>
  <c r="AB590" i="12" s="1"/>
  <c r="P590" i="12"/>
  <c r="AA590" i="12" s="1"/>
  <c r="A603" i="12"/>
  <c r="B602" i="12"/>
  <c r="B603" i="12" l="1"/>
  <c r="A604" i="12"/>
  <c r="B604" i="12" l="1"/>
  <c r="A605" i="12"/>
  <c r="Q596" i="12" a="1"/>
  <c r="Q596" i="12" s="1"/>
  <c r="AB596" i="12" s="1"/>
  <c r="P594" i="12"/>
  <c r="AA594" i="12" s="1"/>
  <c r="P450" i="12"/>
  <c r="AA450" i="12" s="1"/>
  <c r="P596" i="12"/>
  <c r="AA596" i="12" s="1"/>
  <c r="P461" i="12"/>
  <c r="AA461" i="12" s="1"/>
  <c r="Q450" i="12" a="1"/>
  <c r="Q450" i="12" s="1"/>
  <c r="AB450" i="12" s="1"/>
  <c r="Q594" i="12" a="1"/>
  <c r="Q594" i="12" s="1"/>
  <c r="AB594" i="12" s="1"/>
  <c r="Q461" i="12" a="1"/>
  <c r="Q461" i="12" s="1"/>
  <c r="AB461" i="12" s="1"/>
  <c r="A606" i="12" l="1"/>
  <c r="B605" i="12"/>
  <c r="P606" i="12"/>
  <c r="AA606" i="12" s="1"/>
  <c r="Q606" i="12" a="1"/>
  <c r="Q606" i="12" s="1"/>
  <c r="AB606" i="12" s="1"/>
  <c r="B606" i="12" l="1"/>
  <c r="A607" i="12"/>
  <c r="A608" i="12" l="1"/>
  <c r="B607" i="12"/>
  <c r="Q605" i="12" l="1" a="1"/>
  <c r="Q605" i="12" s="1"/>
  <c r="AB605" i="12" s="1"/>
  <c r="P605" i="12"/>
  <c r="AA605" i="12" s="1"/>
  <c r="B608" i="12"/>
  <c r="A609" i="12"/>
  <c r="A610" i="12" l="1"/>
  <c r="B609" i="12"/>
  <c r="P611" i="12"/>
  <c r="AA611" i="12" s="1"/>
  <c r="Q611" i="12" a="1"/>
  <c r="Q611" i="12" s="1"/>
  <c r="AB611" i="12" s="1"/>
  <c r="A611" i="12" l="1"/>
  <c r="B610" i="12"/>
  <c r="A612" i="12" l="1"/>
  <c r="B611" i="12"/>
  <c r="A613" i="12" l="1"/>
  <c r="B612" i="12"/>
  <c r="Q610" i="12" l="1" a="1"/>
  <c r="Q610" i="12" s="1"/>
  <c r="AB610" i="12" s="1"/>
  <c r="P610" i="12"/>
  <c r="AA610" i="12" s="1"/>
  <c r="B613" i="12"/>
  <c r="A614" i="12"/>
  <c r="B614" i="12" l="1"/>
  <c r="A615" i="12"/>
  <c r="B615" i="12" l="1"/>
  <c r="A616" i="12"/>
  <c r="Q373" i="12" a="1"/>
  <c r="Q373" i="12" s="1"/>
  <c r="AB373" i="12" s="1"/>
  <c r="P373" i="12"/>
  <c r="AA373" i="12" s="1"/>
  <c r="A617" i="12" l="1"/>
  <c r="B616" i="12"/>
  <c r="A618" i="12" l="1"/>
  <c r="B617" i="12"/>
  <c r="Q620" i="12" l="1" a="1"/>
  <c r="Q620" i="12" s="1"/>
  <c r="AB620" i="12" s="1"/>
  <c r="P620" i="12"/>
  <c r="AA620" i="12" s="1"/>
  <c r="B618" i="12"/>
  <c r="A619" i="12"/>
  <c r="P656" i="12"/>
  <c r="AA656" i="12" s="1"/>
  <c r="AB656" i="12"/>
  <c r="B619" i="12" l="1"/>
  <c r="A620" i="12"/>
  <c r="A621" i="12" l="1"/>
  <c r="B620" i="12"/>
  <c r="B621" i="12" l="1"/>
  <c r="A622" i="12"/>
  <c r="B622" i="12" l="1"/>
  <c r="A623" i="12"/>
  <c r="P619" i="12"/>
  <c r="AA619" i="12" s="1"/>
  <c r="Q619" i="12" a="1"/>
  <c r="Q619" i="12" s="1"/>
  <c r="AB619" i="12" s="1"/>
  <c r="Q625" i="12" a="1"/>
  <c r="Q625" i="12" s="1"/>
  <c r="AB625" i="12" s="1"/>
  <c r="P625" i="12"/>
  <c r="AA625" i="12" s="1"/>
  <c r="A624" i="12" l="1"/>
  <c r="B623" i="12"/>
  <c r="A625" i="12" l="1"/>
  <c r="B624" i="12"/>
  <c r="AB653" i="12"/>
  <c r="P653" i="12"/>
  <c r="AA653" i="12" s="1"/>
  <c r="AB652" i="12"/>
  <c r="P652" i="12"/>
  <c r="AA652" i="12" s="1"/>
  <c r="A626" i="12" l="1"/>
  <c r="B625" i="12"/>
  <c r="A627" i="12" l="1"/>
  <c r="B626" i="12"/>
  <c r="Q624" i="12" l="1" a="1"/>
  <c r="Q624" i="12" s="1"/>
  <c r="AB624" i="12" s="1"/>
  <c r="P624" i="12"/>
  <c r="AA624" i="12" s="1"/>
  <c r="B627" i="12"/>
  <c r="A628" i="12"/>
  <c r="B628" i="12" l="1"/>
  <c r="A629" i="12"/>
  <c r="A630" i="12" l="1"/>
  <c r="B629" i="12"/>
  <c r="P628" i="12" l="1"/>
  <c r="AA628" i="12" s="1"/>
  <c r="Q628" i="12" a="1"/>
  <c r="Q628" i="12" s="1"/>
  <c r="AB628" i="12" s="1"/>
  <c r="P630" i="12"/>
  <c r="AA630" i="12" s="1"/>
  <c r="Q630" i="12" a="1"/>
  <c r="Q630" i="12" s="1"/>
  <c r="AB630" i="12" s="1"/>
  <c r="B630" i="12"/>
  <c r="A631" i="12"/>
  <c r="A632" i="12" l="1"/>
  <c r="B631" i="12"/>
  <c r="A633" i="12" l="1"/>
  <c r="B632" i="12"/>
  <c r="Q616" i="12" l="1" a="1"/>
  <c r="Q616" i="12" s="1"/>
  <c r="AB616" i="12" s="1"/>
  <c r="P616" i="12"/>
  <c r="AA616" i="12" s="1"/>
  <c r="B633" i="12"/>
  <c r="A634" i="12"/>
  <c r="B634" i="12" l="1"/>
  <c r="A635" i="12"/>
  <c r="B635" i="12" l="1"/>
  <c r="A636" i="12"/>
  <c r="P633" i="12"/>
  <c r="AA633" i="12" s="1"/>
  <c r="P635" i="12"/>
  <c r="AA635" i="12" s="1"/>
  <c r="Q633" i="12" a="1"/>
  <c r="Q633" i="12" s="1"/>
  <c r="AB633" i="12" s="1"/>
  <c r="Q635" i="12" a="1"/>
  <c r="Q635" i="12" s="1"/>
  <c r="AB635" i="12" s="1"/>
  <c r="B636" i="12" l="1"/>
  <c r="A637" i="12"/>
  <c r="A638" i="12" l="1"/>
  <c r="B637" i="12"/>
  <c r="A639" i="12" l="1"/>
  <c r="B638" i="12"/>
  <c r="P643" i="12" l="1"/>
  <c r="AA643" i="12" s="1"/>
  <c r="P637" i="12"/>
  <c r="AA637" i="12" s="1"/>
  <c r="Q637" i="12" a="1"/>
  <c r="Q637" i="12" s="1"/>
  <c r="AB637" i="12" s="1"/>
  <c r="Q643" i="12" a="1"/>
  <c r="Q643" i="12" s="1"/>
  <c r="AB643" i="12" s="1"/>
  <c r="A640" i="12"/>
  <c r="B639" i="12"/>
  <c r="A641" i="12" l="1"/>
  <c r="B640" i="12"/>
  <c r="A642" i="12" l="1"/>
  <c r="B641" i="12"/>
  <c r="A643" i="12" l="1"/>
  <c r="B642" i="12"/>
  <c r="A644" i="12" l="1"/>
  <c r="B643" i="12"/>
  <c r="P641" i="12" l="1"/>
  <c r="AA641" i="12" s="1"/>
  <c r="Q641" i="12" a="1"/>
  <c r="Q641" i="12" s="1"/>
  <c r="AB641" i="12" s="1"/>
  <c r="A645" i="12"/>
  <c r="B644" i="12"/>
  <c r="B645" i="12" l="1"/>
  <c r="A646" i="12"/>
  <c r="A647" i="12" l="1"/>
  <c r="B646" i="12"/>
  <c r="B647" i="12" l="1"/>
  <c r="A648" i="12"/>
  <c r="B648" i="12" l="1"/>
  <c r="A649" i="12"/>
  <c r="P642" i="12"/>
  <c r="AA642" i="12" s="1"/>
  <c r="Q642" i="12" a="1"/>
  <c r="Q642" i="12" s="1"/>
  <c r="AB642" i="12" s="1"/>
  <c r="B649" i="12" l="1"/>
  <c r="A650" i="12"/>
  <c r="B650" i="12" l="1"/>
  <c r="A651" i="12"/>
  <c r="P648" i="12"/>
  <c r="AA648" i="12" s="1"/>
  <c r="Q650" i="12" a="1"/>
  <c r="Q650" i="12" s="1"/>
  <c r="AB650" i="12" s="1"/>
  <c r="Q648" i="12" a="1"/>
  <c r="Q648" i="12" s="1"/>
  <c r="AB648" i="12" s="1"/>
  <c r="P650" i="12"/>
  <c r="AA650" i="12" s="1"/>
  <c r="A652" i="12" l="1"/>
  <c r="B651" i="12"/>
  <c r="A653" i="12" l="1"/>
  <c r="B652" i="12"/>
  <c r="B653" i="12" l="1"/>
  <c r="A654" i="12"/>
  <c r="B654" i="12" l="1"/>
  <c r="A655" i="12"/>
  <c r="Q631" i="12" a="1"/>
  <c r="Q631" i="12" s="1"/>
  <c r="AB631" i="12" s="1"/>
  <c r="P631" i="12"/>
  <c r="AA631" i="12" s="1"/>
  <c r="P646" i="12"/>
  <c r="AA646" i="12" s="1"/>
  <c r="Q646" i="12" a="1"/>
  <c r="Q646" i="12" s="1"/>
  <c r="AB646" i="12" s="1"/>
  <c r="A656" i="12" l="1"/>
  <c r="B655" i="12"/>
  <c r="B656" i="12" l="1"/>
  <c r="A657" i="12"/>
  <c r="B657" i="12" l="1"/>
  <c r="A658" i="12"/>
  <c r="Q654" i="12" a="1"/>
  <c r="Q654" i="12" s="1"/>
  <c r="AB654" i="12" s="1"/>
  <c r="P654" i="12"/>
  <c r="AA654" i="12" s="1"/>
  <c r="B658" i="12" l="1"/>
  <c r="A659" i="12"/>
  <c r="Q655" i="12" a="1"/>
  <c r="Q655" i="12" s="1"/>
  <c r="AB655" i="12" s="1"/>
  <c r="P655" i="12"/>
  <c r="AA655" i="12" s="1"/>
  <c r="A660" i="12" l="1"/>
  <c r="Z3" i="12" a="1"/>
  <c r="Z3" i="12" s="1"/>
  <c r="B659" i="12"/>
  <c r="D659" i="12"/>
  <c r="Q659" i="12" l="1" a="1"/>
  <c r="Q659" i="12" s="1"/>
  <c r="AB659" i="12" s="1"/>
  <c r="O659" i="12" a="1"/>
  <c r="O659" i="12" s="1"/>
  <c r="Z659" i="12" s="1"/>
  <c r="B660" i="12"/>
  <c r="A661" i="12"/>
  <c r="B661" i="12" l="1"/>
  <c r="A662" i="12"/>
  <c r="B662" i="12" l="1"/>
  <c r="A663" i="12"/>
  <c r="A664" i="12" l="1"/>
  <c r="B663" i="12"/>
  <c r="A665" i="12" l="1"/>
  <c r="B664" i="12"/>
  <c r="B665" i="12" l="1"/>
  <c r="A666" i="12"/>
  <c r="B666" i="12" l="1"/>
  <c r="A667" i="12"/>
  <c r="A668" i="12" l="1"/>
  <c r="B667" i="12"/>
  <c r="B668" i="12" l="1"/>
  <c r="A669" i="12"/>
  <c r="A670" i="12" l="1"/>
  <c r="B669" i="12"/>
  <c r="A671" i="12" l="1"/>
  <c r="B670" i="12"/>
  <c r="A672" i="12" l="1"/>
  <c r="B671" i="12"/>
  <c r="A673" i="12" l="1"/>
  <c r="B672" i="12"/>
  <c r="A674" i="12" l="1"/>
  <c r="B673" i="12"/>
  <c r="B674" i="12" l="1"/>
  <c r="A675" i="12"/>
  <c r="B675" i="12" l="1"/>
  <c r="A676" i="12"/>
  <c r="A677" i="12" l="1"/>
  <c r="B676" i="12"/>
  <c r="A678" i="12" l="1"/>
  <c r="B677" i="12"/>
  <c r="A679" i="12" l="1"/>
  <c r="B678" i="12"/>
  <c r="B679" i="12" l="1"/>
  <c r="A680" i="12"/>
  <c r="B680" i="12" l="1"/>
  <c r="A681" i="12"/>
  <c r="B68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Cass Blodgett</author>
  </authors>
  <commentList>
    <comment ref="D297" authorId="0" shapeId="0" xr:uid="{43B33289-C207-42C9-98E4-EDA32919FB1A}">
      <text>
        <r>
          <rPr>
            <b/>
            <sz val="9"/>
            <color indexed="81"/>
            <rFont val="Tahoma"/>
            <family val="2"/>
          </rPr>
          <t>Cass Blodgett:</t>
        </r>
        <r>
          <rPr>
            <sz val="9"/>
            <color indexed="81"/>
            <rFont val="Tahoma"/>
            <family val="2"/>
          </rPr>
          <t xml:space="preserve">
This is the only place this is used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<sst xmlns="http://schemas.openxmlformats.org/spreadsheetml/2006/main" count="2470" uniqueCount="738">
  <si>
    <t>JMP</t>
  </si>
  <si>
    <t>DSKY</t>
  </si>
  <si>
    <t>ZERO</t>
  </si>
  <si>
    <t>ONE</t>
  </si>
  <si>
    <t>TWO</t>
  </si>
  <si>
    <t>THREE</t>
  </si>
  <si>
    <t>FOUR</t>
  </si>
  <si>
    <t>RESET</t>
  </si>
  <si>
    <t>FIVE</t>
  </si>
  <si>
    <t>SIX</t>
  </si>
  <si>
    <t>SEVEN</t>
  </si>
  <si>
    <t>EIGHT</t>
  </si>
  <si>
    <t>NINE</t>
  </si>
  <si>
    <t>DP</t>
  </si>
  <si>
    <t>CLR</t>
  </si>
  <si>
    <t>PLUS</t>
  </si>
  <si>
    <t>MINUS</t>
  </si>
  <si>
    <t>MULT</t>
  </si>
  <si>
    <t>DIV</t>
  </si>
  <si>
    <t>Addr</t>
  </si>
  <si>
    <t>Label</t>
  </si>
  <si>
    <t xml:space="preserve">DSKY  </t>
  </si>
  <si>
    <t xml:space="preserve">Bra </t>
  </si>
  <si>
    <t>SEQ</t>
  </si>
  <si>
    <t>FixDP</t>
  </si>
  <si>
    <t>COPYXY</t>
  </si>
  <si>
    <t>CopyXY</t>
  </si>
  <si>
    <t>OPADD</t>
  </si>
  <si>
    <t>BRDigFull</t>
  </si>
  <si>
    <t>OPSUB</t>
  </si>
  <si>
    <t>BRDigEmpty</t>
  </si>
  <si>
    <t xml:space="preserve">REG </t>
  </si>
  <si>
    <t>Hex</t>
  </si>
  <si>
    <t>v2.0 raw</t>
  </si>
  <si>
    <t>X2</t>
  </si>
  <si>
    <t>HWINTEN</t>
  </si>
  <si>
    <t>Target</t>
  </si>
  <si>
    <t>1[7:0]</t>
  </si>
  <si>
    <t>1[3:0]</t>
  </si>
  <si>
    <t>KeyAck</t>
  </si>
  <si>
    <t>SignY</t>
  </si>
  <si>
    <t>CarryEn</t>
  </si>
  <si>
    <t xml:space="preserve"> </t>
  </si>
  <si>
    <t>ENTOP1</t>
  </si>
  <si>
    <t>I[3:0]</t>
  </si>
  <si>
    <t>BRDecEven</t>
  </si>
  <si>
    <t>DPAdjX</t>
  </si>
  <si>
    <t>DPAdjY</t>
  </si>
  <si>
    <t>D[7:0]</t>
  </si>
  <si>
    <t>I[15:8]</t>
  </si>
  <si>
    <t>I[23:16]</t>
  </si>
  <si>
    <t>2[7:0]</t>
  </si>
  <si>
    <t>3[7:0]</t>
  </si>
  <si>
    <t>CircX</t>
  </si>
  <si>
    <t>EntNumX</t>
  </si>
  <si>
    <t>LeftJustX</t>
  </si>
  <si>
    <t>NxtPh</t>
  </si>
  <si>
    <t>LEADZERO</t>
  </si>
  <si>
    <t>SUB</t>
  </si>
  <si>
    <t>Reset sequence</t>
  </si>
  <si>
    <t>ClrXPh1</t>
  </si>
  <si>
    <t>ClrYPh2</t>
  </si>
  <si>
    <t>AddSub</t>
  </si>
  <si>
    <t>SelXSum</t>
  </si>
  <si>
    <t>BRSignX</t>
  </si>
  <si>
    <t>SIGX</t>
  </si>
  <si>
    <t>SIGY</t>
  </si>
  <si>
    <t>BRSignY</t>
  </si>
  <si>
    <t>ExchXY</t>
  </si>
  <si>
    <t>SubXY</t>
  </si>
  <si>
    <t>SIGADJ</t>
  </si>
  <si>
    <t>SIGXY1</t>
  </si>
  <si>
    <t>DPADJ</t>
  </si>
  <si>
    <t>BRIsNeg</t>
  </si>
  <si>
    <t>COMPSUM</t>
  </si>
  <si>
    <t>Invert the sign bit of Y operand and just treat like an ADD</t>
  </si>
  <si>
    <t xml:space="preserve">Operand is negative </t>
  </si>
  <si>
    <t>BRInOP2Ph</t>
  </si>
  <si>
    <t>1[5:0], 3[7]</t>
  </si>
  <si>
    <t>I[5:0], I23</t>
  </si>
  <si>
    <t>I[22]</t>
  </si>
  <si>
    <t>3[6]</t>
  </si>
  <si>
    <t>I[7:5]</t>
  </si>
  <si>
    <t>1[7:5]</t>
  </si>
  <si>
    <t>2[7:0], 3[2:0]</t>
  </si>
  <si>
    <t>CLRSIGNX</t>
  </si>
  <si>
    <t>BRCarryO</t>
  </si>
  <si>
    <t>FINALCARRY</t>
  </si>
  <si>
    <t>If final add has carry out, then shift Xreg and decimal point right and bring X9 into MSD</t>
  </si>
  <si>
    <t>CopyYQ</t>
  </si>
  <si>
    <t>BRQLZero</t>
  </si>
  <si>
    <t>If EAC then Incr X9</t>
  </si>
  <si>
    <t>Else goto the reg shifts</t>
  </si>
  <si>
    <t>EACX91</t>
  </si>
  <si>
    <t>X=X+Y</t>
  </si>
  <si>
    <t>If EAC X9++</t>
  </si>
  <si>
    <t>QL--</t>
  </si>
  <si>
    <t>QLDECR1</t>
  </si>
  <si>
    <t>Copy RegY to RegQ, Set OPRph</t>
  </si>
  <si>
    <t>BRX9Zero</t>
  </si>
  <si>
    <t>Copy Sint to XDP</t>
  </si>
  <si>
    <t>Else SHR X9 into X8</t>
  </si>
  <si>
    <t>I[13:8]</t>
  </si>
  <si>
    <t>2[5:0]</t>
  </si>
  <si>
    <t>I[14]</t>
  </si>
  <si>
    <t>I[15]</t>
  </si>
  <si>
    <t>2[6]</t>
  </si>
  <si>
    <t>00</t>
  </si>
  <si>
    <t>0</t>
  </si>
  <si>
    <t>000</t>
  </si>
  <si>
    <t>001</t>
  </si>
  <si>
    <t>010</t>
  </si>
  <si>
    <t>011</t>
  </si>
  <si>
    <t>100</t>
  </si>
  <si>
    <t>101</t>
  </si>
  <si>
    <t>110</t>
  </si>
  <si>
    <t>111</t>
  </si>
  <si>
    <t>1111</t>
  </si>
  <si>
    <t>BRInOp2Ph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</si>
  <si>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</si>
  <si>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</si>
  <si>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</si>
  <si>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</si>
  <si>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</si>
  <si>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</si>
  <si>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</si>
  <si>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</si>
  <si>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</si>
  <si>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</si>
  <si>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</si>
  <si>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</si>
  <si>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</si>
  <si>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</si>
  <si>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</si>
  <si>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</t>
  </si>
  <si>
    <t>1[4]</t>
  </si>
  <si>
    <t>Jmp/Bra</t>
  </si>
  <si>
    <t>BR*</t>
  </si>
  <si>
    <t>RegCmd</t>
  </si>
  <si>
    <t>000010</t>
  </si>
  <si>
    <t>000001</t>
  </si>
  <si>
    <t>000101</t>
  </si>
  <si>
    <t>000100</t>
  </si>
  <si>
    <t>010100</t>
  </si>
  <si>
    <t>010001</t>
  </si>
  <si>
    <t>2[7]</t>
  </si>
  <si>
    <t>3[2:0]</t>
  </si>
  <si>
    <t>ALUCmd</t>
  </si>
  <si>
    <t>2[7:6]</t>
  </si>
  <si>
    <t>x1</t>
  </si>
  <si>
    <t>1x</t>
  </si>
  <si>
    <t>LEFTJUST</t>
  </si>
  <si>
    <t>Move Dint into Xdp</t>
  </si>
  <si>
    <t>100010</t>
  </si>
  <si>
    <t>INITDIVDND</t>
  </si>
  <si>
    <t>When the diff turns neg, add Y back once</t>
  </si>
  <si>
    <t>Repeat X=X-Y until difference turns negative</t>
  </si>
  <si>
    <t>Adding Y back once</t>
  </si>
  <si>
    <t>Sign handler.  Test SignX first</t>
  </si>
  <si>
    <t>SignX=0, go check Yreg.</t>
  </si>
  <si>
    <t>Operands both Pos or both Neg.  Add X to Y</t>
  </si>
  <si>
    <r>
      <t xml:space="preserve">SignX=1; Test SigY. </t>
    </r>
    <r>
      <rPr>
        <u/>
        <sz val="11"/>
        <rFont val="Calibri"/>
        <family val="2"/>
        <scheme val="minor"/>
      </rPr>
      <t xml:space="preserve"> If both neg, Goto ADD</t>
    </r>
    <r>
      <rPr>
        <sz val="11"/>
        <rFont val="Calibri"/>
        <family val="2"/>
        <scheme val="minor"/>
      </rPr>
      <t>; result is neg. SignX already set.</t>
    </r>
  </si>
  <si>
    <t>SignX=1; SignY=0, goto SIGX</t>
  </si>
  <si>
    <t>OPSUB-&gt; X=X-Y</t>
  </si>
  <si>
    <t>Resut is negative number, 10's comp it and set SignX</t>
  </si>
  <si>
    <t>I[21:19]</t>
  </si>
  <si>
    <t>3[5:3]</t>
  </si>
  <si>
    <t>I[18:16]</t>
  </si>
  <si>
    <t>3[7:6]</t>
  </si>
  <si>
    <t>10</t>
  </si>
  <si>
    <t>01</t>
  </si>
  <si>
    <t>SEQ/DSKY</t>
  </si>
  <si>
    <t>Copy X&lt;Q</t>
  </si>
  <si>
    <t>000000</t>
  </si>
  <si>
    <t>Test if Y larger than X, is partial dividend(X) divisible by divisor(Y)?</t>
  </si>
  <si>
    <t>BRDpOvrfl</t>
  </si>
  <si>
    <t>FRACADJ</t>
  </si>
  <si>
    <t>X3</t>
  </si>
  <si>
    <t>Clear X9 so it does not pollute quotient</t>
  </si>
  <si>
    <t>SelYZero</t>
  </si>
  <si>
    <t>XDigCnt</t>
  </si>
  <si>
    <t>XDPCnt</t>
  </si>
  <si>
    <t>KeyMCntSel</t>
  </si>
  <si>
    <t>BRDPFree</t>
  </si>
  <si>
    <t>COUNTMETA</t>
  </si>
  <si>
    <t>SINTCNT</t>
  </si>
  <si>
    <t>BRinOP2ph</t>
  </si>
  <si>
    <t>OP2DINT</t>
  </si>
  <si>
    <t>Incr SintCnt</t>
  </si>
  <si>
    <t>If InOP2ph, Goto OP2Dint</t>
  </si>
  <si>
    <t>Done</t>
  </si>
  <si>
    <t>SelXX9</t>
  </si>
  <si>
    <r>
      <rPr>
        <u/>
        <sz val="11"/>
        <rFont val="Calibri"/>
        <family val="2"/>
        <scheme val="minor"/>
      </rPr>
      <t>SigX=0</t>
    </r>
    <r>
      <rPr>
        <sz val="11"/>
        <rFont val="Calibri"/>
        <family val="2"/>
        <scheme val="minor"/>
      </rPr>
      <t>; Test SigY.</t>
    </r>
    <r>
      <rPr>
        <u/>
        <sz val="11"/>
        <rFont val="Calibri"/>
        <family val="2"/>
        <scheme val="minor"/>
      </rPr>
      <t xml:space="preserve"> If SigY Goto SUB</t>
    </r>
  </si>
  <si>
    <r>
      <rPr>
        <u/>
        <sz val="11"/>
        <rFont val="Calibri"/>
        <family val="2"/>
        <scheme val="minor"/>
      </rPr>
      <t>SignX=0; SignY=0.</t>
    </r>
    <r>
      <rPr>
        <sz val="11"/>
        <rFont val="Calibri"/>
        <family val="2"/>
        <scheme val="minor"/>
      </rPr>
      <t xml:space="preserve">  Both Pos, Goto ADD</t>
    </r>
  </si>
  <si>
    <r>
      <t>SignX=1, SignY=0.</t>
    </r>
    <r>
      <rPr>
        <sz val="11"/>
        <rFont val="Calibri"/>
        <family val="2"/>
        <scheme val="minor"/>
      </rPr>
      <t xml:space="preserve">  Exch XY and Goto SUB</t>
    </r>
  </si>
  <si>
    <t>SHYCNTUP</t>
  </si>
  <si>
    <t>SHXCNTDN</t>
  </si>
  <si>
    <t>If Dint&lt;0 then ShYCntUp Else If Dint&gt;0 then ShXCntDn and DP--</t>
  </si>
  <si>
    <t>ZEROFILL</t>
  </si>
  <si>
    <t>If result is less than 1, use XDP value to add leading 0's and a "0.".</t>
  </si>
  <si>
    <t>BRDintOvrfl</t>
  </si>
  <si>
    <t>Adjust for max digits in divisor (protect against overflow of Xreg during calc)</t>
  </si>
  <si>
    <t>ADJMAXX</t>
  </si>
  <si>
    <t>Else Incr DintCnt</t>
  </si>
  <si>
    <t>Decr DintCnt</t>
  </si>
  <si>
    <t>ROW2</t>
  </si>
  <si>
    <t>KEYREL</t>
  </si>
  <si>
    <t>ROW4</t>
  </si>
  <si>
    <t>ROW6</t>
  </si>
  <si>
    <t>If no key detected go back to top of loop</t>
  </si>
  <si>
    <t>Loop here until key is released</t>
  </si>
  <si>
    <t>BRNoKeyDet</t>
  </si>
  <si>
    <t>Sub_AddB</t>
  </si>
  <si>
    <t>RowHold</t>
  </si>
  <si>
    <t>If no key is pressed then move on to row2 assertion.</t>
  </si>
  <si>
    <t>Assert row2</t>
  </si>
  <si>
    <t>If no key was detected loop back up to top.</t>
  </si>
  <si>
    <t>Assert row 4</t>
  </si>
  <si>
    <t>Assert row 6</t>
  </si>
  <si>
    <t>Since key is pressed, go to the release key loop to wait out the key press.</t>
  </si>
  <si>
    <t>Allow RowHold to deassert and open hold latch.</t>
  </si>
  <si>
    <t>BRinOP2Ph</t>
  </si>
  <si>
    <t>If InOp1Ph then</t>
  </si>
  <si>
    <t xml:space="preserve">    Decrement Dint for exp correction</t>
  </si>
  <si>
    <t xml:space="preserve">    Done, back to DSKY</t>
  </si>
  <si>
    <t>Decrement Sint for exp correction</t>
  </si>
  <si>
    <t>OP2DINTDP</t>
  </si>
  <si>
    <t>ADJEXPFIXDP</t>
  </si>
  <si>
    <t>If DP was never hit then goto adjust exp and fixDP</t>
  </si>
  <si>
    <t>Otherwise go to left justify</t>
  </si>
  <si>
    <t>Until Xreg is full, Left justify X</t>
  </si>
  <si>
    <t>and adjust Xdp and Xdig count to match</t>
  </si>
  <si>
    <t>Return to DSKY.  DPfixed and DPFirst and OP2</t>
  </si>
  <si>
    <t xml:space="preserve">    and incrment XdigCnt</t>
  </si>
  <si>
    <t>Else Increment Dint for exp correction</t>
  </si>
  <si>
    <t>If DP not the first key hit then</t>
  </si>
  <si>
    <t xml:space="preserve">    Jump right to adjusting the exponents</t>
  </si>
  <si>
    <t>ADJSINT</t>
  </si>
  <si>
    <t>FixDP.  Must preceed the leading 0 insertion</t>
  </si>
  <si>
    <t>FIXOP2DPA</t>
  </si>
  <si>
    <t>LJUSTXA</t>
  </si>
  <si>
    <t>Default FixDP for OP2</t>
  </si>
  <si>
    <t>Jump to Left Justify</t>
  </si>
  <si>
    <t>Adj exps for OP2 DP</t>
  </si>
  <si>
    <t>Burn pass 1 of 9 of loops</t>
  </si>
  <si>
    <t>Loop end target.  Begin ExchXY</t>
  </si>
  <si>
    <t>RLZENTERA</t>
  </si>
  <si>
    <t>RLZTOPA</t>
  </si>
  <si>
    <t>Shift Xmsd out the top and zero in from the bottom</t>
  </si>
  <si>
    <t>If DP has been set then</t>
  </si>
  <si>
    <r>
      <t xml:space="preserve">If X9 is zero then back to top. Exit loop on first non-zero. </t>
    </r>
    <r>
      <rPr>
        <sz val="11"/>
        <color rgb="FFFF0000"/>
        <rFont val="Calibri"/>
        <family val="2"/>
        <scheme val="minor"/>
      </rPr>
      <t xml:space="preserve"> Need redundant mnemonic.</t>
    </r>
  </si>
  <si>
    <t>BRLoop8NZ</t>
  </si>
  <si>
    <t>RLZCONTA</t>
  </si>
  <si>
    <t>If X9 is not zero then loop is done, jump around loop bottom</t>
  </si>
  <si>
    <t>If loop not done, then go back to top</t>
  </si>
  <si>
    <t>BRN1E</t>
  </si>
  <si>
    <t>RLZENTERE</t>
  </si>
  <si>
    <t>RLZTOPE</t>
  </si>
  <si>
    <t>RLZCONTE</t>
  </si>
  <si>
    <t>EXCHXY</t>
  </si>
  <si>
    <t>X9&lt;-Xmsd</t>
  </si>
  <si>
    <t>SHLX and increment XDP to count leading zeros</t>
  </si>
  <si>
    <t>RESTNEGEXP</t>
  </si>
  <si>
    <t>NEGEXPTST</t>
  </si>
  <si>
    <t>SHRXY</t>
  </si>
  <si>
    <t>Loop to restore numbers with neg exps for add/sub</t>
  </si>
  <si>
    <t>While DP Overflow is true</t>
  </si>
  <si>
    <t>If decimal points already aligned then skip</t>
  </si>
  <si>
    <t>burn 1 of 9</t>
  </si>
  <si>
    <t>Loop to further left justify matntissa of fractional number</t>
  </si>
  <si>
    <t>RLZENTERM</t>
  </si>
  <si>
    <t>RLZTOPM</t>
  </si>
  <si>
    <t>RLZCONTM</t>
  </si>
  <si>
    <t>RLZINITA</t>
  </si>
  <si>
    <t>LJUSTM</t>
  </si>
  <si>
    <t>FIXOP2DPM</t>
  </si>
  <si>
    <t>If DP is still free then goto DP fix</t>
  </si>
  <si>
    <t>Else goto xor signs</t>
  </si>
  <si>
    <t>DP fix</t>
  </si>
  <si>
    <t>RLZEROS</t>
  </si>
  <si>
    <t>Initialize loop count for removing leading zeros</t>
  </si>
  <si>
    <t>SHXRDPINC</t>
  </si>
  <si>
    <t>Clear X9</t>
  </si>
  <si>
    <t>Shift left with 0's in at msd</t>
  </si>
  <si>
    <t xml:space="preserve">    Return to DSKY</t>
  </si>
  <si>
    <t>Shift left with 0's in at lsd</t>
  </si>
  <si>
    <t>Adding Y to X while circulating Yreg</t>
  </si>
  <si>
    <t>100000</t>
  </si>
  <si>
    <t>SHL X&lt;Qmsd</t>
  </si>
  <si>
    <t>Enter OPR Phase. Clear X9</t>
  </si>
  <si>
    <t>LoadX9</t>
  </si>
  <si>
    <t>LoadQL</t>
  </si>
  <si>
    <t>X9Cnt</t>
  </si>
  <si>
    <t>QLCnt</t>
  </si>
  <si>
    <t>EAC: X9&gt;X8; Xdp--</t>
  </si>
  <si>
    <t>NEGEXPADJM</t>
  </si>
  <si>
    <t>NEGEXPADJD</t>
  </si>
  <si>
    <t>while also removing their counts from XDigCnt</t>
  </si>
  <si>
    <t>EXTRADIVDN</t>
  </si>
  <si>
    <t>Else restore dividend</t>
  </si>
  <si>
    <t xml:space="preserve">If yes (X is NOT divisible by Y) then </t>
  </si>
  <si>
    <t xml:space="preserve">    Restore dividend</t>
  </si>
  <si>
    <t xml:space="preserve">    Shift in one more digit to partial dividend</t>
  </si>
  <si>
    <t xml:space="preserve">    Decrement XDP</t>
  </si>
  <si>
    <t>RESTORDVDN</t>
  </si>
  <si>
    <t>Enter endOP1 phase.  Clear X9</t>
  </si>
  <si>
    <t>FIXOP2DPD</t>
  </si>
  <si>
    <t>XORSIGNSM</t>
  </si>
  <si>
    <t>XORSIGNSD</t>
  </si>
  <si>
    <t>CNTDNLDZ</t>
  </si>
  <si>
    <t xml:space="preserve">and remove the remaining leading zeros in QL </t>
  </si>
  <si>
    <t>XYSexpCnt</t>
  </si>
  <si>
    <t>XYDexpCnt</t>
  </si>
  <si>
    <t>CntrIncr</t>
  </si>
  <si>
    <t>CntrEn</t>
  </si>
  <si>
    <t>Loop entry point.  Load X9 with Xmsd.</t>
  </si>
  <si>
    <t xml:space="preserve">SHLX and </t>
  </si>
  <si>
    <t>increment XDP to count leading zeros</t>
  </si>
  <si>
    <t>and move DP to the right</t>
  </si>
  <si>
    <t>Add leading 0 and incr XDP until XDP=7.</t>
  </si>
  <si>
    <t>If X9 not 0 then do final DPAdj.  Set X9 Cntr to decr for X9Zero test</t>
  </si>
  <si>
    <t>BRDPOvrfl</t>
  </si>
  <si>
    <t>FINALEAC</t>
  </si>
  <si>
    <t>ERRORAS</t>
  </si>
  <si>
    <t>ERRCHKAS</t>
  </si>
  <si>
    <t>AssertError</t>
  </si>
  <si>
    <t>ERRORM</t>
  </si>
  <si>
    <t>Load X9&lt;-Xmsd</t>
  </si>
  <si>
    <t>Circulate X to the right</t>
  </si>
  <si>
    <t>If X9=0 Then circulateX</t>
  </si>
  <si>
    <t>Else X is nonzero so escape to rest of DIV</t>
  </si>
  <si>
    <t>CHKOP2ZERO</t>
  </si>
  <si>
    <t>CIRCXRIGHT</t>
  </si>
  <si>
    <t>CHKDPFREE</t>
  </si>
  <si>
    <t>Burn 1 of 9 loops</t>
  </si>
  <si>
    <t>FINISHCIRCX</t>
  </si>
  <si>
    <t>FINALQUOT</t>
  </si>
  <si>
    <t>ERRORD</t>
  </si>
  <si>
    <t>Loop to remove leading zeros from fractional args.  Clear loop counter (keyack overload)</t>
  </si>
  <si>
    <t>Clear loop counter (keyack overload) to further left justify matntissa of fractional number</t>
  </si>
  <si>
    <t>ENDROM</t>
  </si>
  <si>
    <t>0x00,</t>
  </si>
  <si>
    <t xml:space="preserve">   Shift X and Y right and decrement Xdp</t>
  </si>
  <si>
    <t>SUBDONE</t>
  </si>
  <si>
    <t>If XDP overflow, then goto restore XDP</t>
  </si>
  <si>
    <t>Detect XDP==7.  If XDP is already 7 then incr will cause overflow</t>
  </si>
  <si>
    <t>If SUM is negative then go get 10's Comp of it</t>
  </si>
  <si>
    <t>Otherwise if signX is set, then clear it.</t>
  </si>
  <si>
    <t>Lastly go see if it needs leading zeros removed</t>
  </si>
  <si>
    <t>Subtraction is done.</t>
  </si>
  <si>
    <t>LJUSTLDZS</t>
  </si>
  <si>
    <t xml:space="preserve">Clear All </t>
  </si>
  <si>
    <t>ENTERZERO</t>
  </si>
  <si>
    <t>If no digit hit yet, Jump to enter0</t>
  </si>
  <si>
    <t xml:space="preserve">Incr Xreg Dig count (enter a 0) </t>
  </si>
  <si>
    <t>If X is whole integer, fix DP and adjust exponent</t>
  </si>
  <si>
    <t>Left justify X until Xdig is full</t>
  </si>
  <si>
    <t>RESTORXDPS</t>
  </si>
  <si>
    <t>LJUSTONES</t>
  </si>
  <si>
    <t>Else load X9 with Xmsd</t>
  </si>
  <si>
    <t>If X9==0 then goto left just by one</t>
  </si>
  <si>
    <t>Else restore XDP to previous position</t>
  </si>
  <si>
    <t>And jump to end of routine</t>
  </si>
  <si>
    <t>Shift X left by one and discard shifted msd</t>
  </si>
  <si>
    <t>Jump back to top of routine</t>
  </si>
  <si>
    <t>LJUSTLDZM</t>
  </si>
  <si>
    <t>RESTORXDPM</t>
  </si>
  <si>
    <t>LJUSTONEM</t>
  </si>
  <si>
    <t>If signX is not already set then set it, else remove any leading zeros</t>
  </si>
  <si>
    <t>Loop if not Xdp overflow</t>
  </si>
  <si>
    <t xml:space="preserve">    Else exit loop</t>
  </si>
  <si>
    <t>Right shift X and bring 0s into msd</t>
  </si>
  <si>
    <t xml:space="preserve">     and increment Xdp</t>
  </si>
  <si>
    <t xml:space="preserve">     Go back to loop top</t>
  </si>
  <si>
    <t>Start left justify leading zero loop, incr xdp</t>
  </si>
  <si>
    <t>If XDP overflow then exit loop and restore XDP value</t>
  </si>
  <si>
    <t>Else check if Xmsd into X9 reg</t>
  </si>
  <si>
    <t>if X9 is zero then jump to left shift one xero out</t>
  </si>
  <si>
    <t>Else restore XDP value and</t>
  </si>
  <si>
    <t>Shift Xmsd out of xreg</t>
  </si>
  <si>
    <t xml:space="preserve">    and go back to top of loop</t>
  </si>
  <si>
    <t>Signal that Mult has ended in error condition</t>
  </si>
  <si>
    <t>Back to DSKY</t>
  </si>
  <si>
    <t>If DPFree (still integer portion), Goto SINTCNT</t>
  </si>
  <si>
    <t>Else just Incr XDP</t>
  </si>
  <si>
    <t>Set state indicating when a fraction with leading 0's is terminated by a nonzero digit.  To prevent inc/dec exp cntr for zeros following nonzero digit.</t>
  </si>
  <si>
    <t>NEGEXP</t>
  </si>
  <si>
    <t>POSEXP</t>
  </si>
  <si>
    <t>INTPART</t>
  </si>
  <si>
    <t>FRACPART</t>
  </si>
  <si>
    <t>OP2DEXPCNTP</t>
  </si>
  <si>
    <t>OP2DEXPCNTN</t>
  </si>
  <si>
    <t>If DPFRee then we are working on the Int part of OP</t>
  </si>
  <si>
    <t>Else we are working on the Frac part of OP</t>
  </si>
  <si>
    <t>Xdig and Xdp are the only updates for Frac part</t>
  </si>
  <si>
    <t xml:space="preserve"> Incr Sexp for OP1 and OP2</t>
  </si>
  <si>
    <t>Working on OP2 decrement Dint</t>
  </si>
  <si>
    <t>If negative exponent is fixed then nothing else to do</t>
  </si>
  <si>
    <t>Decr Sexp for OP1 and OP2</t>
  </si>
  <si>
    <t>OP1 decr Dexp</t>
  </si>
  <si>
    <t>OP2 incr Dexp</t>
  </si>
  <si>
    <t>Increment QL to count how many leading 0’s accumulating for DIV</t>
  </si>
  <si>
    <t>Left Justify Xreg</t>
  </si>
  <si>
    <t>X=?, Y=?.      XOR sign bits for Mult</t>
  </si>
  <si>
    <t>Set OPRPh, Clear X9 before starting calculation</t>
  </si>
  <si>
    <t>GOTOPRPHM</t>
  </si>
  <si>
    <t>Working on OP1 increment Dint</t>
  </si>
  <si>
    <t>Correct Dexp and Sexp for integer OP2</t>
  </si>
  <si>
    <t>DP fix for integer OP2</t>
  </si>
  <si>
    <t>Move to OPRph before SignXY</t>
  </si>
  <si>
    <t>COPYREGSM</t>
  </si>
  <si>
    <t>COPYREGSD</t>
  </si>
  <si>
    <t>SIGDONED</t>
  </si>
  <si>
    <t>ENTZEROP2</t>
  </si>
  <si>
    <t>If I drop out the bottom of this loop then OP2 is Zero</t>
  </si>
  <si>
    <t>RESTZERO</t>
  </si>
  <si>
    <t xml:space="preserve">    and fix the DP</t>
  </si>
  <si>
    <t xml:space="preserve">    then left justify</t>
  </si>
  <si>
    <t>Check for no OP2 entered</t>
  </si>
  <si>
    <t>If no OP2 entered then enter the implied zero operand</t>
  </si>
  <si>
    <t>Burn loop 1 of 9 and jump to entry point</t>
  </si>
  <si>
    <t>StatBitEn</t>
  </si>
  <si>
    <t>StatBit1</t>
  </si>
  <si>
    <t>SignX</t>
  </si>
  <si>
    <t>StatBit0</t>
  </si>
  <si>
    <t>SETOP1DPFIR</t>
  </si>
  <si>
    <t>TSTDIGEMPTY</t>
  </si>
  <si>
    <t>NegExpTerm</t>
  </si>
  <si>
    <t>SignYexp</t>
  </si>
  <si>
    <t>SignXexp</t>
  </si>
  <si>
    <t>BRSignXexp</t>
  </si>
  <si>
    <t>BRSignYexp</t>
  </si>
  <si>
    <t>BrNegExpTerm</t>
  </si>
  <si>
    <t>BRNegExpTerm</t>
  </si>
  <si>
    <t>If negative exponent (Dpfirst) then cannot ignore the 0 key</t>
  </si>
  <si>
    <t>If Op1 has neg exponent (DPFirst) then save in SignYexp (OP1DPFirst) bit</t>
  </si>
  <si>
    <t>Set Error state and enable E digit</t>
  </si>
  <si>
    <t>PRODNEG</t>
  </si>
  <si>
    <t>PRODPOS</t>
  </si>
  <si>
    <t>Else X and Y pos so PRODPOS</t>
  </si>
  <si>
    <t>Else X is neg and Y is pos, so PRODNEG</t>
  </si>
  <si>
    <t>X is neg.  If Y neg then PRODPOS</t>
  </si>
  <si>
    <t>X is pos.  If Y neg then PRODNEG</t>
  </si>
  <si>
    <t>Copy RegY to RegQ</t>
  </si>
  <si>
    <t>CPSIGXSIGY</t>
  </si>
  <si>
    <t>RMLDZEROS</t>
  </si>
  <si>
    <t>Copy Xreg to Yreg</t>
  </si>
  <si>
    <t>Copy Xsign to Ysign</t>
  </si>
  <si>
    <t>Key stroke interrupt vector table</t>
  </si>
  <si>
    <t>XNEGCHKYM</t>
  </si>
  <si>
    <t>XNEGCHKYD</t>
  </si>
  <si>
    <t>QUOTNEG</t>
  </si>
  <si>
    <t>QUOTPOS</t>
  </si>
  <si>
    <t>X=?, Y=?.      XOR sign bits for Div</t>
  </si>
  <si>
    <t>X is pos.  If Y neg then QUOTNEG</t>
  </si>
  <si>
    <t>Else X and Y pos so QUOTPOS</t>
  </si>
  <si>
    <t>X is neg.  If Y neg then QUOTPOS</t>
  </si>
  <si>
    <t>Else X is neg and Y is pos, so QUOTNEG</t>
  </si>
  <si>
    <t>If op2 &lt; 1 and</t>
  </si>
  <si>
    <t xml:space="preserve">        If op2 does not fill X then ADJMAXX</t>
  </si>
  <si>
    <t>Else Goto copyregs</t>
  </si>
  <si>
    <t>If X exp is neg (DPFirst) then remove first zero from XDigCnt</t>
  </si>
  <si>
    <t>ShrX9X8QDiv10</t>
  </si>
  <si>
    <t>CopyQX</t>
  </si>
  <si>
    <t>DivXY10</t>
  </si>
  <si>
    <t>ApendDivdn</t>
  </si>
  <si>
    <t>CopyQ0QL</t>
  </si>
  <si>
    <t>ExtraCmd3</t>
  </si>
  <si>
    <t>RmLdZeroX</t>
  </si>
  <si>
    <t>SelYXlsd</t>
  </si>
  <si>
    <t>SelYQYlsd</t>
  </si>
  <si>
    <t>CtlSel3</t>
  </si>
  <si>
    <t>SelCtl2</t>
  </si>
  <si>
    <t>SelCtl1</t>
  </si>
  <si>
    <t>SelXYlsd</t>
  </si>
  <si>
    <t>SelXXlsd</t>
  </si>
  <si>
    <t>SelQZero</t>
  </si>
  <si>
    <t>Reserved1</t>
  </si>
  <si>
    <t>SelXReg</t>
  </si>
  <si>
    <t>SelXQmsd</t>
  </si>
  <si>
    <t>SelX9Zero</t>
  </si>
  <si>
    <t>SelXData</t>
  </si>
  <si>
    <t>SelXSumX9</t>
  </si>
  <si>
    <t>SelQLZero</t>
  </si>
  <si>
    <t>ExtraSelCtl1</t>
  </si>
  <si>
    <t>Reserved2</t>
  </si>
  <si>
    <t>ShrX</t>
  </si>
  <si>
    <t>ExtraBR2</t>
  </si>
  <si>
    <t>ExtraBR3</t>
  </si>
  <si>
    <t>SelCtl3 Can assert simutaneous with JMP/BR*.  SelCtl1/2 cannot.</t>
  </si>
  <si>
    <t>ExtraSelCtl2</t>
  </si>
  <si>
    <t xml:space="preserve">Exchange Sign bits.  Since we know SignX=1, SignY=0, </t>
  </si>
  <si>
    <t xml:space="preserve">    just clear SignX and Inv SignY</t>
  </si>
  <si>
    <t>ENTZEROM</t>
  </si>
  <si>
    <t>DSKY loop.  Enable interrupt.  Turn display ON</t>
  </si>
  <si>
    <r>
      <t xml:space="preserve">Light up sign and error digit.  </t>
    </r>
    <r>
      <rPr>
        <sz val="11"/>
        <color rgb="FFFF0000"/>
        <rFont val="Calibri"/>
        <family val="2"/>
        <scheme val="minor"/>
      </rPr>
      <t>Then turn display OFF</t>
    </r>
  </si>
  <si>
    <t>Set MultDivPh</t>
  </si>
  <si>
    <t>Set Phase to MultDivPh</t>
  </si>
  <si>
    <t>EEPROM Image</t>
  </si>
  <si>
    <t>BR0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</si>
  <si>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</si>
  <si>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</si>
  <si>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</si>
  <si>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</si>
  <si>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</si>
  <si>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</si>
  <si>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</si>
  <si>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</si>
  <si>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</si>
  <si>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</si>
  <si>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</si>
  <si>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</si>
  <si>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</si>
  <si>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</si>
  <si>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</si>
  <si>
    <t>SelX9Xmsd</t>
  </si>
  <si>
    <t>SelQLQlsd</t>
  </si>
  <si>
    <t>ExtraSelCtl3</t>
  </si>
  <si>
    <t>ExtraSelCtl4</t>
  </si>
  <si>
    <t>SHSexpDexp</t>
  </si>
  <si>
    <t>SHDexpXDP</t>
  </si>
  <si>
    <t>OVRFLCHK</t>
  </si>
  <si>
    <t>UNDRFLOP2</t>
  </si>
  <si>
    <t>Tst Op1; If True Then goto underflow check Else continue overflow check</t>
  </si>
  <si>
    <t>UNDRFLCHK</t>
  </si>
  <si>
    <t>Op1&gt;1 &amp; Op2&gt;1 &amp; Not Overflow; Goto INRANGE</t>
  </si>
  <si>
    <t>UNDERFLOW</t>
  </si>
  <si>
    <t>Op1&lt;1; Tst Op2; If True Then goto Underflow</t>
  </si>
  <si>
    <t>Op1&lt;1; Op2&gt;1; Goto INRANGE</t>
  </si>
  <si>
    <t>Op1&gt;1; Tst Op2; If True Then product is INRANGE, Else continue overflow check</t>
  </si>
  <si>
    <t>Op1&gt;1; Op2&gt;1; Tst DPOvrfl; If True Then OVERFLOW ERROR Else fall into underflow check</t>
  </si>
  <si>
    <t>Op1&lt;1; Op2&lt;1; Tst DPOvrfl; If True Then goto INRANGE Else continue Underflow</t>
  </si>
  <si>
    <t>OVRFLTST</t>
  </si>
  <si>
    <t>UNDRFLTST</t>
  </si>
  <si>
    <t>CONTOVFLTST</t>
  </si>
  <si>
    <t>Op2&gt;1; Op1&gt;1 =&gt; INRANGE</t>
  </si>
  <si>
    <t>Tst SignYexp.  If 1 then not overflow, goto underflow test.  If 0 then continue with overflow test</t>
  </si>
  <si>
    <t>Op2&gt;1; Tst Op1. If 1 then coninue with overflow test.  If 0 then INRANGE</t>
  </si>
  <si>
    <t>Op2&gt;1; Op1&lt;1; Tst DPOvrfl.  If 1 then OVERFLOW error.  If 0 then continue to underflow tests</t>
  </si>
  <si>
    <t>Op2&lt;1; Tst Op1 - If 1 then INRANGE.  If 0 then continue underflow test</t>
  </si>
  <si>
    <t>Op2&lt;1; Op1&gt;1; DPOvrfl=0.  UNDERFLOW</t>
  </si>
  <si>
    <t>Op2&lt;1; Op1&gt;1; Tst DPOvrfl.  IF 0 then UNDERFLOW.  If 1 then INRANGE</t>
  </si>
  <si>
    <t>Prep Xreg for underflow display.</t>
  </si>
  <si>
    <t>SelCtl3</t>
  </si>
  <si>
    <t>Load QL&lt;0</t>
  </si>
  <si>
    <t>SHL Qlsd&lt;QL</t>
  </si>
  <si>
    <r>
      <rPr>
        <sz val="11"/>
        <color theme="1"/>
        <rFont val="Calibri"/>
        <family val="2"/>
        <scheme val="minor"/>
      </rPr>
      <t>Asser</t>
    </r>
    <r>
      <rPr>
        <sz val="11"/>
        <rFont val="Calibri"/>
        <family val="2"/>
        <scheme val="minor"/>
      </rPr>
      <t>t row0 (at ph1 of cycle) and hold to drive continuously. Enable KeyReg (with KeyAck at ph4 of cycle) to capture whatever the keyboard is presenting.</t>
    </r>
  </si>
  <si>
    <t>KeyAck reloads key capture reg (with 0) to Ack the Interrupt.</t>
  </si>
  <si>
    <t>Copy X to Y, replacing X with 0's</t>
  </si>
  <si>
    <t>CONTENTZERO</t>
  </si>
  <si>
    <t>SETDIGOVRF1</t>
  </si>
  <si>
    <t>Test for input overflow</t>
  </si>
  <si>
    <t>Input overflow, assert error and exit</t>
  </si>
  <si>
    <t>Incr DigCnt for keys 1-9</t>
  </si>
  <si>
    <t>SETDIGOVRF2</t>
  </si>
  <si>
    <t>CONTENTNUM</t>
  </si>
  <si>
    <t>Tst for input overflow</t>
  </si>
  <si>
    <t>No overflow so continue with ent entnum</t>
  </si>
  <si>
    <t>Overflow, set error status and exit</t>
  </si>
  <si>
    <t>ImmData asserts on Ph2 of each cycle</t>
  </si>
  <si>
    <t>SelCtl1, SelCtl2, RegCmd, ALUCmd assert on Ph4 and is valid only Ph4</t>
  </si>
  <si>
    <t>SelCtl3, KeyAckB, HWIntEn Assert on Ph4 of each cycle</t>
  </si>
  <si>
    <t>Logisim uROM Image</t>
  </si>
  <si>
    <t>ROW0</t>
  </si>
  <si>
    <t>Sel[3:0]</t>
  </si>
  <si>
    <t>BlankNum</t>
  </si>
  <si>
    <t>LEADZROBLNK</t>
  </si>
  <si>
    <t>NOTFIRSTNUM</t>
  </si>
  <si>
    <t>Minus sign vs minus operator.  The move to inOP2ph is the S1 signal on number entery</t>
  </si>
  <si>
    <t>ShlX</t>
  </si>
  <si>
    <t>REPLACEALLF</t>
  </si>
  <si>
    <t>REPLACEONEF</t>
  </si>
  <si>
    <t>FIRSTDIGITZ</t>
  </si>
  <si>
    <t>Test for zero as first key press</t>
  </si>
  <si>
    <t>Jump to process all other zero cases</t>
  </si>
  <si>
    <t>Enter 0 and blanking characters to initial Xreg for 0 as first key</t>
  </si>
  <si>
    <t>Tst for digit as first key press</t>
  </si>
  <si>
    <t>Otherwise process for all other number key presses</t>
  </si>
  <si>
    <t>NUM was already entered. Decr X9 from 0 to F</t>
  </si>
  <si>
    <t xml:space="preserve">    and initialize the rest of Xreg with F</t>
  </si>
  <si>
    <t>Else DP first key. Set exponent sign bit for X and Enter a leading zero</t>
  </si>
  <si>
    <t>Initialize Xreg with FFFFFFF0</t>
  </si>
  <si>
    <t>Just entered Op2Ph, init Xreg with FFFFFFF0</t>
  </si>
  <si>
    <t>Burn loop 9</t>
  </si>
  <si>
    <t>Reset loop counter</t>
  </si>
  <si>
    <t>Shift Dig0 to Dig8 position</t>
  </si>
  <si>
    <t>X9&lt;--X8</t>
  </si>
  <si>
    <t>If true then X9 was F, now 0</t>
  </si>
  <si>
    <t>Otherwise restore X9</t>
  </si>
  <si>
    <t>Shift X8 out, bring 0 into X0</t>
  </si>
  <si>
    <t>Shift X0 out, bring X9 into X8</t>
  </si>
  <si>
    <t>Enter the 0</t>
  </si>
  <si>
    <t>Repeating display select to increas duty cycle</t>
  </si>
  <si>
    <t>Light up XDig1</t>
  </si>
  <si>
    <t>Light up XDig2</t>
  </si>
  <si>
    <t>Rotate Xreg (XDig8&lt;--XDig2; XDig1&lt;--XDig1)</t>
  </si>
  <si>
    <t>Light up XDig8</t>
  </si>
  <si>
    <t>CNTIS8</t>
  </si>
  <si>
    <t>XDPDONE</t>
  </si>
  <si>
    <t>CNTXDP</t>
  </si>
  <si>
    <t>INVERTXDP</t>
  </si>
  <si>
    <t>CLRDEXP</t>
  </si>
  <si>
    <t>COPYXTOYD</t>
  </si>
  <si>
    <t>COPYQTOXD</t>
  </si>
  <si>
    <t>COPYYTOQD</t>
  </si>
  <si>
    <t>COPYYTOQM</t>
  </si>
  <si>
    <t>COPYXTOYM</t>
  </si>
  <si>
    <t>EXCHXYS</t>
  </si>
  <si>
    <t>EXCHXYA</t>
  </si>
  <si>
    <t>EXCHXYE</t>
  </si>
  <si>
    <t>COPYXYE</t>
  </si>
  <si>
    <t>INNERADD1</t>
  </si>
  <si>
    <t>OUTERADD1</t>
  </si>
  <si>
    <t>Load Inner Loop Count into QL</t>
  </si>
  <si>
    <t xml:space="preserve">Outer loop setup: Temp put X8 into X9 </t>
  </si>
  <si>
    <t>Clear loop counter.  Outer loop setup: SHLX (lose X8)</t>
  </si>
  <si>
    <t>Bring Accum Carries into X; SHR Q (dump and replace Q0)</t>
  </si>
  <si>
    <t>If Inner Loop done then break to outer</t>
  </si>
  <si>
    <t xml:space="preserve">   Else loop to inner top</t>
  </si>
  <si>
    <t>If Outer loop NOT done then loop to outer top</t>
  </si>
  <si>
    <t>BREAKINNER1</t>
  </si>
  <si>
    <t>If QL=0 then skip the inner loop</t>
  </si>
  <si>
    <t xml:space="preserve">    Qreg backfilled with 0's.</t>
  </si>
  <si>
    <t>Initialize dividend with XDigCnt digits from Qreg</t>
  </si>
  <si>
    <t>TSTDVDND</t>
  </si>
  <si>
    <t>DIVLOOP</t>
  </si>
  <si>
    <t>DIVLOOPINIT</t>
  </si>
  <si>
    <t>DIVDIFF</t>
  </si>
  <si>
    <t>FIXDIFF</t>
  </si>
  <si>
    <t>This Sub is 10's comp Sub</t>
  </si>
  <si>
    <t>Yreg is already 0.  Exch X&lt;&gt;Y is setup for X=0-Y</t>
  </si>
  <si>
    <t xml:space="preserve">    which leaves 10's comp of Y in X</t>
  </si>
  <si>
    <t>Start of DIV Loop</t>
  </si>
  <si>
    <t xml:space="preserve">     and Go to DIV loop</t>
  </si>
  <si>
    <t>OPCHAINING</t>
  </si>
  <si>
    <t>XNEGEXP</t>
  </si>
  <si>
    <t>XPOSEXP</t>
  </si>
  <si>
    <t>COMPXEXP</t>
  </si>
  <si>
    <t>SETSIGNYCHN</t>
  </si>
  <si>
    <t>EOPH1</t>
  </si>
  <si>
    <t>CPXTOYPOS</t>
  </si>
  <si>
    <t>CPXTOYNEG</t>
  </si>
  <si>
    <t>FINISHCHAIN</t>
  </si>
  <si>
    <t>Successful Exit</t>
  </si>
  <si>
    <t>Error Exit</t>
  </si>
  <si>
    <t>ADJOVRSHOOT</t>
  </si>
  <si>
    <t>If X9==0 then negative exponent else positive</t>
  </si>
  <si>
    <t>Increment XDP and Dexp until DpOvrfl to get</t>
  </si>
  <si>
    <t>Dexp=7-XDP</t>
  </si>
  <si>
    <t>Restore XDP while computing exponent in Sexp</t>
  </si>
  <si>
    <t>DECREXP</t>
  </si>
  <si>
    <t>CopyYX</t>
  </si>
  <si>
    <t>CPYTOXNEG</t>
  </si>
  <si>
    <t>COPYXYLOOP</t>
  </si>
  <si>
    <t xml:space="preserve">   to copy Xreg to Yreg</t>
  </si>
  <si>
    <t xml:space="preserve">   Shift left and discard 0 at msd</t>
  </si>
  <si>
    <t>Copy Loop</t>
  </si>
  <si>
    <t>Copy Sexp to Dexp</t>
  </si>
  <si>
    <t>INCLPGOTOP</t>
  </si>
  <si>
    <t>Exit Loop to Finish</t>
  </si>
  <si>
    <t xml:space="preserve">    and clear X sign</t>
  </si>
  <si>
    <t>Copy Sexp to Dexp and init copy XY Loop</t>
  </si>
  <si>
    <t>Back exponent by one due to overshoot of 1 in COMPXEXP</t>
  </si>
  <si>
    <t>X9&lt;X8</t>
  </si>
  <si>
    <t>Clear Y regs</t>
  </si>
  <si>
    <t>Incr Sexp while decr Dexp until Dexp==0 will</t>
  </si>
  <si>
    <t xml:space="preserve">    leave Sexp = exponent+1</t>
  </si>
  <si>
    <t>Copy Xreg into Yreg</t>
  </si>
  <si>
    <t>Move tracking machine to EoPh1 state</t>
  </si>
  <si>
    <t xml:space="preserve">   If X9==0 continue to count leadin 0s</t>
  </si>
  <si>
    <t>Top of loop to count leading 0s to compute neg exponent</t>
  </si>
  <si>
    <t xml:space="preserve">   Exponent decrements for each leading 0</t>
  </si>
  <si>
    <t xml:space="preserve">   Else exit Loop when first nonZero digit found, exp computed</t>
  </si>
  <si>
    <t>Loop bottom</t>
  </si>
  <si>
    <t>All 8 digits are Zero, clear all Y regs</t>
  </si>
  <si>
    <t>Copy Y to X Loop</t>
  </si>
  <si>
    <t xml:space="preserve">   Exp computed, now copy Yreg back to Xreg</t>
  </si>
  <si>
    <t>Set signYexp for neg exponent</t>
  </si>
  <si>
    <t>If SignX then set SignY</t>
  </si>
  <si>
    <t xml:space="preserve">   Else exit</t>
  </si>
  <si>
    <t>Computing Dexp = 7-Dexp.  Start with Dexp=0</t>
  </si>
  <si>
    <t>Incr Dexp until Dexp=8</t>
  </si>
  <si>
    <t>Back it down to dexp=7</t>
  </si>
  <si>
    <t>Decr Dexp and XDp until XDp crosses below 0</t>
  </si>
  <si>
    <t>Correct Dexp overshoot</t>
  </si>
  <si>
    <t>Move inverted decimal point positoin to XDp</t>
  </si>
  <si>
    <t>If no Op2 then enter 0</t>
  </si>
  <si>
    <t>If no Dp hit then fix Dp at 0</t>
  </si>
  <si>
    <t>Otherwise got left justify Op2</t>
  </si>
  <si>
    <t>0 entered for Op2 just by incrementing XDigCnt to 1</t>
  </si>
  <si>
    <t xml:space="preserve">   and fixing Dp</t>
  </si>
  <si>
    <t>InitLP8</t>
  </si>
  <si>
    <t>InitLp8</t>
  </si>
  <si>
    <t>CLRXREGCLR</t>
  </si>
  <si>
    <t>CLRXMINUS</t>
  </si>
  <si>
    <t>CLRXLDZERO</t>
  </si>
  <si>
    <t>Initialize rest of Xreg with FFFFFFF0</t>
  </si>
  <si>
    <t>CE</t>
  </si>
  <si>
    <t>XDpCnt</t>
  </si>
  <si>
    <t>FINISHCE</t>
  </si>
  <si>
    <t>FILLXREGF</t>
  </si>
  <si>
    <t>Null inst for table alignment</t>
  </si>
  <si>
    <t>BACKOUTOP2</t>
  </si>
  <si>
    <t>BKOUTNEGEXP</t>
  </si>
  <si>
    <t>BKOUTPOSEXP</t>
  </si>
  <si>
    <t>CNTINTDIGS</t>
  </si>
  <si>
    <t>COUNTZEROS</t>
  </si>
  <si>
    <t>RECOVERXDIG</t>
  </si>
  <si>
    <t>ADJSEXPINT</t>
  </si>
  <si>
    <t>CEXREGINIT</t>
  </si>
  <si>
    <t>If no keys hit yet then nothing to do</t>
  </si>
  <si>
    <t xml:space="preserve">I not in OP2 phase then </t>
  </si>
  <si>
    <t xml:space="preserve">    clear all and continue</t>
  </si>
  <si>
    <t>If Op2 is a fractional number then handle sepaerately</t>
  </si>
  <si>
    <t>Op2 has positive exponent</t>
  </si>
  <si>
    <t>Decrement Xdig and XDp until XDp overflow</t>
  </si>
  <si>
    <t>If DP never hit then adjust exponent</t>
  </si>
  <si>
    <t xml:space="preserve">    else DP key already adjusted exponent</t>
  </si>
  <si>
    <t xml:space="preserve">    Adjust exponent</t>
  </si>
  <si>
    <t>Back out Op2 exponent from Sexp</t>
  </si>
  <si>
    <t>while counting down remaining digits in Xreg (integ)</t>
  </si>
  <si>
    <t>Op2 has negative exponent</t>
  </si>
  <si>
    <t>FINALSEXPINC</t>
  </si>
  <si>
    <t>MAXDIGTST</t>
  </si>
  <si>
    <t>Left shift X testing popping digits out msd</t>
  </si>
  <si>
    <r>
      <t xml:space="preserve"> </t>
    </r>
    <r>
      <rPr>
        <sz val="11"/>
        <rFont val="Calibri"/>
        <family val="2"/>
        <scheme val="minor"/>
      </rPr>
      <t xml:space="preserve">   until the first 0 is seen</t>
    </r>
  </si>
  <si>
    <t>Continue left shifting X for continuous 0s</t>
  </si>
  <si>
    <t xml:space="preserve">    decrementing Xdig and incrmenting Sexp</t>
  </si>
  <si>
    <t xml:space="preserve">    until either a non zero digit is seen or</t>
  </si>
  <si>
    <t xml:space="preserve">    Xdig counts down to empty</t>
  </si>
  <si>
    <t xml:space="preserve">    </t>
  </si>
  <si>
    <t>Final adjust for Sexp</t>
  </si>
  <si>
    <t>Clear the Xreg and related bits</t>
  </si>
  <si>
    <t>Initialize Xreg with FFFFFF0</t>
  </si>
  <si>
    <t>Required for Logisim</t>
  </si>
  <si>
    <t>7.5.3</t>
  </si>
  <si>
    <t>Otherwise goto test for empty X reg</t>
  </si>
  <si>
    <t xml:space="preserve">    and adjust Xdp and Xdig count to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</si>
</sst>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9933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83ECC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0" fillId="0" borderId="16" xfId="0" applyBorder="1"/>
    <xf numFmtId="0" fontId="0" fillId="0" borderId="17" xfId="0" quotePrefix="1" applyBorder="1"/>
    <xf numFmtId="0" fontId="0" fillId="0" borderId="18" xfId="0" applyBorder="1"/>
    <xf numFmtId="0" fontId="0" fillId="0" borderId="19" xfId="0" quotePrefix="1" applyBorder="1"/>
    <xf numFmtId="0" fontId="0" fillId="0" borderId="21" xfId="0" quotePrefix="1" applyBorder="1"/>
    <xf numFmtId="0" fontId="0" fillId="0" borderId="20" xfId="0" applyBorder="1"/>
    <xf numFmtId="0" fontId="0" fillId="0" borderId="22" xfId="0" quotePrefix="1" applyBorder="1"/>
    <xf numFmtId="0" fontId="4" fillId="0" borderId="0" xfId="0" applyFont="1"/>
    <xf numFmtId="0" fontId="0" fillId="0" borderId="18" xfId="0" applyBorder="1" applyAlignment="1">
      <alignment horizontal="left"/>
    </xf>
    <xf numFmtId="0" fontId="3" fillId="0" borderId="18" xfId="0" applyFont="1" applyBorder="1"/>
    <xf numFmtId="0" fontId="3" fillId="0" borderId="0" xfId="0" applyFont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center"/>
    </xf>
    <xf numFmtId="0" fontId="4" fillId="0" borderId="5" xfId="0" applyFont="1" applyBorder="1"/>
    <xf numFmtId="0" fontId="3" fillId="0" borderId="6" xfId="0" applyFont="1" applyBorder="1"/>
    <xf numFmtId="0" fontId="3" fillId="2" borderId="5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13" xfId="0" applyFont="1" applyBorder="1" applyAlignment="1">
      <alignment horizontal="left"/>
    </xf>
    <xf numFmtId="0" fontId="3" fillId="0" borderId="14" xfId="0" applyFont="1" applyBorder="1"/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13" xfId="0" applyFont="1" applyBorder="1"/>
    <xf numFmtId="0" fontId="3" fillId="0" borderId="15" xfId="0" applyFont="1" applyBorder="1"/>
    <xf numFmtId="0" fontId="5" fillId="0" borderId="0" xfId="0" applyFont="1"/>
    <xf numFmtId="0" fontId="2" fillId="0" borderId="5" xfId="0" applyFont="1" applyBorder="1"/>
    <xf numFmtId="0" fontId="2" fillId="0" borderId="6" xfId="0" applyFont="1" applyBorder="1"/>
    <xf numFmtId="0" fontId="3" fillId="0" borderId="23" xfId="0" applyFont="1" applyBorder="1"/>
    <xf numFmtId="0" fontId="3" fillId="0" borderId="12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18" xfId="0" applyFont="1" applyBorder="1"/>
    <xf numFmtId="0" fontId="6" fillId="0" borderId="20" xfId="0" applyFont="1" applyBorder="1"/>
    <xf numFmtId="0" fontId="3" fillId="2" borderId="1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0" borderId="19" xfId="0" quotePrefix="1" applyFont="1" applyBorder="1"/>
    <xf numFmtId="0" fontId="4" fillId="0" borderId="22" xfId="0" applyFont="1" applyBorder="1"/>
    <xf numFmtId="0" fontId="3" fillId="0" borderId="22" xfId="0" applyFont="1" applyBorder="1"/>
    <xf numFmtId="0" fontId="3" fillId="0" borderId="6" xfId="0" applyFont="1" applyBorder="1" applyAlignment="1">
      <alignment horizontal="right"/>
    </xf>
    <xf numFmtId="0" fontId="9" fillId="0" borderId="18" xfId="0" applyFont="1" applyBorder="1"/>
    <xf numFmtId="0" fontId="9" fillId="0" borderId="0" xfId="0" quotePrefix="1" applyFont="1"/>
    <xf numFmtId="0" fontId="0" fillId="0" borderId="24" xfId="0" applyBorder="1"/>
    <xf numFmtId="0" fontId="0" fillId="0" borderId="25" xfId="0" quotePrefix="1" applyBorder="1"/>
    <xf numFmtId="0" fontId="3" fillId="3" borderId="5" xfId="0" applyFont="1" applyFill="1" applyBorder="1"/>
    <xf numFmtId="0" fontId="3" fillId="2" borderId="13" xfId="0" applyFont="1" applyFill="1" applyBorder="1" applyAlignment="1">
      <alignment horizontal="right"/>
    </xf>
    <xf numFmtId="0" fontId="12" fillId="0" borderId="0" xfId="0" applyFont="1"/>
    <xf numFmtId="0" fontId="3" fillId="0" borderId="16" xfId="0" applyFont="1" applyBorder="1"/>
    <xf numFmtId="0" fontId="2" fillId="0" borderId="18" xfId="0" applyFont="1" applyBorder="1"/>
    <xf numFmtId="0" fontId="7" fillId="0" borderId="19" xfId="0" quotePrefix="1" applyFont="1" applyBorder="1"/>
    <xf numFmtId="0" fontId="7" fillId="0" borderId="18" xfId="0" applyFont="1" applyBorder="1"/>
    <xf numFmtId="0" fontId="3" fillId="2" borderId="6" xfId="0" quotePrefix="1" applyFont="1" applyFill="1" applyBorder="1" applyAlignment="1">
      <alignment horizontal="right"/>
    </xf>
    <xf numFmtId="0" fontId="0" fillId="0" borderId="5" xfId="0" applyBorder="1"/>
    <xf numFmtId="0" fontId="7" fillId="0" borderId="0" xfId="0" quotePrefix="1" applyFon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6" fillId="0" borderId="0" xfId="0" quotePrefix="1" applyFont="1"/>
    <xf numFmtId="0" fontId="6" fillId="0" borderId="14" xfId="0" quotePrefix="1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6" xfId="0" applyBorder="1"/>
    <xf numFmtId="0" fontId="13" fillId="0" borderId="20" xfId="0" applyFont="1" applyBorder="1"/>
    <xf numFmtId="0" fontId="3" fillId="0" borderId="21" xfId="0" quotePrefix="1" applyFont="1" applyBorder="1"/>
    <xf numFmtId="0" fontId="3" fillId="0" borderId="17" xfId="0" quotePrefix="1" applyFont="1" applyBorder="1"/>
    <xf numFmtId="0" fontId="3" fillId="5" borderId="5" xfId="0" applyFont="1" applyFill="1" applyBorder="1"/>
    <xf numFmtId="0" fontId="3" fillId="5" borderId="0" xfId="0" applyFont="1" applyFill="1"/>
    <xf numFmtId="0" fontId="3" fillId="5" borderId="6" xfId="0" applyFont="1" applyFill="1" applyBorder="1"/>
    <xf numFmtId="0" fontId="3" fillId="5" borderId="6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5" fillId="6" borderId="5" xfId="0" applyFont="1" applyFill="1" applyBorder="1" applyAlignment="1">
      <alignment horizontal="left"/>
    </xf>
    <xf numFmtId="0" fontId="5" fillId="6" borderId="0" xfId="0" applyFont="1" applyFill="1"/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/>
    <xf numFmtId="0" fontId="4" fillId="6" borderId="10" xfId="0" applyFont="1" applyFill="1" applyBorder="1" applyAlignment="1">
      <alignment horizontal="left"/>
    </xf>
    <xf numFmtId="0" fontId="4" fillId="6" borderId="11" xfId="0" applyFont="1" applyFill="1" applyBorder="1"/>
    <xf numFmtId="0" fontId="3" fillId="0" borderId="20" xfId="0" applyFont="1" applyBorder="1"/>
    <xf numFmtId="0" fontId="7" fillId="0" borderId="0" xfId="0" applyFont="1"/>
    <xf numFmtId="0" fontId="9" fillId="0" borderId="0" xfId="0" applyFont="1"/>
    <xf numFmtId="0" fontId="8" fillId="0" borderId="12" xfId="0" applyFont="1" applyBorder="1"/>
    <xf numFmtId="0" fontId="1" fillId="0" borderId="6" xfId="0" applyFont="1" applyBorder="1"/>
    <xf numFmtId="0" fontId="3" fillId="7" borderId="6" xfId="0" applyFont="1" applyFill="1" applyBorder="1"/>
    <xf numFmtId="0" fontId="4" fillId="0" borderId="6" xfId="0" applyFont="1" applyBorder="1"/>
    <xf numFmtId="0" fontId="3" fillId="0" borderId="7" xfId="0" applyFont="1" applyBorder="1"/>
    <xf numFmtId="0" fontId="3" fillId="4" borderId="5" xfId="0" applyFont="1" applyFill="1" applyBorder="1" applyAlignment="1">
      <alignment horizontal="left"/>
    </xf>
    <xf numFmtId="0" fontId="4" fillId="0" borderId="14" xfId="0" applyFont="1" applyBorder="1"/>
    <xf numFmtId="0" fontId="4" fillId="0" borderId="9" xfId="0" applyFont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4" fillId="8" borderId="0" xfId="0" applyFont="1" applyFill="1" applyAlignment="1">
      <alignment horizontal="left"/>
    </xf>
    <xf numFmtId="0" fontId="3" fillId="8" borderId="0" xfId="0" applyFont="1" applyFill="1"/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3" fillId="8" borderId="0" xfId="0" applyFont="1" applyFill="1" applyAlignment="1">
      <alignment horizontal="left"/>
    </xf>
    <xf numFmtId="20" fontId="3" fillId="8" borderId="0" xfId="0" applyNumberFormat="1" applyFont="1" applyFill="1"/>
    <xf numFmtId="0" fontId="14" fillId="8" borderId="7" xfId="0" applyFont="1" applyFill="1" applyBorder="1" applyAlignment="1">
      <alignment horizontal="right"/>
    </xf>
    <xf numFmtId="0" fontId="14" fillId="8" borderId="8" xfId="0" applyFont="1" applyFill="1" applyBorder="1" applyAlignment="1">
      <alignment horizontal="right"/>
    </xf>
    <xf numFmtId="0" fontId="3" fillId="8" borderId="9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/>
    <xf numFmtId="0" fontId="15" fillId="8" borderId="11" xfId="0" applyFont="1" applyFill="1" applyBorder="1" applyAlignment="1">
      <alignment horizontal="right"/>
    </xf>
    <xf numFmtId="0" fontId="15" fillId="8" borderId="12" xfId="0" applyFont="1" applyFill="1" applyBorder="1" applyAlignment="1">
      <alignment horizontal="right"/>
    </xf>
    <xf numFmtId="0" fontId="15" fillId="8" borderId="1" xfId="0" applyFont="1" applyFill="1" applyBorder="1" applyAlignment="1">
      <alignment horizontal="right"/>
    </xf>
    <xf numFmtId="0" fontId="4" fillId="8" borderId="12" xfId="0" applyFont="1" applyFill="1" applyBorder="1"/>
    <xf numFmtId="0" fontId="4" fillId="8" borderId="2" xfId="0" applyFont="1" applyFill="1" applyBorder="1"/>
    <xf numFmtId="0" fontId="4" fillId="8" borderId="4" xfId="0" applyFont="1" applyFill="1" applyBorder="1"/>
    <xf numFmtId="0" fontId="4" fillId="8" borderId="3" xfId="0" applyFont="1" applyFill="1" applyBorder="1"/>
    <xf numFmtId="0" fontId="3" fillId="0" borderId="0" xfId="0" applyFont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4" fillId="8" borderId="28" xfId="0" applyFont="1" applyFill="1" applyBorder="1"/>
    <xf numFmtId="0" fontId="0" fillId="0" borderId="29" xfId="0" quotePrefix="1" applyBorder="1"/>
    <xf numFmtId="0" fontId="3" fillId="0" borderId="0" xfId="0" quotePrefix="1" applyFont="1"/>
    <xf numFmtId="0" fontId="3" fillId="8" borderId="7" xfId="0" applyFont="1" applyFill="1" applyBorder="1"/>
    <xf numFmtId="0" fontId="3" fillId="8" borderId="8" xfId="0" applyFont="1" applyFill="1" applyBorder="1"/>
    <xf numFmtId="0" fontId="3" fillId="8" borderId="9" xfId="0" applyFont="1" applyFill="1" applyBorder="1"/>
    <xf numFmtId="0" fontId="1" fillId="0" borderId="14" xfId="0" applyFont="1" applyBorder="1"/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3ECC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BCAB-DC37-4118-ADC2-40F89B89A801}">
  <dimension ref="A1:U52"/>
  <sheetViews>
    <sheetView workbookViewId="0">
      <selection activeCell="V8" sqref="V8"/>
    </sheetView>
  </sheetViews>
  <sheetFormatPr defaultRowHeight="14.4" x14ac:dyDescent="0.3"/>
  <cols>
    <col min="1" max="1" width="5.44140625" customWidth="1"/>
    <col min="2" max="2" width="13.44140625" customWidth="1"/>
    <col min="3" max="3" width="5.109375" customWidth="1"/>
    <col min="4" max="4" width="6.77734375" customWidth="1"/>
    <col min="5" max="5" width="4.44140625" customWidth="1"/>
    <col min="6" max="6" width="14.44140625" customWidth="1"/>
    <col min="7" max="7" width="7.88671875" customWidth="1"/>
    <col min="8" max="8" width="4.21875" customWidth="1"/>
    <col min="9" max="9" width="12.33203125" customWidth="1"/>
    <col min="10" max="10" width="6.44140625" customWidth="1"/>
    <col min="11" max="11" width="4.5546875" customWidth="1"/>
    <col min="12" max="12" width="12.33203125" customWidth="1"/>
    <col min="13" max="13" width="6.6640625" customWidth="1"/>
    <col min="14" max="14" width="4.33203125" customWidth="1"/>
    <col min="15" max="15" width="12" customWidth="1"/>
    <col min="16" max="16" width="6.5546875" customWidth="1"/>
    <col min="17" max="17" width="4.5546875" customWidth="1"/>
    <col min="18" max="18" width="11.44140625" customWidth="1"/>
    <col min="19" max="19" width="6.44140625" customWidth="1"/>
  </cols>
  <sheetData>
    <row r="1" spans="1:21" x14ac:dyDescent="0.3">
      <c r="B1" s="1" t="s">
        <v>136</v>
      </c>
      <c r="C1" s="1" t="s">
        <v>135</v>
      </c>
      <c r="D1" s="1" t="s">
        <v>38</v>
      </c>
      <c r="F1" s="1" t="s">
        <v>138</v>
      </c>
      <c r="G1" s="1" t="s">
        <v>103</v>
      </c>
      <c r="H1" s="1"/>
      <c r="I1" s="1" t="s">
        <v>473</v>
      </c>
      <c r="J1" s="1" t="s">
        <v>83</v>
      </c>
      <c r="L1" s="1" t="s">
        <v>472</v>
      </c>
      <c r="M1" s="1" t="s">
        <v>146</v>
      </c>
      <c r="N1" s="1"/>
      <c r="O1" s="12" t="s">
        <v>471</v>
      </c>
      <c r="P1" s="1" t="s">
        <v>166</v>
      </c>
      <c r="R1" s="97" t="s">
        <v>182</v>
      </c>
      <c r="S1" s="130" t="s">
        <v>38</v>
      </c>
    </row>
    <row r="2" spans="1:21" x14ac:dyDescent="0.3">
      <c r="B2" s="52" t="s">
        <v>0</v>
      </c>
      <c r="C2" s="125" t="s">
        <v>134</v>
      </c>
      <c r="D2" s="53" t="s">
        <v>119</v>
      </c>
      <c r="F2" s="57" t="s">
        <v>53</v>
      </c>
      <c r="G2" s="73" t="s">
        <v>140</v>
      </c>
      <c r="H2" s="126"/>
      <c r="I2" s="57" t="s">
        <v>478</v>
      </c>
      <c r="J2" s="6" t="s">
        <v>110</v>
      </c>
      <c r="L2" s="5" t="s">
        <v>60</v>
      </c>
      <c r="M2" s="6" t="s">
        <v>110</v>
      </c>
      <c r="N2" s="2"/>
      <c r="O2" s="57" t="s">
        <v>516</v>
      </c>
      <c r="P2" s="73" t="s">
        <v>110</v>
      </c>
      <c r="Q2" s="2"/>
      <c r="R2" s="13">
        <v>0</v>
      </c>
      <c r="S2" s="8" t="s">
        <v>119</v>
      </c>
    </row>
    <row r="3" spans="1:21" x14ac:dyDescent="0.3">
      <c r="A3" t="s">
        <v>499</v>
      </c>
      <c r="B3" s="5" t="s">
        <v>45</v>
      </c>
      <c r="C3" s="11" t="s">
        <v>134</v>
      </c>
      <c r="D3" s="73" t="s">
        <v>119</v>
      </c>
      <c r="F3" s="14" t="s">
        <v>46</v>
      </c>
      <c r="G3" s="46" t="s">
        <v>140</v>
      </c>
      <c r="H3" s="126"/>
      <c r="I3" s="7" t="s">
        <v>290</v>
      </c>
      <c r="J3" s="8" t="s">
        <v>111</v>
      </c>
      <c r="L3" s="7" t="s">
        <v>61</v>
      </c>
      <c r="M3" s="8" t="s">
        <v>111</v>
      </c>
      <c r="N3" s="2"/>
      <c r="O3" s="14" t="s">
        <v>470</v>
      </c>
      <c r="P3" s="8" t="s">
        <v>111</v>
      </c>
      <c r="Q3" s="2"/>
      <c r="R3" s="13">
        <v>1</v>
      </c>
      <c r="S3" s="8" t="s">
        <v>120</v>
      </c>
    </row>
    <row r="4" spans="1:21" x14ac:dyDescent="0.3">
      <c r="A4" t="s">
        <v>500</v>
      </c>
      <c r="B4" s="7" t="s">
        <v>28</v>
      </c>
      <c r="C4" s="2" t="s">
        <v>134</v>
      </c>
      <c r="D4" s="46" t="s">
        <v>120</v>
      </c>
      <c r="F4" s="14" t="s">
        <v>54</v>
      </c>
      <c r="G4" s="46" t="s">
        <v>139</v>
      </c>
      <c r="H4" s="126"/>
      <c r="I4" s="7" t="s">
        <v>479</v>
      </c>
      <c r="J4" s="8" t="s">
        <v>112</v>
      </c>
      <c r="L4" s="14" t="s">
        <v>421</v>
      </c>
      <c r="M4" s="8" t="s">
        <v>112</v>
      </c>
      <c r="N4" s="2"/>
      <c r="O4" s="14" t="s">
        <v>422</v>
      </c>
      <c r="P4" s="8" t="s">
        <v>112</v>
      </c>
      <c r="Q4" s="2"/>
      <c r="R4" s="13">
        <v>2</v>
      </c>
      <c r="S4" s="8" t="s">
        <v>121</v>
      </c>
    </row>
    <row r="5" spans="1:21" x14ac:dyDescent="0.3">
      <c r="A5" t="s">
        <v>501</v>
      </c>
      <c r="B5" s="7" t="s">
        <v>30</v>
      </c>
      <c r="C5" s="2" t="s">
        <v>134</v>
      </c>
      <c r="D5" s="46" t="s">
        <v>121</v>
      </c>
      <c r="F5" s="14" t="s">
        <v>55</v>
      </c>
      <c r="G5" s="46" t="s">
        <v>139</v>
      </c>
      <c r="H5" s="126"/>
      <c r="I5" s="14" t="s">
        <v>291</v>
      </c>
      <c r="J5" s="46" t="s">
        <v>113</v>
      </c>
      <c r="L5" s="60" t="s">
        <v>474</v>
      </c>
      <c r="M5" s="59" t="s">
        <v>113</v>
      </c>
      <c r="N5" s="2"/>
      <c r="O5" s="14" t="s">
        <v>515</v>
      </c>
      <c r="P5" s="8" t="s">
        <v>113</v>
      </c>
      <c r="Q5" s="2"/>
      <c r="R5" s="13">
        <v>3</v>
      </c>
      <c r="S5" s="8" t="s">
        <v>122</v>
      </c>
    </row>
    <row r="6" spans="1:21" x14ac:dyDescent="0.3">
      <c r="A6" t="s">
        <v>502</v>
      </c>
      <c r="B6" s="7" t="s">
        <v>200</v>
      </c>
      <c r="C6" s="2" t="s">
        <v>134</v>
      </c>
      <c r="D6" s="46" t="s">
        <v>122</v>
      </c>
      <c r="F6" s="14" t="s">
        <v>47</v>
      </c>
      <c r="G6" s="46" t="s">
        <v>142</v>
      </c>
      <c r="H6" s="126"/>
      <c r="I6" s="14" t="s">
        <v>520</v>
      </c>
      <c r="J6" s="8" t="s">
        <v>114</v>
      </c>
      <c r="L6" s="60" t="s">
        <v>63</v>
      </c>
      <c r="M6" s="59" t="s">
        <v>113</v>
      </c>
      <c r="N6" s="2"/>
      <c r="O6" s="7" t="s">
        <v>469</v>
      </c>
      <c r="P6" s="8" t="s">
        <v>114</v>
      </c>
      <c r="Q6" s="2"/>
      <c r="R6" s="13">
        <v>4</v>
      </c>
      <c r="S6" s="8" t="s">
        <v>123</v>
      </c>
    </row>
    <row r="7" spans="1:21" x14ac:dyDescent="0.3">
      <c r="A7" t="s">
        <v>503</v>
      </c>
      <c r="B7" s="7" t="s">
        <v>64</v>
      </c>
      <c r="C7" s="2" t="s">
        <v>134</v>
      </c>
      <c r="D7" s="46" t="s">
        <v>123</v>
      </c>
      <c r="F7" s="14" t="s">
        <v>26</v>
      </c>
      <c r="G7" s="46" t="s">
        <v>141</v>
      </c>
      <c r="H7" s="126"/>
      <c r="I7" s="58" t="s">
        <v>477</v>
      </c>
      <c r="J7" s="8" t="s">
        <v>115</v>
      </c>
      <c r="L7" s="7" t="s">
        <v>56</v>
      </c>
      <c r="M7" s="8" t="s">
        <v>114</v>
      </c>
      <c r="N7" s="2"/>
      <c r="O7" s="14" t="s">
        <v>313</v>
      </c>
      <c r="P7" s="46" t="s">
        <v>115</v>
      </c>
      <c r="R7" s="13">
        <v>5</v>
      </c>
      <c r="S7" s="8" t="s">
        <v>124</v>
      </c>
    </row>
    <row r="8" spans="1:21" x14ac:dyDescent="0.3">
      <c r="A8" t="s">
        <v>504</v>
      </c>
      <c r="B8" s="60" t="s">
        <v>67</v>
      </c>
      <c r="C8" s="63" t="s">
        <v>134</v>
      </c>
      <c r="D8" s="59" t="s">
        <v>124</v>
      </c>
      <c r="F8" s="14" t="s">
        <v>68</v>
      </c>
      <c r="G8" s="46" t="s">
        <v>141</v>
      </c>
      <c r="H8" s="126"/>
      <c r="I8" s="58" t="s">
        <v>485</v>
      </c>
      <c r="J8" s="8" t="s">
        <v>116</v>
      </c>
      <c r="L8" s="14" t="s">
        <v>314</v>
      </c>
      <c r="M8" s="8" t="s">
        <v>115</v>
      </c>
      <c r="N8" s="2"/>
      <c r="O8" s="14" t="s">
        <v>213</v>
      </c>
      <c r="P8" s="46" t="s">
        <v>116</v>
      </c>
      <c r="R8" s="13">
        <v>6</v>
      </c>
      <c r="S8" s="8" t="s">
        <v>125</v>
      </c>
    </row>
    <row r="9" spans="1:21" x14ac:dyDescent="0.3">
      <c r="A9" t="s">
        <v>505</v>
      </c>
      <c r="B9" s="60" t="s">
        <v>118</v>
      </c>
      <c r="C9" s="63" t="s">
        <v>134</v>
      </c>
      <c r="D9" s="59" t="s">
        <v>125</v>
      </c>
      <c r="F9" s="14" t="s">
        <v>62</v>
      </c>
      <c r="G9" s="46" t="s">
        <v>141</v>
      </c>
      <c r="H9" s="126"/>
      <c r="I9" s="14" t="s">
        <v>35</v>
      </c>
      <c r="J9" s="46" t="s">
        <v>109</v>
      </c>
      <c r="L9" s="14" t="s">
        <v>519</v>
      </c>
      <c r="M9" s="46" t="s">
        <v>116</v>
      </c>
      <c r="O9" s="14" t="s">
        <v>179</v>
      </c>
      <c r="P9" s="8" t="s">
        <v>109</v>
      </c>
      <c r="R9" s="13">
        <v>7</v>
      </c>
      <c r="S9" s="8" t="s">
        <v>126</v>
      </c>
    </row>
    <row r="10" spans="1:21" x14ac:dyDescent="0.3">
      <c r="A10" t="s">
        <v>506</v>
      </c>
      <c r="B10" s="7" t="s">
        <v>183</v>
      </c>
      <c r="C10" s="2" t="s">
        <v>134</v>
      </c>
      <c r="D10" s="46" t="s">
        <v>126</v>
      </c>
      <c r="F10" s="14" t="s">
        <v>464</v>
      </c>
      <c r="G10" s="46" t="s">
        <v>141</v>
      </c>
      <c r="H10" s="126"/>
      <c r="I10" s="14" t="s">
        <v>481</v>
      </c>
      <c r="J10" s="8" t="s">
        <v>109</v>
      </c>
      <c r="L10" s="14" t="s">
        <v>191</v>
      </c>
      <c r="M10" s="46" t="s">
        <v>109</v>
      </c>
      <c r="O10" s="14" t="s">
        <v>476</v>
      </c>
      <c r="P10" s="8" t="s">
        <v>109</v>
      </c>
      <c r="R10" s="13">
        <v>8</v>
      </c>
      <c r="S10" s="8" t="s">
        <v>127</v>
      </c>
    </row>
    <row r="11" spans="1:21" x14ac:dyDescent="0.3">
      <c r="A11" t="s">
        <v>507</v>
      </c>
      <c r="B11" s="7" t="s">
        <v>90</v>
      </c>
      <c r="C11" s="2" t="s">
        <v>134</v>
      </c>
      <c r="D11" s="46" t="s">
        <v>127</v>
      </c>
      <c r="F11" s="14" t="s">
        <v>462</v>
      </c>
      <c r="G11" s="46" t="s">
        <v>144</v>
      </c>
      <c r="H11" s="126"/>
      <c r="I11" s="14" t="s">
        <v>482</v>
      </c>
      <c r="J11" s="8" t="s">
        <v>109</v>
      </c>
      <c r="L11" s="14" t="s">
        <v>475</v>
      </c>
      <c r="M11" s="8" t="s">
        <v>109</v>
      </c>
      <c r="O11" s="14" t="s">
        <v>480</v>
      </c>
      <c r="P11" s="8" t="s">
        <v>109</v>
      </c>
      <c r="R11" s="13">
        <v>9</v>
      </c>
      <c r="S11" s="8" t="s">
        <v>128</v>
      </c>
    </row>
    <row r="12" spans="1:21" x14ac:dyDescent="0.3">
      <c r="A12" t="s">
        <v>508</v>
      </c>
      <c r="B12" s="7" t="s">
        <v>99</v>
      </c>
      <c r="C12" s="2" t="s">
        <v>134</v>
      </c>
      <c r="D12" s="46" t="s">
        <v>128</v>
      </c>
      <c r="F12" s="14" t="s">
        <v>89</v>
      </c>
      <c r="G12" s="46" t="s">
        <v>143</v>
      </c>
      <c r="H12" s="126"/>
      <c r="I12" s="42" t="s">
        <v>484</v>
      </c>
      <c r="J12" s="46" t="s">
        <v>109</v>
      </c>
      <c r="L12" s="42" t="s">
        <v>484</v>
      </c>
      <c r="M12" s="8" t="s">
        <v>109</v>
      </c>
      <c r="O12" s="14" t="s">
        <v>483</v>
      </c>
      <c r="P12" s="8" t="s">
        <v>109</v>
      </c>
      <c r="R12" s="14" t="s">
        <v>565</v>
      </c>
      <c r="S12" s="8" t="s">
        <v>117</v>
      </c>
      <c r="U12" s="2"/>
    </row>
    <row r="13" spans="1:21" x14ac:dyDescent="0.3">
      <c r="A13" t="s">
        <v>509</v>
      </c>
      <c r="B13" s="7" t="s">
        <v>175</v>
      </c>
      <c r="C13" s="2" t="s">
        <v>134</v>
      </c>
      <c r="D13" s="46" t="s">
        <v>129</v>
      </c>
      <c r="F13" s="14" t="s">
        <v>463</v>
      </c>
      <c r="G13" s="46" t="s">
        <v>153</v>
      </c>
      <c r="H13" s="126"/>
      <c r="I13" s="42" t="s">
        <v>490</v>
      </c>
      <c r="J13" s="46" t="s">
        <v>109</v>
      </c>
      <c r="L13" s="43" t="s">
        <v>490</v>
      </c>
      <c r="M13" s="9" t="s">
        <v>109</v>
      </c>
      <c r="O13" s="71" t="s">
        <v>517</v>
      </c>
      <c r="P13" s="72" t="s">
        <v>109</v>
      </c>
      <c r="R13" s="14" t="s">
        <v>180</v>
      </c>
      <c r="S13" s="8" t="s">
        <v>120</v>
      </c>
      <c r="U13" s="2"/>
    </row>
    <row r="14" spans="1:21" x14ac:dyDescent="0.3">
      <c r="A14" t="s">
        <v>510</v>
      </c>
      <c r="B14" s="14" t="s">
        <v>211</v>
      </c>
      <c r="C14" s="2" t="s">
        <v>134</v>
      </c>
      <c r="D14" s="46" t="s">
        <v>130</v>
      </c>
      <c r="F14" s="14" t="s">
        <v>465</v>
      </c>
      <c r="G14" s="46" t="s">
        <v>139</v>
      </c>
      <c r="H14" s="126"/>
      <c r="I14" s="42" t="s">
        <v>517</v>
      </c>
      <c r="J14" s="46" t="s">
        <v>109</v>
      </c>
      <c r="R14" s="14" t="s">
        <v>181</v>
      </c>
      <c r="S14" s="8" t="s">
        <v>121</v>
      </c>
    </row>
    <row r="15" spans="1:21" x14ac:dyDescent="0.3">
      <c r="A15" t="s">
        <v>511</v>
      </c>
      <c r="B15" s="7" t="s">
        <v>73</v>
      </c>
      <c r="C15" s="2" t="s">
        <v>134</v>
      </c>
      <c r="D15" s="46" t="s">
        <v>131</v>
      </c>
      <c r="F15" s="14" t="s">
        <v>468</v>
      </c>
      <c r="G15" s="46" t="s">
        <v>139</v>
      </c>
      <c r="H15" s="126"/>
      <c r="I15" s="43" t="s">
        <v>518</v>
      </c>
      <c r="J15" s="72" t="s">
        <v>109</v>
      </c>
      <c r="L15" s="1" t="s">
        <v>147</v>
      </c>
      <c r="M15" s="1" t="s">
        <v>148</v>
      </c>
      <c r="O15" s="12" t="s">
        <v>171</v>
      </c>
      <c r="P15" s="1" t="s">
        <v>168</v>
      </c>
      <c r="R15" s="14" t="s">
        <v>312</v>
      </c>
      <c r="S15" s="8" t="s">
        <v>122</v>
      </c>
    </row>
    <row r="16" spans="1:21" x14ac:dyDescent="0.3">
      <c r="A16" t="s">
        <v>512</v>
      </c>
      <c r="B16" s="7" t="s">
        <v>86</v>
      </c>
      <c r="C16" s="2" t="s">
        <v>134</v>
      </c>
      <c r="D16" s="46" t="s">
        <v>132</v>
      </c>
      <c r="F16" s="14" t="s">
        <v>466</v>
      </c>
      <c r="G16" s="46" t="s">
        <v>287</v>
      </c>
      <c r="H16" s="126"/>
      <c r="L16" s="5" t="s">
        <v>69</v>
      </c>
      <c r="M16" s="6" t="s">
        <v>149</v>
      </c>
      <c r="O16" s="5" t="s">
        <v>35</v>
      </c>
      <c r="P16" s="6" t="s">
        <v>169</v>
      </c>
      <c r="R16" s="14" t="s">
        <v>311</v>
      </c>
      <c r="S16" s="8" t="s">
        <v>123</v>
      </c>
    </row>
    <row r="17" spans="1:19" x14ac:dyDescent="0.3">
      <c r="A17" t="s">
        <v>513</v>
      </c>
      <c r="B17" s="14" t="s">
        <v>430</v>
      </c>
      <c r="C17" s="2" t="s">
        <v>134</v>
      </c>
      <c r="D17" s="46" t="s">
        <v>133</v>
      </c>
      <c r="F17" s="14" t="s">
        <v>486</v>
      </c>
      <c r="G17" s="46" t="s">
        <v>140</v>
      </c>
      <c r="H17" s="126"/>
      <c r="I17" s="52" t="s">
        <v>137</v>
      </c>
      <c r="J17" s="53" t="s">
        <v>110</v>
      </c>
      <c r="L17" s="10" t="s">
        <v>41</v>
      </c>
      <c r="M17" s="9" t="s">
        <v>150</v>
      </c>
      <c r="O17" s="7" t="s">
        <v>39</v>
      </c>
      <c r="P17" s="8" t="s">
        <v>170</v>
      </c>
      <c r="R17" s="14" t="s">
        <v>292</v>
      </c>
      <c r="S17" s="8" t="s">
        <v>124</v>
      </c>
    </row>
    <row r="18" spans="1:19" x14ac:dyDescent="0.3">
      <c r="A18" t="s">
        <v>514</v>
      </c>
      <c r="B18" s="50" t="s">
        <v>251</v>
      </c>
      <c r="C18" s="51" t="s">
        <v>134</v>
      </c>
      <c r="D18" s="46" t="s">
        <v>117</v>
      </c>
      <c r="F18" s="14" t="s">
        <v>569</v>
      </c>
      <c r="G18" s="8" t="s">
        <v>139</v>
      </c>
      <c r="H18" s="2"/>
      <c r="O18" s="10" t="s">
        <v>691</v>
      </c>
      <c r="P18" s="9" t="s">
        <v>170</v>
      </c>
      <c r="R18" s="14" t="s">
        <v>293</v>
      </c>
      <c r="S18" s="8" t="s">
        <v>125</v>
      </c>
    </row>
    <row r="19" spans="1:19" x14ac:dyDescent="0.3">
      <c r="B19" s="60" t="s">
        <v>431</v>
      </c>
      <c r="C19" s="63" t="s">
        <v>134</v>
      </c>
      <c r="D19" s="59" t="s">
        <v>125</v>
      </c>
      <c r="F19" s="14" t="s">
        <v>651</v>
      </c>
      <c r="G19" s="8" t="s">
        <v>141</v>
      </c>
      <c r="H19" s="2"/>
      <c r="R19" s="14" t="s">
        <v>24</v>
      </c>
      <c r="S19" s="8" t="s">
        <v>119</v>
      </c>
    </row>
    <row r="20" spans="1:19" x14ac:dyDescent="0.3">
      <c r="B20" s="60" t="s">
        <v>432</v>
      </c>
      <c r="C20" s="63" t="s">
        <v>134</v>
      </c>
      <c r="D20" s="59" t="s">
        <v>124</v>
      </c>
      <c r="F20" s="43" t="s">
        <v>467</v>
      </c>
      <c r="G20" s="9" t="s">
        <v>173</v>
      </c>
      <c r="H20" s="2"/>
      <c r="R20" s="14" t="s">
        <v>429</v>
      </c>
      <c r="S20" s="8" t="s">
        <v>120</v>
      </c>
    </row>
    <row r="21" spans="1:19" x14ac:dyDescent="0.3">
      <c r="B21" s="42" t="s">
        <v>487</v>
      </c>
      <c r="C21" s="66" t="s">
        <v>108</v>
      </c>
      <c r="D21" s="46" t="s">
        <v>119</v>
      </c>
      <c r="I21" s="1" t="s">
        <v>559</v>
      </c>
      <c r="R21" s="14" t="s">
        <v>427</v>
      </c>
      <c r="S21" s="8" t="s">
        <v>121</v>
      </c>
    </row>
    <row r="22" spans="1:19" x14ac:dyDescent="0.3">
      <c r="B22" s="43" t="s">
        <v>488</v>
      </c>
      <c r="C22" s="67" t="s">
        <v>108</v>
      </c>
      <c r="D22" s="72" t="s">
        <v>119</v>
      </c>
      <c r="I22" s="1" t="s">
        <v>560</v>
      </c>
      <c r="R22" s="14" t="s">
        <v>423</v>
      </c>
      <c r="S22" s="8" t="s">
        <v>122</v>
      </c>
    </row>
    <row r="23" spans="1:19" x14ac:dyDescent="0.3">
      <c r="B23" s="52" t="s">
        <v>35</v>
      </c>
      <c r="C23" s="125" t="s">
        <v>108</v>
      </c>
      <c r="D23" s="53" t="s">
        <v>119</v>
      </c>
      <c r="H23" s="1"/>
      <c r="I23" s="1" t="s">
        <v>561</v>
      </c>
      <c r="R23" s="14" t="s">
        <v>40</v>
      </c>
      <c r="S23" s="8" t="s">
        <v>123</v>
      </c>
    </row>
    <row r="24" spans="1:19" x14ac:dyDescent="0.3">
      <c r="H24" s="2"/>
      <c r="I24" s="1" t="s">
        <v>489</v>
      </c>
      <c r="R24" s="14" t="s">
        <v>428</v>
      </c>
      <c r="S24" s="8" t="s">
        <v>124</v>
      </c>
    </row>
    <row r="25" spans="1:19" x14ac:dyDescent="0.3">
      <c r="H25" s="2"/>
      <c r="R25" s="88" t="s">
        <v>325</v>
      </c>
      <c r="S25" s="9" t="s">
        <v>125</v>
      </c>
    </row>
    <row r="40" spans="2:2" x14ac:dyDescent="0.3">
      <c r="B40" s="89"/>
    </row>
    <row r="41" spans="2:2" x14ac:dyDescent="0.3">
      <c r="B41" s="89"/>
    </row>
    <row r="46" spans="2:2" x14ac:dyDescent="0.3">
      <c r="B46" s="4"/>
    </row>
    <row r="49" spans="2:2" x14ac:dyDescent="0.3">
      <c r="B49" s="4"/>
    </row>
    <row r="50" spans="2:2" x14ac:dyDescent="0.3">
      <c r="B50" s="90"/>
    </row>
    <row r="51" spans="2:2" x14ac:dyDescent="0.3">
      <c r="B51" s="89"/>
    </row>
    <row r="52" spans="2:2" x14ac:dyDescent="0.3">
      <c r="B52" s="89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8C9A-EC38-4B21-B438-4FEC51309A92}">
  <dimension ref="A1:AD1105"/>
  <sheetViews>
    <sheetView tabSelected="1" zoomScale="97" zoomScaleNormal="97" workbookViewId="0">
      <pane ySplit="4" topLeftCell="A5" activePane="bottomLeft" state="frozen"/>
      <selection pane="bottomLeft" activeCell="S51" sqref="S51"/>
    </sheetView>
  </sheetViews>
  <sheetFormatPr defaultRowHeight="14.4" x14ac:dyDescent="0.3"/>
  <cols>
    <col min="1" max="1" width="5.5546875" style="15" customWidth="1"/>
    <col min="2" max="2" width="4.44140625" style="4" customWidth="1"/>
    <col min="3" max="3" width="13.6640625" style="4" customWidth="1"/>
    <col min="4" max="4" width="13.77734375" style="4" customWidth="1"/>
    <col min="5" max="5" width="13.88671875" style="4" customWidth="1"/>
    <col min="6" max="6" width="10.77734375" style="4" customWidth="1"/>
    <col min="7" max="7" width="8.6640625" style="4" customWidth="1"/>
    <col min="8" max="8" width="14.109375" style="4" customWidth="1"/>
    <col min="9" max="9" width="10.44140625" style="4" customWidth="1"/>
    <col min="10" max="10" width="9.33203125" style="4" customWidth="1"/>
    <col min="11" max="11" width="10.33203125" style="4" customWidth="1"/>
    <col min="12" max="12" width="11.5546875" style="4" customWidth="1"/>
    <col min="13" max="13" width="10.33203125" style="4" customWidth="1"/>
    <col min="14" max="14" width="8.109375" style="4" customWidth="1"/>
    <col min="15" max="15" width="4.77734375" style="26" customWidth="1"/>
    <col min="16" max="17" width="4.88671875" style="26" customWidth="1"/>
    <col min="18" max="18" width="4.21875" style="26" customWidth="1"/>
    <col min="19" max="19" width="38" style="4" customWidth="1"/>
    <col min="20" max="25" width="8.88671875" style="4"/>
    <col min="26" max="29" width="6.33203125" style="4" customWidth="1"/>
    <col min="30" max="16384" width="8.88671875" style="4"/>
  </cols>
  <sheetData>
    <row r="1" spans="1:30" x14ac:dyDescent="0.3">
      <c r="A1" s="102" t="s">
        <v>735</v>
      </c>
      <c r="B1" s="103"/>
      <c r="C1" s="103"/>
      <c r="D1" s="103" t="s">
        <v>79</v>
      </c>
      <c r="E1" s="103"/>
      <c r="F1" s="103" t="s">
        <v>44</v>
      </c>
      <c r="G1" s="103" t="s">
        <v>80</v>
      </c>
      <c r="H1" s="103" t="s">
        <v>102</v>
      </c>
      <c r="I1" s="103" t="s">
        <v>82</v>
      </c>
      <c r="J1" s="103" t="s">
        <v>167</v>
      </c>
      <c r="K1" s="103" t="s">
        <v>165</v>
      </c>
      <c r="L1" s="103" t="s">
        <v>44</v>
      </c>
      <c r="M1" s="103" t="s">
        <v>104</v>
      </c>
      <c r="N1" s="103" t="s">
        <v>105</v>
      </c>
      <c r="O1" s="131" t="s">
        <v>562</v>
      </c>
      <c r="P1" s="132"/>
      <c r="Q1" s="132"/>
      <c r="R1" s="133"/>
      <c r="Z1" s="131" t="s">
        <v>498</v>
      </c>
      <c r="AA1" s="132"/>
      <c r="AB1" s="132"/>
      <c r="AC1" s="133"/>
    </row>
    <row r="2" spans="1:30" ht="15" thickBot="1" x14ac:dyDescent="0.35">
      <c r="A2" s="107"/>
      <c r="B2" s="103"/>
      <c r="C2" s="103"/>
      <c r="D2" s="108" t="s">
        <v>78</v>
      </c>
      <c r="E2" s="108" t="s">
        <v>84</v>
      </c>
      <c r="F2" s="103" t="s">
        <v>38</v>
      </c>
      <c r="G2" s="103" t="s">
        <v>81</v>
      </c>
      <c r="H2" s="103" t="s">
        <v>103</v>
      </c>
      <c r="I2" s="103" t="s">
        <v>83</v>
      </c>
      <c r="J2" s="103" t="s">
        <v>146</v>
      </c>
      <c r="K2" s="103" t="s">
        <v>166</v>
      </c>
      <c r="L2" s="103" t="s">
        <v>38</v>
      </c>
      <c r="M2" s="103" t="s">
        <v>106</v>
      </c>
      <c r="N2" s="103" t="s">
        <v>145</v>
      </c>
      <c r="O2" s="109" t="s">
        <v>48</v>
      </c>
      <c r="P2" s="110" t="s">
        <v>49</v>
      </c>
      <c r="Q2" s="110" t="s">
        <v>50</v>
      </c>
      <c r="R2" s="111"/>
      <c r="Z2" s="127"/>
      <c r="AA2" s="128"/>
      <c r="AB2" s="128"/>
      <c r="AC2" s="129"/>
    </row>
    <row r="3" spans="1:30" ht="15" thickBot="1" x14ac:dyDescent="0.35">
      <c r="A3" s="112" t="s">
        <v>19</v>
      </c>
      <c r="B3" s="113" t="s">
        <v>32</v>
      </c>
      <c r="C3" s="113" t="s">
        <v>20</v>
      </c>
      <c r="D3" s="134" t="s">
        <v>23</v>
      </c>
      <c r="E3" s="134"/>
      <c r="F3" s="135" t="s">
        <v>21</v>
      </c>
      <c r="G3" s="136"/>
      <c r="H3" s="134" t="s">
        <v>31</v>
      </c>
      <c r="I3" s="134"/>
      <c r="J3" s="134"/>
      <c r="K3" s="134"/>
      <c r="L3" s="134"/>
      <c r="M3" s="137" t="s">
        <v>62</v>
      </c>
      <c r="N3" s="136"/>
      <c r="O3" s="114" t="s">
        <v>37</v>
      </c>
      <c r="P3" s="114" t="s">
        <v>51</v>
      </c>
      <c r="Q3" s="115" t="s">
        <v>52</v>
      </c>
      <c r="R3" s="116">
        <v>4</v>
      </c>
      <c r="Z3" s="74" t="str" cm="1">
        <f t="array" ref="Z3">"#define ROMSZ  "&amp;INDEX(A5:A798,MATCH("ENDROM", C5:C798, 0),0)</f>
        <v>#define ROMSZ  1983</v>
      </c>
      <c r="AA3" s="75"/>
      <c r="AB3" s="75"/>
      <c r="AC3" s="76"/>
    </row>
    <row r="4" spans="1:30" ht="15" thickBot="1" x14ac:dyDescent="0.35">
      <c r="A4" s="86"/>
      <c r="B4" s="87"/>
      <c r="C4" s="117"/>
      <c r="D4" s="105" t="s">
        <v>22</v>
      </c>
      <c r="E4" s="105" t="s">
        <v>36</v>
      </c>
      <c r="F4" s="104" t="s">
        <v>564</v>
      </c>
      <c r="G4" s="106" t="s">
        <v>39</v>
      </c>
      <c r="H4" s="118" t="s">
        <v>138</v>
      </c>
      <c r="I4" s="119" t="s">
        <v>473</v>
      </c>
      <c r="J4" s="119" t="s">
        <v>472</v>
      </c>
      <c r="K4" s="119" t="s">
        <v>543</v>
      </c>
      <c r="L4" s="119" t="s">
        <v>182</v>
      </c>
      <c r="M4" s="124" t="s">
        <v>212</v>
      </c>
      <c r="N4" s="120" t="s">
        <v>41</v>
      </c>
      <c r="O4" s="16" t="s">
        <v>33</v>
      </c>
      <c r="P4" s="17"/>
      <c r="Q4" s="17"/>
      <c r="R4" s="18"/>
      <c r="S4" s="4" t="s">
        <v>734</v>
      </c>
      <c r="Z4" s="74" t="str">
        <f>"const byte ROM[ROMSZ] PROGMEM= {"</f>
        <v>const byte ROM[ROMSZ] PROGMEM= {</v>
      </c>
      <c r="AA4" s="75"/>
      <c r="AB4" s="75"/>
      <c r="AC4" s="76"/>
    </row>
    <row r="5" spans="1:30" x14ac:dyDescent="0.3">
      <c r="A5" s="79">
        <v>0</v>
      </c>
      <c r="B5" s="80" t="str">
        <f t="shared" ref="B5:B31" si="0">DEC2HEX(A5)</f>
        <v>0</v>
      </c>
      <c r="D5" s="20"/>
      <c r="E5" s="21"/>
      <c r="F5" s="22"/>
      <c r="G5" s="40"/>
      <c r="H5" s="23"/>
      <c r="M5" s="122"/>
      <c r="N5" s="21"/>
      <c r="O5" s="25" t="str" cm="1">
        <f t="array" ref="O5">BIN2HEX(IF(I5&lt;&gt;"",VLOOKUP(I5,Ops!$I$2:'Ops'!$J$13,2,FALSE),IF(ISNUMBER(SEARCH("BR",D5)),"001","000"))&amp;IF(D5&lt;&gt;"",VLOOKUP(D5,Ops!$B$2:'Ops'!$C$23,2,FALSE),"0")&amp;_xlfn.IFS(ISNUMBER(SEARCH("BR",D5)),VLOOKUP(D5,Ops!$B$3:'Ops'!$D$22,3,FALSE),F5&lt;&gt;"",VLOOKUP(F5,Ops!$R$2:'Ops'!$S$11,2),L5&lt;&gt;"",VLOOKUP(L5,Ops!$R$2:'Ops'!$S$25,2,FALSE),TRUE,"0000"),2)</f>
        <v>00</v>
      </c>
      <c r="P5" s="26" t="str">
        <f>RIGHT(IF($E5&lt;&gt;"",_xlfn.XLOOKUP($E5,$C$4:$C$681,$B$4:$B$681,"NO LABEL"),BIN2HEX(IF(N5="CarryEn","1","0")&amp;IF(M5="SubXY","1","0")&amp;IF(H5&lt;&gt;"",VLOOKUP(H5,Ops!$F$2:'Ops'!$G$20,2,FALSE),"000000"),2)),2)</f>
        <v>00</v>
      </c>
      <c r="Q5" s="26" t="str" cm="1">
        <f t="array" ref="Q5">BIN2HEX(_xlfn.IFS(D5="HWINTEN","10",G5="KeyAck","01",G5="InitLp8","01",TRUE,"00")&amp;IF(OR(Ops!$O$2:'Ops'!$O$13=K5),VLOOKUP(K5,Ops!$O$2:'Ops'!$P$13,2,FALSE),"000")&amp;IF(E5&lt;&gt;"",IF(LEN(_xlfn.XLOOKUP($E5,$C$5:$C$681,$B$5:$B$681,0))=3,HEX2BIN(LEFT(_xlfn.XLOOKUP($E5,$C$5:$C$681,$B$5:$B$681,0),1),3),IF(OR(Ops!$L$2:'Ops'!$L$11=J5),VLOOKUP(J5,Ops!$L$2:'Ops'!$M$11,2,FALSE),"000")),IF(OR(Ops!$L$2:'Ops'!$L$11=J5),VLOOKUP(J5,Ops!$L$2:'Ops'!$M$11,2,FALSE),"000")),2)</f>
        <v>00</v>
      </c>
      <c r="R5" s="27"/>
      <c r="S5" s="4" t="s">
        <v>59</v>
      </c>
      <c r="Z5" s="74" t="str">
        <f t="shared" ref="Z5:Z31" si="1">IF(O5="", "};", "0x"&amp;O5&amp;",")</f>
        <v>0x00,</v>
      </c>
      <c r="AA5" s="75" t="str">
        <f t="shared" ref="AA5:AA31" si="2">"0x"&amp;P5&amp;","</f>
        <v>0x00,</v>
      </c>
      <c r="AB5" s="75" t="str">
        <f t="shared" ref="AB5:AB31" si="3">"0x"&amp;Q5&amp;","</f>
        <v>0x00,</v>
      </c>
      <c r="AC5" s="76"/>
    </row>
    <row r="6" spans="1:30" x14ac:dyDescent="0.3">
      <c r="A6" s="79">
        <f>A5+3</f>
        <v>3</v>
      </c>
      <c r="B6" s="80" t="str">
        <f t="shared" si="0"/>
        <v>3</v>
      </c>
      <c r="C6" s="12"/>
      <c r="D6" s="19"/>
      <c r="E6" s="15"/>
      <c r="F6" s="28"/>
      <c r="G6" s="41"/>
      <c r="H6" s="23"/>
      <c r="M6" s="14"/>
      <c r="O6" s="25" t="str" cm="1">
        <f t="array" ref="O6">BIN2HEX(IF(I6&lt;&gt;"",VLOOKUP(I6,Ops!$I$2:'Ops'!$J$13,2,FALSE),IF(ISNUMBER(SEARCH("BR",D6)),"001","000"))&amp;IF(D6&lt;&gt;"",VLOOKUP(D6,Ops!$B$2:'Ops'!$C$23,2,FALSE),"0")&amp;_xlfn.IFS(ISNUMBER(SEARCH("BR",D6)),VLOOKUP(D6,Ops!$B$3:'Ops'!$D$22,3,FALSE),F6&lt;&gt;"",VLOOKUP(F6,Ops!$R$2:'Ops'!$S$11,2),L6&lt;&gt;"",VLOOKUP(L6,Ops!$R$2:'Ops'!$S$25,2,FALSE),TRUE,"0000"),2)</f>
        <v>00</v>
      </c>
      <c r="P6" s="26" t="str">
        <f>RIGHT(IF($E6&lt;&gt;"",_xlfn.XLOOKUP($E6,$C$4:$C$681,$B$4:$B$681,"NO LABEL"),BIN2HEX(IF(N6="CarryEn","1","0")&amp;IF(M6="SubXY","1","0")&amp;IF(H6&lt;&gt;"",VLOOKUP(H6,Ops!$F$2:'Ops'!$G$20,2,FALSE),"000000"),2)),2)</f>
        <v>00</v>
      </c>
      <c r="Q6" s="26" t="str" cm="1">
        <f t="array" ref="Q6">BIN2HEX(_xlfn.IFS(D6="HWINTEN","10",G6="KeyAck","01",G6="InitLp8","01",TRUE,"00")&amp;IF(OR(Ops!$O$2:'Ops'!$O$13=K6),VLOOKUP(K6,Ops!$O$2:'Ops'!$P$13,2,FALSE),"000")&amp;IF(E6&lt;&gt;"",IF(LEN(_xlfn.XLOOKUP($E6,$C$5:$C$681,$B$5:$B$681,0))=3,HEX2BIN(LEFT(_xlfn.XLOOKUP($E6,$C$5:$C$681,$B$5:$B$681,0),1),3),IF(OR(Ops!$L$2:'Ops'!$L$11=J6),VLOOKUP(J6,Ops!$L$2:'Ops'!$M$11,2,FALSE),"000")),IF(OR(Ops!$L$2:'Ops'!$L$11=J6),VLOOKUP(J6,Ops!$L$2:'Ops'!$M$11,2,FALSE),"000")),2)</f>
        <v>00</v>
      </c>
      <c r="R6" s="27"/>
      <c r="Z6" s="74" t="str">
        <f t="shared" si="1"/>
        <v>0x00,</v>
      </c>
      <c r="AA6" s="75" t="str">
        <f t="shared" si="2"/>
        <v>0x00,</v>
      </c>
      <c r="AB6" s="75" t="str">
        <f t="shared" si="3"/>
        <v>0x00,</v>
      </c>
      <c r="AC6" s="76"/>
    </row>
    <row r="7" spans="1:30" x14ac:dyDescent="0.3">
      <c r="A7" s="79">
        <f>A6+3</f>
        <v>6</v>
      </c>
      <c r="B7" s="80" t="str">
        <f t="shared" si="0"/>
        <v>6</v>
      </c>
      <c r="C7" s="4" t="s">
        <v>7</v>
      </c>
      <c r="D7" s="29" t="s">
        <v>0</v>
      </c>
      <c r="E7" s="4" t="s">
        <v>14</v>
      </c>
      <c r="F7" s="28"/>
      <c r="G7" s="41"/>
      <c r="H7" s="23"/>
      <c r="J7" s="15"/>
      <c r="M7" s="14"/>
      <c r="O7" s="25" t="str" cm="1">
        <f t="array" ref="O7">BIN2HEX(IF(I7&lt;&gt;"",VLOOKUP(I7,Ops!$I$2:'Ops'!$J$13,2,FALSE),IF(ISNUMBER(SEARCH("BR",D7)),"001","000"))&amp;IF(D7&lt;&gt;"",VLOOKUP(D7,Ops!$B$2:'Ops'!$C$23,2,FALSE),"0")&amp;_xlfn.IFS(ISNUMBER(SEARCH("BR",D7)),VLOOKUP(D7,Ops!$B$3:'Ops'!$D$22,3,FALSE),F7&lt;&gt;"",VLOOKUP(F7,Ops!$R$2:'Ops'!$S$11,2),L7&lt;&gt;"",VLOOKUP(L7,Ops!$R$2:'Ops'!$S$25,2,FALSE),TRUE,"0000"),2)</f>
        <v>10</v>
      </c>
      <c r="P7" s="26" t="str">
        <f>RIGHT(IF($E7&lt;&gt;"",_xlfn.XLOOKUP($E7,$C$4:$C$681,$B$4:$B$681,"NO LABEL"),BIN2HEX(IF(N7="CarryEn","1","0")&amp;IF(M7="SubXY","1","0")&amp;IF(H7&lt;&gt;"",VLOOKUP(H7,Ops!$F$2:'Ops'!$G$20,2,FALSE),"000000"),2)),2)</f>
        <v>2B</v>
      </c>
      <c r="Q7" s="26" t="str" cm="1">
        <f t="array" ref="Q7">BIN2HEX(_xlfn.IFS(D7="HWINTEN","10",G7="KeyAck","01",G7="InitLp8","01",TRUE,"00")&amp;IF(OR(Ops!$O$2:'Ops'!$O$13=K7),VLOOKUP(K7,Ops!$O$2:'Ops'!$P$13,2,FALSE),"000")&amp;IF(E7&lt;&gt;"",IF(LEN(_xlfn.XLOOKUP($E7,$C$5:$C$681,$B$5:$B$681,0))=3,HEX2BIN(LEFT(_xlfn.XLOOKUP($E7,$C$5:$C$681,$B$5:$B$681,0),1),3),IF(OR(Ops!$L$2:'Ops'!$L$11=J7),VLOOKUP(J7,Ops!$L$2:'Ops'!$M$11,2,FALSE),"000")),IF(OR(Ops!$L$2:'Ops'!$L$11=J7),VLOOKUP(J7,Ops!$L$2:'Ops'!$M$11,2,FALSE),"000")),2)</f>
        <v>02</v>
      </c>
      <c r="R7" s="27"/>
      <c r="Z7" s="74" t="str">
        <f t="shared" si="1"/>
        <v>0x10,</v>
      </c>
      <c r="AA7" s="75" t="str">
        <f t="shared" si="2"/>
        <v>0x2B,</v>
      </c>
      <c r="AB7" s="75" t="str">
        <f t="shared" si="3"/>
        <v>0x02,</v>
      </c>
      <c r="AC7" s="76"/>
    </row>
    <row r="8" spans="1:30" x14ac:dyDescent="0.3">
      <c r="A8" s="79">
        <f>A7+3</f>
        <v>9</v>
      </c>
      <c r="B8" s="80" t="str">
        <f t="shared" si="0"/>
        <v>9</v>
      </c>
      <c r="D8" s="19"/>
      <c r="E8" s="41"/>
      <c r="F8" s="29"/>
      <c r="G8" s="24"/>
      <c r="H8" s="29"/>
      <c r="M8" s="14"/>
      <c r="O8" s="25" t="str" cm="1">
        <f t="array" ref="O8">BIN2HEX(IF(I8&lt;&gt;"",VLOOKUP(I8,Ops!$I$2:'Ops'!$J$13,2,FALSE),IF(ISNUMBER(SEARCH("BR",D8)),"001","000"))&amp;IF(D8&lt;&gt;"",VLOOKUP(D8,Ops!$B$2:'Ops'!$C$23,2,FALSE),"0")&amp;_xlfn.IFS(ISNUMBER(SEARCH("BR",D8)),VLOOKUP(D8,Ops!$B$3:'Ops'!$D$22,3,FALSE),F8&lt;&gt;"",VLOOKUP(F8,Ops!$R$2:'Ops'!$S$11,2),L8&lt;&gt;"",VLOOKUP(L8,Ops!$R$2:'Ops'!$S$25,2,FALSE),TRUE,"0000"),2)</f>
        <v>00</v>
      </c>
      <c r="P8" s="26" t="str">
        <f>RIGHT(IF($E8&lt;&gt;"",_xlfn.XLOOKUP($E8,$C$4:$C$681,$B$4:$B$681,"NO LABEL"),BIN2HEX(IF(N8="CarryEn","1","0")&amp;IF(M8="SubXY","1","0")&amp;IF(H8&lt;&gt;"",VLOOKUP(H8,Ops!$F$2:'Ops'!$G$20,2,FALSE),"000000"),2)),2)</f>
        <v>00</v>
      </c>
      <c r="Q8" s="26" t="str" cm="1">
        <f t="array" ref="Q8">BIN2HEX(_xlfn.IFS(D8="HWINTEN","10",G8="KeyAck","01",G8="InitLp8","01",TRUE,"00")&amp;IF(OR(Ops!$O$2:'Ops'!$O$13=K8),VLOOKUP(K8,Ops!$O$2:'Ops'!$P$13,2,FALSE),"000")&amp;IF(E8&lt;&gt;"",IF(LEN(_xlfn.XLOOKUP($E8,$C$5:$C$681,$B$5:$B$681,0))=3,HEX2BIN(LEFT(_xlfn.XLOOKUP($E8,$C$5:$C$681,$B$5:$B$681,0),1),3),IF(OR(Ops!$L$2:'Ops'!$L$11=J8),VLOOKUP(J8,Ops!$L$2:'Ops'!$M$11,2,FALSE),"000")),IF(OR(Ops!$L$2:'Ops'!$L$11=J8),VLOOKUP(J8,Ops!$L$2:'Ops'!$M$11,2,FALSE),"000")),2)</f>
        <v>00</v>
      </c>
      <c r="R8" s="27"/>
      <c r="S8" s="4" t="s">
        <v>701</v>
      </c>
      <c r="U8" s="33"/>
      <c r="V8" s="33"/>
      <c r="W8" s="33"/>
      <c r="X8" s="33"/>
      <c r="Y8" s="33"/>
      <c r="Z8" s="74" t="str">
        <f t="shared" si="1"/>
        <v>0x00,</v>
      </c>
      <c r="AA8" s="75" t="str">
        <f t="shared" si="2"/>
        <v>0x00,</v>
      </c>
      <c r="AB8" s="75" t="str">
        <f t="shared" si="3"/>
        <v>0x00,</v>
      </c>
      <c r="AC8" s="77"/>
      <c r="AD8" s="33"/>
    </row>
    <row r="9" spans="1:30" x14ac:dyDescent="0.3">
      <c r="A9" s="82">
        <f>A8+3</f>
        <v>12</v>
      </c>
      <c r="B9" s="83" t="str">
        <f t="shared" si="0"/>
        <v>C</v>
      </c>
      <c r="C9" s="31"/>
      <c r="D9" s="30"/>
      <c r="E9" s="32"/>
      <c r="F9" s="34"/>
      <c r="G9" s="35"/>
      <c r="H9" s="29"/>
      <c r="M9" s="14"/>
      <c r="O9" s="25" t="str" cm="1">
        <f t="array" ref="O9">BIN2HEX(IF(I9&lt;&gt;"",VLOOKUP(I9,Ops!$I$2:'Ops'!$J$13,2,FALSE),IF(ISNUMBER(SEARCH("BR",D9)),"001","000"))&amp;IF(D9&lt;&gt;"",VLOOKUP(D9,Ops!$B$2:'Ops'!$C$23,2,FALSE),"0")&amp;_xlfn.IFS(ISNUMBER(SEARCH("BR",D9)),VLOOKUP(D9,Ops!$B$3:'Ops'!$D$22,3,FALSE),F9&lt;&gt;"",VLOOKUP(F9,Ops!$R$2:'Ops'!$S$11,2),L9&lt;&gt;"",VLOOKUP(L9,Ops!$R$2:'Ops'!$S$25,2,FALSE),TRUE,"0000"),2)</f>
        <v>00</v>
      </c>
      <c r="P9" s="26" t="str">
        <f>RIGHT(IF($E9&lt;&gt;"",_xlfn.XLOOKUP($E9,$C$4:$C$681,$B$4:$B$681,"NO LABEL"),BIN2HEX(IF(N9="CarryEn","1","0")&amp;IF(M9="SubXY","1","0")&amp;IF(H9&lt;&gt;"",VLOOKUP(H9,Ops!$F$2:'Ops'!$G$20,2,FALSE),"000000"),2)),2)</f>
        <v>00</v>
      </c>
      <c r="Q9" s="26" t="str" cm="1">
        <f t="array" ref="Q9">BIN2HEX(_xlfn.IFS(D9="HWINTEN","10",G9="KeyAck","01",G9="InitLp8","01",TRUE,"00")&amp;IF(OR(Ops!$O$2:'Ops'!$O$13=K9),VLOOKUP(K9,Ops!$O$2:'Ops'!$P$13,2,FALSE),"000")&amp;IF(E9&lt;&gt;"",IF(LEN(_xlfn.XLOOKUP($E9,$C$5:$C$681,$B$5:$B$681,0))=3,HEX2BIN(LEFT(_xlfn.XLOOKUP($E9,$C$5:$C$681,$B$5:$B$681,0),1),3),IF(OR(Ops!$L$2:'Ops'!$L$11=J9),VLOOKUP(J9,Ops!$L$2:'Ops'!$M$11,2,FALSE),"000")),IF(OR(Ops!$L$2:'Ops'!$L$11=J9),VLOOKUP(J9,Ops!$L$2:'Ops'!$M$11,2,FALSE),"000")),2)</f>
        <v>00</v>
      </c>
      <c r="R9" s="61" t="s">
        <v>107</v>
      </c>
      <c r="S9" s="4" t="s">
        <v>701</v>
      </c>
      <c r="U9" s="33"/>
      <c r="V9" s="33"/>
      <c r="W9" s="33"/>
      <c r="X9" s="33"/>
      <c r="Y9" s="33"/>
      <c r="Z9" s="74" t="str">
        <f t="shared" si="1"/>
        <v>0x00,</v>
      </c>
      <c r="AA9" s="75" t="str">
        <f t="shared" si="2"/>
        <v>0x00,</v>
      </c>
      <c r="AB9" s="75" t="str">
        <f t="shared" si="3"/>
        <v>0x00,</v>
      </c>
      <c r="AC9" s="78" t="s">
        <v>341</v>
      </c>
      <c r="AD9" s="33"/>
    </row>
    <row r="10" spans="1:30" x14ac:dyDescent="0.3">
      <c r="A10" s="82">
        <f>A9+4</f>
        <v>16</v>
      </c>
      <c r="B10" s="83" t="str">
        <f t="shared" si="0"/>
        <v>10</v>
      </c>
      <c r="D10" s="29" t="s">
        <v>0</v>
      </c>
      <c r="E10" s="4" t="s">
        <v>3</v>
      </c>
      <c r="F10" s="29"/>
      <c r="G10" s="24" t="s">
        <v>39</v>
      </c>
      <c r="H10" s="29"/>
      <c r="M10" s="14"/>
      <c r="O10" s="25" t="str" cm="1">
        <f t="array" ref="O10">BIN2HEX(IF(I10&lt;&gt;"",VLOOKUP(I10,Ops!$I$2:'Ops'!$J$13,2,FALSE),IF(ISNUMBER(SEARCH("BR",D10)),"001","000"))&amp;IF(D10&lt;&gt;"",VLOOKUP(D10,Ops!$B$2:'Ops'!$C$23,2,FALSE),"0")&amp;_xlfn.IFS(ISNUMBER(SEARCH("BR",D10)),VLOOKUP(D10,Ops!$B$3:'Ops'!$D$22,3,FALSE),F10&lt;&gt;"",VLOOKUP(F10,Ops!$R$2:'Ops'!$S$11,2),L10&lt;&gt;"",VLOOKUP(L10,Ops!$R$2:'Ops'!$S$25,2,FALSE),TRUE,"0000"),2)</f>
        <v>10</v>
      </c>
      <c r="P10" s="26" t="str">
        <f>RIGHT(IF($E10&lt;&gt;"",_xlfn.XLOOKUP($E10,$C$4:$C$681,$B$4:$B$681,"NO LABEL"),BIN2HEX(IF(N10="CarryEn","1","0")&amp;IF(M10="SubXY","1","0")&amp;IF(H10&lt;&gt;"",VLOOKUP(H10,Ops!$F$2:'Ops'!$G$20,2,FALSE),"000000"),2)),2)</f>
        <v>7D</v>
      </c>
      <c r="Q10" s="26" t="str" cm="1">
        <f t="array" ref="Q10">BIN2HEX(_xlfn.IFS(D10="HWINTEN","10",G10="KeyAck","01",G10="InitLp8","01",TRUE,"00")&amp;IF(OR(Ops!$O$2:'Ops'!$O$13=K10),VLOOKUP(K10,Ops!$O$2:'Ops'!$P$13,2,FALSE),"000")&amp;IF(E10&lt;&gt;"",IF(LEN(_xlfn.XLOOKUP($E10,$C$5:$C$681,$B$5:$B$681,0))=3,HEX2BIN(LEFT(_xlfn.XLOOKUP($E10,$C$5:$C$681,$B$5:$B$681,0),1),3),IF(OR(Ops!$L$2:'Ops'!$L$11=J10),VLOOKUP(J10,Ops!$L$2:'Ops'!$M$11,2,FALSE),"000")),IF(OR(Ops!$L$2:'Ops'!$L$11=J10),VLOOKUP(J10,Ops!$L$2:'Ops'!$M$11,2,FALSE),"000")),2)</f>
        <v>41</v>
      </c>
      <c r="R10" s="27" t="s">
        <v>107</v>
      </c>
      <c r="S10" s="4" t="s">
        <v>448</v>
      </c>
      <c r="Z10" s="74" t="str">
        <f t="shared" si="1"/>
        <v>0x10,</v>
      </c>
      <c r="AA10" s="75" t="str">
        <f t="shared" si="2"/>
        <v>0x7D,</v>
      </c>
      <c r="AB10" s="75" t="str">
        <f t="shared" si="3"/>
        <v>0x41,</v>
      </c>
      <c r="AC10" s="78" t="s">
        <v>341</v>
      </c>
    </row>
    <row r="11" spans="1:30" x14ac:dyDescent="0.3">
      <c r="A11" s="82">
        <f>A10+4</f>
        <v>20</v>
      </c>
      <c r="B11" s="83" t="str">
        <f t="shared" si="0"/>
        <v>14</v>
      </c>
      <c r="D11" s="29" t="s">
        <v>0</v>
      </c>
      <c r="E11" s="4" t="s">
        <v>6</v>
      </c>
      <c r="F11" s="29"/>
      <c r="G11" s="24" t="s">
        <v>39</v>
      </c>
      <c r="H11" s="29"/>
      <c r="M11" s="14"/>
      <c r="O11" s="25" t="str" cm="1">
        <f t="array" ref="O11">BIN2HEX(IF(I11&lt;&gt;"",VLOOKUP(I11,Ops!$I$2:'Ops'!$J$13,2,FALSE),IF(ISNUMBER(SEARCH("BR",D11)),"001","000"))&amp;IF(D11&lt;&gt;"",VLOOKUP(D11,Ops!$B$2:'Ops'!$C$23,2,FALSE),"0")&amp;_xlfn.IFS(ISNUMBER(SEARCH("BR",D11)),VLOOKUP(D11,Ops!$B$3:'Ops'!$D$22,3,FALSE),F11&lt;&gt;"",VLOOKUP(F11,Ops!$R$2:'Ops'!$S$11,2),L11&lt;&gt;"",VLOOKUP(L11,Ops!$R$2:'Ops'!$S$25,2,FALSE),TRUE,"0000"),2)</f>
        <v>10</v>
      </c>
      <c r="P11" s="26" t="str">
        <f>RIGHT(IF($E11&lt;&gt;"",_xlfn.XLOOKUP($E11,$C$4:$C$681,$B$4:$B$681,"NO LABEL"),BIN2HEX(IF(N11="CarryEn","1","0")&amp;IF(M11="SubXY","1","0")&amp;IF(H11&lt;&gt;"",VLOOKUP(H11,Ops!$F$2:'Ops'!$G$20,2,FALSE),"000000"),2)),2)</f>
        <v>8F</v>
      </c>
      <c r="Q11" s="26" t="str" cm="1">
        <f t="array" ref="Q11">BIN2HEX(_xlfn.IFS(D11="HWINTEN","10",G11="KeyAck","01",G11="InitLp8","01",TRUE,"00")&amp;IF(OR(Ops!$O$2:'Ops'!$O$13=K11),VLOOKUP(K11,Ops!$O$2:'Ops'!$P$13,2,FALSE),"000")&amp;IF(E11&lt;&gt;"",IF(LEN(_xlfn.XLOOKUP($E11,$C$5:$C$681,$B$5:$B$681,0))=3,HEX2BIN(LEFT(_xlfn.XLOOKUP($E11,$C$5:$C$681,$B$5:$B$681,0),1),3),IF(OR(Ops!$L$2:'Ops'!$L$11=J11),VLOOKUP(J11,Ops!$L$2:'Ops'!$M$11,2,FALSE),"000")),IF(OR(Ops!$L$2:'Ops'!$L$11=J11),VLOOKUP(J11,Ops!$L$2:'Ops'!$M$11,2,FALSE),"000")),2)</f>
        <v>41</v>
      </c>
      <c r="R11" s="61" t="s">
        <v>107</v>
      </c>
      <c r="S11" t="s">
        <v>547</v>
      </c>
      <c r="Z11" s="74" t="str">
        <f t="shared" si="1"/>
        <v>0x10,</v>
      </c>
      <c r="AA11" s="75" t="str">
        <f t="shared" si="2"/>
        <v>0x8F,</v>
      </c>
      <c r="AB11" s="75" t="str">
        <f t="shared" si="3"/>
        <v>0x41,</v>
      </c>
      <c r="AC11" s="78" t="s">
        <v>341</v>
      </c>
    </row>
    <row r="12" spans="1:30" x14ac:dyDescent="0.3">
      <c r="A12" s="82">
        <f t="shared" ref="A12:A29" si="4">A11+4</f>
        <v>24</v>
      </c>
      <c r="B12" s="83" t="str">
        <f t="shared" si="0"/>
        <v>18</v>
      </c>
      <c r="D12" s="29" t="s">
        <v>0</v>
      </c>
      <c r="E12" s="4" t="s">
        <v>10</v>
      </c>
      <c r="F12" s="29"/>
      <c r="G12" s="24" t="s">
        <v>39</v>
      </c>
      <c r="H12" s="29"/>
      <c r="M12" s="14"/>
      <c r="O12" s="25" t="str" cm="1">
        <f t="array" ref="O12">BIN2HEX(IF(I12&lt;&gt;"",VLOOKUP(I12,Ops!$I$2:'Ops'!$J$13,2,FALSE),IF(ISNUMBER(SEARCH("BR",D12)),"001","000"))&amp;IF(D12&lt;&gt;"",VLOOKUP(D12,Ops!$B$2:'Ops'!$C$23,2,FALSE),"0")&amp;_xlfn.IFS(ISNUMBER(SEARCH("BR",D12)),VLOOKUP(D12,Ops!$B$3:'Ops'!$D$22,3,FALSE),F12&lt;&gt;"",VLOOKUP(F12,Ops!$R$2:'Ops'!$S$11,2),L12&lt;&gt;"",VLOOKUP(L12,Ops!$R$2:'Ops'!$S$25,2,FALSE),TRUE,"0000"),2)</f>
        <v>10</v>
      </c>
      <c r="P12" s="26" t="str">
        <f>RIGHT(IF($E12&lt;&gt;"",_xlfn.XLOOKUP($E12,$C$4:$C$681,$B$4:$B$681,"NO LABEL"),BIN2HEX(IF(N12="CarryEn","1","0")&amp;IF(M12="SubXY","1","0")&amp;IF(H12&lt;&gt;"",VLOOKUP(H12,Ops!$F$2:'Ops'!$G$20,2,FALSE),"000000"),2)),2)</f>
        <v>A1</v>
      </c>
      <c r="Q12" s="26" t="str" cm="1">
        <f t="array" ref="Q12">BIN2HEX(_xlfn.IFS(D12="HWINTEN","10",G12="KeyAck","01",G12="InitLp8","01",TRUE,"00")&amp;IF(OR(Ops!$O$2:'Ops'!$O$13=K12),VLOOKUP(K12,Ops!$O$2:'Ops'!$P$13,2,FALSE),"000")&amp;IF(E12&lt;&gt;"",IF(LEN(_xlfn.XLOOKUP($E12,$C$5:$C$681,$B$5:$B$681,0))=3,HEX2BIN(LEFT(_xlfn.XLOOKUP($E12,$C$5:$C$681,$B$5:$B$681,0),1),3),IF(OR(Ops!$L$2:'Ops'!$L$11=J12),VLOOKUP(J12,Ops!$L$2:'Ops'!$M$11,2,FALSE),"000")),IF(OR(Ops!$L$2:'Ops'!$L$11=J12),VLOOKUP(J12,Ops!$L$2:'Ops'!$M$11,2,FALSE),"000")),2)</f>
        <v>41</v>
      </c>
      <c r="R12" s="61" t="s">
        <v>107</v>
      </c>
      <c r="Z12" s="74" t="str">
        <f t="shared" si="1"/>
        <v>0x10,</v>
      </c>
      <c r="AA12" s="75" t="str">
        <f t="shared" si="2"/>
        <v>0xA1,</v>
      </c>
      <c r="AB12" s="75" t="str">
        <f t="shared" si="3"/>
        <v>0x41,</v>
      </c>
      <c r="AC12" s="78" t="s">
        <v>341</v>
      </c>
    </row>
    <row r="13" spans="1:30" x14ac:dyDescent="0.3">
      <c r="A13" s="82">
        <f t="shared" si="4"/>
        <v>28</v>
      </c>
      <c r="B13" s="83" t="str">
        <f t="shared" si="0"/>
        <v>1C</v>
      </c>
      <c r="D13" s="29" t="s">
        <v>0</v>
      </c>
      <c r="E13" s="4" t="s">
        <v>2</v>
      </c>
      <c r="F13" s="29"/>
      <c r="G13" s="24" t="s">
        <v>39</v>
      </c>
      <c r="H13" s="29"/>
      <c r="M13" s="14"/>
      <c r="O13" s="25" t="str" cm="1">
        <f t="array" ref="O13">BIN2HEX(IF(I13&lt;&gt;"",VLOOKUP(I13,Ops!$I$2:'Ops'!$J$13,2,FALSE),IF(ISNUMBER(SEARCH("BR",D13)),"001","000"))&amp;IF(D13&lt;&gt;"",VLOOKUP(D13,Ops!$B$2:'Ops'!$C$23,2,FALSE),"0")&amp;_xlfn.IFS(ISNUMBER(SEARCH("BR",D13)),VLOOKUP(D13,Ops!$B$3:'Ops'!$D$22,3,FALSE),F13&lt;&gt;"",VLOOKUP(F13,Ops!$R$2:'Ops'!$S$11,2),L13&lt;&gt;"",VLOOKUP(L13,Ops!$R$2:'Ops'!$S$25,2,FALSE),TRUE,"0000"),2)</f>
        <v>10</v>
      </c>
      <c r="P13" s="26" t="str">
        <f>RIGHT(IF($E13&lt;&gt;"",_xlfn.XLOOKUP($E13,$C$4:$C$681,$B$4:$B$681,"NO LABEL"),BIN2HEX(IF(N13="CarryEn","1","0")&amp;IF(M13="SubXY","1","0")&amp;IF(H13&lt;&gt;"",VLOOKUP(H13,Ops!$F$2:'Ops'!$G$20,2,FALSE),"000000"),2)),2)</f>
        <v>1D</v>
      </c>
      <c r="Q13" s="26" t="str" cm="1">
        <f t="array" ref="Q13">BIN2HEX(_xlfn.IFS(D13="HWINTEN","10",G13="KeyAck","01",G13="InitLp8","01",TRUE,"00")&amp;IF(OR(Ops!$O$2:'Ops'!$O$13=K13),VLOOKUP(K13,Ops!$O$2:'Ops'!$P$13,2,FALSE),"000")&amp;IF(E13&lt;&gt;"",IF(LEN(_xlfn.XLOOKUP($E13,$C$5:$C$681,$B$5:$B$681,0))=3,HEX2BIN(LEFT(_xlfn.XLOOKUP($E13,$C$5:$C$681,$B$5:$B$681,0),1),3),IF(OR(Ops!$L$2:'Ops'!$L$11=J13),VLOOKUP(J13,Ops!$L$2:'Ops'!$M$11,2,FALSE),"000")),IF(OR(Ops!$L$2:'Ops'!$L$11=J13),VLOOKUP(J13,Ops!$L$2:'Ops'!$M$11,2,FALSE),"000")),2)</f>
        <v>41</v>
      </c>
      <c r="R13" s="61" t="s">
        <v>107</v>
      </c>
      <c r="Z13" s="74" t="str">
        <f t="shared" si="1"/>
        <v>0x10,</v>
      </c>
      <c r="AA13" s="75" t="str">
        <f t="shared" si="2"/>
        <v>0x1D,</v>
      </c>
      <c r="AB13" s="75" t="str">
        <f t="shared" si="3"/>
        <v>0x41,</v>
      </c>
      <c r="AC13" s="78" t="s">
        <v>341</v>
      </c>
    </row>
    <row r="14" spans="1:30" x14ac:dyDescent="0.3">
      <c r="A14" s="82">
        <f t="shared" si="4"/>
        <v>32</v>
      </c>
      <c r="B14" s="83" t="str">
        <f t="shared" si="0"/>
        <v>20</v>
      </c>
      <c r="D14" s="29" t="s">
        <v>0</v>
      </c>
      <c r="E14" s="4" t="s">
        <v>4</v>
      </c>
      <c r="F14" s="29"/>
      <c r="G14" s="24" t="s">
        <v>39</v>
      </c>
      <c r="H14" s="29"/>
      <c r="M14" s="14"/>
      <c r="O14" s="25" t="str" cm="1">
        <f t="array" ref="O14">BIN2HEX(IF(I14&lt;&gt;"",VLOOKUP(I14,Ops!$I$2:'Ops'!$J$13,2,FALSE),IF(ISNUMBER(SEARCH("BR",D14)),"001","000"))&amp;IF(D14&lt;&gt;"",VLOOKUP(D14,Ops!$B$2:'Ops'!$C$23,2,FALSE),"0")&amp;_xlfn.IFS(ISNUMBER(SEARCH("BR",D14)),VLOOKUP(D14,Ops!$B$3:'Ops'!$D$22,3,FALSE),F14&lt;&gt;"",VLOOKUP(F14,Ops!$R$2:'Ops'!$S$11,2),L14&lt;&gt;"",VLOOKUP(L14,Ops!$R$2:'Ops'!$S$25,2,FALSE),TRUE,"0000"),2)</f>
        <v>10</v>
      </c>
      <c r="P14" s="26" t="str">
        <f>RIGHT(IF($E14&lt;&gt;"",_xlfn.XLOOKUP($E14,$C$4:$C$681,$B$4:$B$681,"NO LABEL"),BIN2HEX(IF(N14="CarryEn","1","0")&amp;IF(M14="SubXY","1","0")&amp;IF(H14&lt;&gt;"",VLOOKUP(H14,Ops!$F$2:'Ops'!$G$20,2,FALSE),"000000"),2)),2)</f>
        <v>83</v>
      </c>
      <c r="Q14" s="26" t="str" cm="1">
        <f t="array" ref="Q14">BIN2HEX(_xlfn.IFS(D14="HWINTEN","10",G14="KeyAck","01",G14="InitLp8","01",TRUE,"00")&amp;IF(OR(Ops!$O$2:'Ops'!$O$13=K14),VLOOKUP(K14,Ops!$O$2:'Ops'!$P$13,2,FALSE),"000")&amp;IF(E14&lt;&gt;"",IF(LEN(_xlfn.XLOOKUP($E14,$C$5:$C$681,$B$5:$B$681,0))=3,HEX2BIN(LEFT(_xlfn.XLOOKUP($E14,$C$5:$C$681,$B$5:$B$681,0),1),3),IF(OR(Ops!$L$2:'Ops'!$L$11=J14),VLOOKUP(J14,Ops!$L$2:'Ops'!$M$11,2,FALSE),"000")),IF(OR(Ops!$L$2:'Ops'!$L$11=J14),VLOOKUP(J14,Ops!$L$2:'Ops'!$M$11,2,FALSE),"000")),2)</f>
        <v>41</v>
      </c>
      <c r="R14" s="61" t="s">
        <v>107</v>
      </c>
      <c r="Z14" s="74" t="str">
        <f t="shared" si="1"/>
        <v>0x10,</v>
      </c>
      <c r="AA14" s="75" t="str">
        <f t="shared" si="2"/>
        <v>0x83,</v>
      </c>
      <c r="AB14" s="75" t="str">
        <f t="shared" si="3"/>
        <v>0x41,</v>
      </c>
      <c r="AC14" s="78" t="s">
        <v>341</v>
      </c>
    </row>
    <row r="15" spans="1:30" x14ac:dyDescent="0.3">
      <c r="A15" s="82">
        <f t="shared" si="4"/>
        <v>36</v>
      </c>
      <c r="B15" s="83" t="str">
        <f t="shared" si="0"/>
        <v>24</v>
      </c>
      <c r="D15" s="29" t="s">
        <v>0</v>
      </c>
      <c r="E15" s="4" t="s">
        <v>8</v>
      </c>
      <c r="F15" s="29"/>
      <c r="G15" s="24" t="s">
        <v>39</v>
      </c>
      <c r="H15" s="29"/>
      <c r="M15" s="14"/>
      <c r="O15" s="25" t="str" cm="1">
        <f t="array" ref="O15">BIN2HEX(IF(I15&lt;&gt;"",VLOOKUP(I15,Ops!$I$2:'Ops'!$J$13,2,FALSE),IF(ISNUMBER(SEARCH("BR",D15)),"001","000"))&amp;IF(D15&lt;&gt;"",VLOOKUP(D15,Ops!$B$2:'Ops'!$C$23,2,FALSE),"0")&amp;_xlfn.IFS(ISNUMBER(SEARCH("BR",D15)),VLOOKUP(D15,Ops!$B$3:'Ops'!$D$22,3,FALSE),F15&lt;&gt;"",VLOOKUP(F15,Ops!$R$2:'Ops'!$S$11,2),L15&lt;&gt;"",VLOOKUP(L15,Ops!$R$2:'Ops'!$S$25,2,FALSE),TRUE,"0000"),2)</f>
        <v>10</v>
      </c>
      <c r="P15" s="26" t="str">
        <f>RIGHT(IF($E15&lt;&gt;"",_xlfn.XLOOKUP($E15,$C$4:$C$681,$B$4:$B$681,"NO LABEL"),BIN2HEX(IF(N15="CarryEn","1","0")&amp;IF(M15="SubXY","1","0")&amp;IF(H15&lt;&gt;"",VLOOKUP(H15,Ops!$F$2:'Ops'!$G$20,2,FALSE),"000000"),2)),2)</f>
        <v>95</v>
      </c>
      <c r="Q15" s="26" t="str" cm="1">
        <f t="array" ref="Q15">BIN2HEX(_xlfn.IFS(D15="HWINTEN","10",G15="KeyAck","01",G15="InitLp8","01",TRUE,"00")&amp;IF(OR(Ops!$O$2:'Ops'!$O$13=K15),VLOOKUP(K15,Ops!$O$2:'Ops'!$P$13,2,FALSE),"000")&amp;IF(E15&lt;&gt;"",IF(LEN(_xlfn.XLOOKUP($E15,$C$5:$C$681,$B$5:$B$681,0))=3,HEX2BIN(LEFT(_xlfn.XLOOKUP($E15,$C$5:$C$681,$B$5:$B$681,0),1),3),IF(OR(Ops!$L$2:'Ops'!$L$11=J15),VLOOKUP(J15,Ops!$L$2:'Ops'!$M$11,2,FALSE),"000")),IF(OR(Ops!$L$2:'Ops'!$L$11=J15),VLOOKUP(J15,Ops!$L$2:'Ops'!$M$11,2,FALSE),"000")),2)</f>
        <v>41</v>
      </c>
      <c r="R15" s="61" t="s">
        <v>107</v>
      </c>
      <c r="Z15" s="74" t="str">
        <f t="shared" si="1"/>
        <v>0x10,</v>
      </c>
      <c r="AA15" s="75" t="str">
        <f t="shared" si="2"/>
        <v>0x95,</v>
      </c>
      <c r="AB15" s="75" t="str">
        <f t="shared" si="3"/>
        <v>0x41,</v>
      </c>
      <c r="AC15" s="78" t="s">
        <v>341</v>
      </c>
    </row>
    <row r="16" spans="1:30" x14ac:dyDescent="0.3">
      <c r="A16" s="82">
        <f t="shared" si="4"/>
        <v>40</v>
      </c>
      <c r="B16" s="83" t="str">
        <f t="shared" si="0"/>
        <v>28</v>
      </c>
      <c r="D16" s="29" t="s">
        <v>0</v>
      </c>
      <c r="E16" s="4" t="s">
        <v>11</v>
      </c>
      <c r="F16" s="29"/>
      <c r="G16" s="24" t="s">
        <v>39</v>
      </c>
      <c r="H16" s="29"/>
      <c r="M16" s="14"/>
      <c r="O16" s="25" t="str" cm="1">
        <f t="array" ref="O16">BIN2HEX(IF(I16&lt;&gt;"",VLOOKUP(I16,Ops!$I$2:'Ops'!$J$13,2,FALSE),IF(ISNUMBER(SEARCH("BR",D16)),"001","000"))&amp;IF(D16&lt;&gt;"",VLOOKUP(D16,Ops!$B$2:'Ops'!$C$23,2,FALSE),"0")&amp;_xlfn.IFS(ISNUMBER(SEARCH("BR",D16)),VLOOKUP(D16,Ops!$B$3:'Ops'!$D$22,3,FALSE),F16&lt;&gt;"",VLOOKUP(F16,Ops!$R$2:'Ops'!$S$11,2),L16&lt;&gt;"",VLOOKUP(L16,Ops!$R$2:'Ops'!$S$25,2,FALSE),TRUE,"0000"),2)</f>
        <v>10</v>
      </c>
      <c r="P16" s="26" t="str">
        <f>RIGHT(IF($E16&lt;&gt;"",_xlfn.XLOOKUP($E16,$C$4:$C$681,$B$4:$B$681,"NO LABEL"),BIN2HEX(IF(N16="CarryEn","1","0")&amp;IF(M16="SubXY","1","0")&amp;IF(H16&lt;&gt;"",VLOOKUP(H16,Ops!$F$2:'Ops'!$G$20,2,FALSE),"000000"),2)),2)</f>
        <v>A7</v>
      </c>
      <c r="Q16" s="26" t="str" cm="1">
        <f t="array" ref="Q16">BIN2HEX(_xlfn.IFS(D16="HWINTEN","10",G16="KeyAck","01",G16="InitLp8","01",TRUE,"00")&amp;IF(OR(Ops!$O$2:'Ops'!$O$13=K16),VLOOKUP(K16,Ops!$O$2:'Ops'!$P$13,2,FALSE),"000")&amp;IF(E16&lt;&gt;"",IF(LEN(_xlfn.XLOOKUP($E16,$C$5:$C$681,$B$5:$B$681,0))=3,HEX2BIN(LEFT(_xlfn.XLOOKUP($E16,$C$5:$C$681,$B$5:$B$681,0),1),3),IF(OR(Ops!$L$2:'Ops'!$L$11=J16),VLOOKUP(J16,Ops!$L$2:'Ops'!$M$11,2,FALSE),"000")),IF(OR(Ops!$L$2:'Ops'!$L$11=J16),VLOOKUP(J16,Ops!$L$2:'Ops'!$M$11,2,FALSE),"000")),2)</f>
        <v>41</v>
      </c>
      <c r="R16" s="61" t="s">
        <v>107</v>
      </c>
      <c r="Z16" s="74" t="str">
        <f t="shared" si="1"/>
        <v>0x10,</v>
      </c>
      <c r="AA16" s="75" t="str">
        <f t="shared" si="2"/>
        <v>0xA7,</v>
      </c>
      <c r="AB16" s="75" t="str">
        <f t="shared" si="3"/>
        <v>0x41,</v>
      </c>
      <c r="AC16" s="78" t="s">
        <v>341</v>
      </c>
    </row>
    <row r="17" spans="1:29" x14ac:dyDescent="0.3">
      <c r="A17" s="82">
        <f t="shared" si="4"/>
        <v>44</v>
      </c>
      <c r="B17" s="83" t="str">
        <f t="shared" si="0"/>
        <v>2C</v>
      </c>
      <c r="D17" s="29" t="s">
        <v>0</v>
      </c>
      <c r="E17" s="4" t="s">
        <v>13</v>
      </c>
      <c r="F17" s="29"/>
      <c r="G17" s="24" t="s">
        <v>39</v>
      </c>
      <c r="H17" s="29"/>
      <c r="M17" s="14"/>
      <c r="O17" s="25" t="str" cm="1">
        <f t="array" ref="O17">BIN2HEX(IF(I17&lt;&gt;"",VLOOKUP(I17,Ops!$I$2:'Ops'!$J$13,2,FALSE),IF(ISNUMBER(SEARCH("BR",D17)),"001","000"))&amp;IF(D17&lt;&gt;"",VLOOKUP(D17,Ops!$B$2:'Ops'!$C$23,2,FALSE),"0")&amp;_xlfn.IFS(ISNUMBER(SEARCH("BR",D17)),VLOOKUP(D17,Ops!$B$3:'Ops'!$D$22,3,FALSE),F17&lt;&gt;"",VLOOKUP(F17,Ops!$R$2:'Ops'!$S$11,2),L17&lt;&gt;"",VLOOKUP(L17,Ops!$R$2:'Ops'!$S$25,2,FALSE),TRUE,"0000"),2)</f>
        <v>10</v>
      </c>
      <c r="P17" s="26" t="str">
        <f>RIGHT(IF($E17&lt;&gt;"",_xlfn.XLOOKUP($E17,$C$4:$C$681,$B$4:$B$681,"NO LABEL"),BIN2HEX(IF(N17="CarryEn","1","0")&amp;IF(M17="SubXY","1","0")&amp;IF(H17&lt;&gt;"",VLOOKUP(H17,Ops!$F$2:'Ops'!$G$20,2,FALSE),"000000"),2)),2)</f>
        <v>01</v>
      </c>
      <c r="Q17" s="26" t="str" cm="1">
        <f t="array" ref="Q17">BIN2HEX(_xlfn.IFS(D17="HWINTEN","10",G17="KeyAck","01",G17="InitLp8","01",TRUE,"00")&amp;IF(OR(Ops!$O$2:'Ops'!$O$13=K17),VLOOKUP(K17,Ops!$O$2:'Ops'!$P$13,2,FALSE),"000")&amp;IF(E17&lt;&gt;"",IF(LEN(_xlfn.XLOOKUP($E17,$C$5:$C$681,$B$5:$B$681,0))=3,HEX2BIN(LEFT(_xlfn.XLOOKUP($E17,$C$5:$C$681,$B$5:$B$681,0),1),3),IF(OR(Ops!$L$2:'Ops'!$L$11=J17),VLOOKUP(J17,Ops!$L$2:'Ops'!$M$11,2,FALSE),"000")),IF(OR(Ops!$L$2:'Ops'!$L$11=J17),VLOOKUP(J17,Ops!$L$2:'Ops'!$M$11,2,FALSE),"000")),2)</f>
        <v>42</v>
      </c>
      <c r="R17" s="27" t="s">
        <v>107</v>
      </c>
      <c r="S17" s="3"/>
      <c r="Z17" s="74" t="str">
        <f t="shared" si="1"/>
        <v>0x10,</v>
      </c>
      <c r="AA17" s="75" t="str">
        <f t="shared" si="2"/>
        <v>0x01,</v>
      </c>
      <c r="AB17" s="75" t="str">
        <f t="shared" si="3"/>
        <v>0x42,</v>
      </c>
      <c r="AC17" s="78" t="s">
        <v>341</v>
      </c>
    </row>
    <row r="18" spans="1:29" x14ac:dyDescent="0.3">
      <c r="A18" s="82">
        <f t="shared" si="4"/>
        <v>48</v>
      </c>
      <c r="B18" s="83" t="str">
        <f t="shared" si="0"/>
        <v>30</v>
      </c>
      <c r="D18" s="29" t="s">
        <v>0</v>
      </c>
      <c r="E18" s="4" t="s">
        <v>5</v>
      </c>
      <c r="F18" s="29"/>
      <c r="G18" s="24" t="s">
        <v>39</v>
      </c>
      <c r="H18" s="29"/>
      <c r="M18" s="14"/>
      <c r="O18" s="25" t="str" cm="1">
        <f t="array" ref="O18">BIN2HEX(IF(I18&lt;&gt;"",VLOOKUP(I18,Ops!$I$2:'Ops'!$J$13,2,FALSE),IF(ISNUMBER(SEARCH("BR",D18)),"001","000"))&amp;IF(D18&lt;&gt;"",VLOOKUP(D18,Ops!$B$2:'Ops'!$C$23,2,FALSE),"0")&amp;_xlfn.IFS(ISNUMBER(SEARCH("BR",D18)),VLOOKUP(D18,Ops!$B$3:'Ops'!$D$22,3,FALSE),F18&lt;&gt;"",VLOOKUP(F18,Ops!$R$2:'Ops'!$S$11,2),L18&lt;&gt;"",VLOOKUP(L18,Ops!$R$2:'Ops'!$S$25,2,FALSE),TRUE,"0000"),2)</f>
        <v>10</v>
      </c>
      <c r="P18" s="26" t="str">
        <f>RIGHT(IF($E18&lt;&gt;"",_xlfn.XLOOKUP($E18,$C$4:$C$681,$B$4:$B$681,"NO LABEL"),BIN2HEX(IF(N18="CarryEn","1","0")&amp;IF(M18="SubXY","1","0")&amp;IF(H18&lt;&gt;"",VLOOKUP(H18,Ops!$F$2:'Ops'!$G$20,2,FALSE),"000000"),2)),2)</f>
        <v>89</v>
      </c>
      <c r="Q18" s="26" t="str" cm="1">
        <f t="array" ref="Q18">BIN2HEX(_xlfn.IFS(D18="HWINTEN","10",G18="KeyAck","01",G18="InitLp8","01",TRUE,"00")&amp;IF(OR(Ops!$O$2:'Ops'!$O$13=K18),VLOOKUP(K18,Ops!$O$2:'Ops'!$P$13,2,FALSE),"000")&amp;IF(E18&lt;&gt;"",IF(LEN(_xlfn.XLOOKUP($E18,$C$5:$C$681,$B$5:$B$681,0))=3,HEX2BIN(LEFT(_xlfn.XLOOKUP($E18,$C$5:$C$681,$B$5:$B$681,0),1),3),IF(OR(Ops!$L$2:'Ops'!$L$11=J18),VLOOKUP(J18,Ops!$L$2:'Ops'!$M$11,2,FALSE),"000")),IF(OR(Ops!$L$2:'Ops'!$L$11=J18),VLOOKUP(J18,Ops!$L$2:'Ops'!$M$11,2,FALSE),"000")),2)</f>
        <v>41</v>
      </c>
      <c r="R18" s="27" t="s">
        <v>107</v>
      </c>
      <c r="Z18" s="74" t="str">
        <f t="shared" si="1"/>
        <v>0x10,</v>
      </c>
      <c r="AA18" s="75" t="str">
        <f t="shared" si="2"/>
        <v>0x89,</v>
      </c>
      <c r="AB18" s="75" t="str">
        <f t="shared" si="3"/>
        <v>0x41,</v>
      </c>
      <c r="AC18" s="78" t="s">
        <v>341</v>
      </c>
    </row>
    <row r="19" spans="1:29" x14ac:dyDescent="0.3">
      <c r="A19" s="82">
        <f t="shared" si="4"/>
        <v>52</v>
      </c>
      <c r="B19" s="83" t="str">
        <f t="shared" si="0"/>
        <v>34</v>
      </c>
      <c r="D19" s="29" t="s">
        <v>0</v>
      </c>
      <c r="E19" s="4" t="s">
        <v>9</v>
      </c>
      <c r="F19" s="29"/>
      <c r="G19" s="24" t="s">
        <v>39</v>
      </c>
      <c r="H19" s="29"/>
      <c r="M19" s="14"/>
      <c r="O19" s="25" t="str" cm="1">
        <f t="array" ref="O19">BIN2HEX(IF(I19&lt;&gt;"",VLOOKUP(I19,Ops!$I$2:'Ops'!$J$13,2,FALSE),IF(ISNUMBER(SEARCH("BR",D19)),"001","000"))&amp;IF(D19&lt;&gt;"",VLOOKUP(D19,Ops!$B$2:'Ops'!$C$23,2,FALSE),"0")&amp;_xlfn.IFS(ISNUMBER(SEARCH("BR",D19)),VLOOKUP(D19,Ops!$B$3:'Ops'!$D$22,3,FALSE),F19&lt;&gt;"",VLOOKUP(F19,Ops!$R$2:'Ops'!$S$11,2),L19&lt;&gt;"",VLOOKUP(L19,Ops!$R$2:'Ops'!$S$25,2,FALSE),TRUE,"0000"),2)</f>
        <v>10</v>
      </c>
      <c r="P19" s="26" t="str">
        <f>RIGHT(IF($E19&lt;&gt;"",_xlfn.XLOOKUP($E19,$C$4:$C$681,$B$4:$B$681,"NO LABEL"),BIN2HEX(IF(N19="CarryEn","1","0")&amp;IF(M19="SubXY","1","0")&amp;IF(H19&lt;&gt;"",VLOOKUP(H19,Ops!$F$2:'Ops'!$G$20,2,FALSE),"000000"),2)),2)</f>
        <v>9B</v>
      </c>
      <c r="Q19" s="26" t="str" cm="1">
        <f t="array" ref="Q19">BIN2HEX(_xlfn.IFS(D19="HWINTEN","10",G19="KeyAck","01",G19="InitLp8","01",TRUE,"00")&amp;IF(OR(Ops!$O$2:'Ops'!$O$13=K19),VLOOKUP(K19,Ops!$O$2:'Ops'!$P$13,2,FALSE),"000")&amp;IF(E19&lt;&gt;"",IF(LEN(_xlfn.XLOOKUP($E19,$C$5:$C$681,$B$5:$B$681,0))=3,HEX2BIN(LEFT(_xlfn.XLOOKUP($E19,$C$5:$C$681,$B$5:$B$681,0),1),3),IF(OR(Ops!$L$2:'Ops'!$L$11=J19),VLOOKUP(J19,Ops!$L$2:'Ops'!$M$11,2,FALSE),"000")),IF(OR(Ops!$L$2:'Ops'!$L$11=J19),VLOOKUP(J19,Ops!$L$2:'Ops'!$M$11,2,FALSE),"000")),2)</f>
        <v>41</v>
      </c>
      <c r="R19" s="27" t="s">
        <v>107</v>
      </c>
      <c r="Z19" s="74" t="str">
        <f t="shared" si="1"/>
        <v>0x10,</v>
      </c>
      <c r="AA19" s="75" t="str">
        <f t="shared" si="2"/>
        <v>0x9B,</v>
      </c>
      <c r="AB19" s="75" t="str">
        <f t="shared" si="3"/>
        <v>0x41,</v>
      </c>
      <c r="AC19" s="78" t="s">
        <v>341</v>
      </c>
    </row>
    <row r="20" spans="1:29" x14ac:dyDescent="0.3">
      <c r="A20" s="82">
        <f t="shared" si="4"/>
        <v>56</v>
      </c>
      <c r="B20" s="83" t="str">
        <f t="shared" si="0"/>
        <v>38</v>
      </c>
      <c r="D20" s="29" t="s">
        <v>0</v>
      </c>
      <c r="E20" s="4" t="s">
        <v>12</v>
      </c>
      <c r="F20" s="29"/>
      <c r="G20" s="24" t="s">
        <v>39</v>
      </c>
      <c r="H20" s="29"/>
      <c r="M20" s="14"/>
      <c r="O20" s="25" t="str" cm="1">
        <f t="array" ref="O20">BIN2HEX(IF(I20&lt;&gt;"",VLOOKUP(I20,Ops!$I$2:'Ops'!$J$13,2,FALSE),IF(ISNUMBER(SEARCH("BR",D20)),"001","000"))&amp;IF(D20&lt;&gt;"",VLOOKUP(D20,Ops!$B$2:'Ops'!$C$23,2,FALSE),"0")&amp;_xlfn.IFS(ISNUMBER(SEARCH("BR",D20)),VLOOKUP(D20,Ops!$B$3:'Ops'!$D$22,3,FALSE),F20&lt;&gt;"",VLOOKUP(F20,Ops!$R$2:'Ops'!$S$11,2),L20&lt;&gt;"",VLOOKUP(L20,Ops!$R$2:'Ops'!$S$25,2,FALSE),TRUE,"0000"),2)</f>
        <v>10</v>
      </c>
      <c r="P20" s="26" t="str">
        <f>RIGHT(IF($E20&lt;&gt;"",_xlfn.XLOOKUP($E20,$C$4:$C$681,$B$4:$B$681,"NO LABEL"),BIN2HEX(IF(N20="CarryEn","1","0")&amp;IF(M20="SubXY","1","0")&amp;IF(H20&lt;&gt;"",VLOOKUP(H20,Ops!$F$2:'Ops'!$G$20,2,FALSE),"000000"),2)),2)</f>
        <v>AD</v>
      </c>
      <c r="Q20" s="26" t="str" cm="1">
        <f t="array" ref="Q20">BIN2HEX(_xlfn.IFS(D20="HWINTEN","10",G20="KeyAck","01",G20="InitLp8","01",TRUE,"00")&amp;IF(OR(Ops!$O$2:'Ops'!$O$13=K20),VLOOKUP(K20,Ops!$O$2:'Ops'!$P$13,2,FALSE),"000")&amp;IF(E20&lt;&gt;"",IF(LEN(_xlfn.XLOOKUP($E20,$C$5:$C$681,$B$5:$B$681,0))=3,HEX2BIN(LEFT(_xlfn.XLOOKUP($E20,$C$5:$C$681,$B$5:$B$681,0),1),3),IF(OR(Ops!$L$2:'Ops'!$L$11=J20),VLOOKUP(J20,Ops!$L$2:'Ops'!$M$11,2,FALSE),"000")),IF(OR(Ops!$L$2:'Ops'!$L$11=J20),VLOOKUP(J20,Ops!$L$2:'Ops'!$M$11,2,FALSE),"000")),2)</f>
        <v>41</v>
      </c>
      <c r="R20" s="27" t="s">
        <v>107</v>
      </c>
      <c r="Z20" s="74" t="str">
        <f t="shared" si="1"/>
        <v>0x10,</v>
      </c>
      <c r="AA20" s="75" t="str">
        <f t="shared" si="2"/>
        <v>0xAD,</v>
      </c>
      <c r="AB20" s="75" t="str">
        <f t="shared" si="3"/>
        <v>0x41,</v>
      </c>
      <c r="AC20" s="78" t="s">
        <v>341</v>
      </c>
    </row>
    <row r="21" spans="1:29" x14ac:dyDescent="0.3">
      <c r="A21" s="82">
        <f t="shared" si="4"/>
        <v>60</v>
      </c>
      <c r="B21" s="83" t="str">
        <f t="shared" si="0"/>
        <v>3C</v>
      </c>
      <c r="D21" s="29" t="s">
        <v>0</v>
      </c>
      <c r="E21" s="4" t="s">
        <v>43</v>
      </c>
      <c r="F21" s="29"/>
      <c r="G21" s="24" t="s">
        <v>39</v>
      </c>
      <c r="H21" s="29"/>
      <c r="M21" s="14"/>
      <c r="O21" s="25" t="str" cm="1">
        <f t="array" ref="O21">BIN2HEX(IF(I21&lt;&gt;"",VLOOKUP(I21,Ops!$I$2:'Ops'!$J$13,2,FALSE),IF(ISNUMBER(SEARCH("BR",D21)),"001","000"))&amp;IF(D21&lt;&gt;"",VLOOKUP(D21,Ops!$B$2:'Ops'!$C$23,2,FALSE),"0")&amp;_xlfn.IFS(ISNUMBER(SEARCH("BR",D21)),VLOOKUP(D21,Ops!$B$3:'Ops'!$D$22,3,FALSE),F21&lt;&gt;"",VLOOKUP(F21,Ops!$R$2:'Ops'!$S$11,2),L21&lt;&gt;"",VLOOKUP(L21,Ops!$R$2:'Ops'!$S$25,2,FALSE),TRUE,"0000"),2)</f>
        <v>10</v>
      </c>
      <c r="P21" s="26" t="str">
        <f>RIGHT(IF($E21&lt;&gt;"",_xlfn.XLOOKUP($E21,$C$4:$C$681,$B$4:$B$681,"NO LABEL"),BIN2HEX(IF(N21="CarryEn","1","0")&amp;IF(M21="SubXY","1","0")&amp;IF(H21&lt;&gt;"",VLOOKUP(H21,Ops!$F$2:'Ops'!$G$20,2,FALSE),"000000"),2)),2)</f>
        <v>A3</v>
      </c>
      <c r="Q21" s="26" t="str" cm="1">
        <f t="array" ref="Q21">BIN2HEX(_xlfn.IFS(D21="HWINTEN","10",G21="KeyAck","01",G21="InitLp8","01",TRUE,"00")&amp;IF(OR(Ops!$O$2:'Ops'!$O$13=K21),VLOOKUP(K21,Ops!$O$2:'Ops'!$P$13,2,FALSE),"000")&amp;IF(E21&lt;&gt;"",IF(LEN(_xlfn.XLOOKUP($E21,$C$5:$C$681,$B$5:$B$681,0))=3,HEX2BIN(LEFT(_xlfn.XLOOKUP($E21,$C$5:$C$681,$B$5:$B$681,0),1),3),IF(OR(Ops!$L$2:'Ops'!$L$11=J21),VLOOKUP(J21,Ops!$L$2:'Ops'!$M$11,2,FALSE),"000")),IF(OR(Ops!$L$2:'Ops'!$L$11=J21),VLOOKUP(J21,Ops!$L$2:'Ops'!$M$11,2,FALSE),"000")),2)</f>
        <v>42</v>
      </c>
      <c r="R21" s="27" t="s">
        <v>107</v>
      </c>
      <c r="Z21" s="74" t="str">
        <f t="shared" si="1"/>
        <v>0x10,</v>
      </c>
      <c r="AA21" s="75" t="str">
        <f t="shared" si="2"/>
        <v>0xA3,</v>
      </c>
      <c r="AB21" s="75" t="str">
        <f t="shared" si="3"/>
        <v>0x42,</v>
      </c>
      <c r="AC21" s="78" t="s">
        <v>341</v>
      </c>
    </row>
    <row r="22" spans="1:29" x14ac:dyDescent="0.3">
      <c r="A22" s="82">
        <f t="shared" si="4"/>
        <v>64</v>
      </c>
      <c r="B22" s="83" t="str">
        <f t="shared" si="0"/>
        <v>40</v>
      </c>
      <c r="D22" s="29" t="s">
        <v>0</v>
      </c>
      <c r="E22" s="4" t="s">
        <v>15</v>
      </c>
      <c r="F22" s="29"/>
      <c r="G22" s="24" t="s">
        <v>39</v>
      </c>
      <c r="H22" s="29"/>
      <c r="M22" s="14"/>
      <c r="O22" s="25" t="str" cm="1">
        <f t="array" ref="O22">BIN2HEX(IF(I22&lt;&gt;"",VLOOKUP(I22,Ops!$I$2:'Ops'!$J$13,2,FALSE),IF(ISNUMBER(SEARCH("BR",D22)),"001","000"))&amp;IF(D22&lt;&gt;"",VLOOKUP(D22,Ops!$B$2:'Ops'!$C$23,2,FALSE),"0")&amp;_xlfn.IFS(ISNUMBER(SEARCH("BR",D22)),VLOOKUP(D22,Ops!$B$3:'Ops'!$D$22,3,FALSE),F22&lt;&gt;"",VLOOKUP(F22,Ops!$R$2:'Ops'!$S$11,2),L22&lt;&gt;"",VLOOKUP(L22,Ops!$R$2:'Ops'!$S$25,2,FALSE),TRUE,"0000"),2)</f>
        <v>10</v>
      </c>
      <c r="P22" s="26" t="str">
        <f>RIGHT(IF($E22&lt;&gt;"",_xlfn.XLOOKUP($E22,$C$4:$C$681,$B$4:$B$681,"NO LABEL"),BIN2HEX(IF(N22="CarryEn","1","0")&amp;IF(M22="SubXY","1","0")&amp;IF(H22&lt;&gt;"",VLOOKUP(H22,Ops!$F$2:'Ops'!$G$20,2,FALSE),"000000"),2)),2)</f>
        <v>33</v>
      </c>
      <c r="Q22" s="26" t="str" cm="1">
        <f t="array" ref="Q22">BIN2HEX(_xlfn.IFS(D22="HWINTEN","10",G22="KeyAck","01",G22="InitLp8","01",TRUE,"00")&amp;IF(OR(Ops!$O$2:'Ops'!$O$13=K22),VLOOKUP(K22,Ops!$O$2:'Ops'!$P$13,2,FALSE),"000")&amp;IF(E22&lt;&gt;"",IF(LEN(_xlfn.XLOOKUP($E22,$C$5:$C$681,$B$5:$B$681,0))=3,HEX2BIN(LEFT(_xlfn.XLOOKUP($E22,$C$5:$C$681,$B$5:$B$681,0),1),3),IF(OR(Ops!$L$2:'Ops'!$L$11=J22),VLOOKUP(J22,Ops!$L$2:'Ops'!$M$11,2,FALSE),"000")),IF(OR(Ops!$L$2:'Ops'!$L$11=J22),VLOOKUP(J22,Ops!$L$2:'Ops'!$M$11,2,FALSE),"000")),2)</f>
        <v>43</v>
      </c>
      <c r="R22" s="27" t="s">
        <v>107</v>
      </c>
      <c r="U22" s="33"/>
      <c r="Z22" s="74" t="str">
        <f t="shared" si="1"/>
        <v>0x10,</v>
      </c>
      <c r="AA22" s="75" t="str">
        <f t="shared" si="2"/>
        <v>0x33,</v>
      </c>
      <c r="AB22" s="75" t="str">
        <f t="shared" si="3"/>
        <v>0x43,</v>
      </c>
      <c r="AC22" s="78" t="s">
        <v>341</v>
      </c>
    </row>
    <row r="23" spans="1:29" x14ac:dyDescent="0.3">
      <c r="A23" s="82">
        <f t="shared" si="4"/>
        <v>68</v>
      </c>
      <c r="B23" s="83" t="str">
        <f t="shared" si="0"/>
        <v>44</v>
      </c>
      <c r="D23" s="29" t="s">
        <v>0</v>
      </c>
      <c r="E23" s="4" t="s">
        <v>16</v>
      </c>
      <c r="F23" s="29"/>
      <c r="G23" s="24" t="s">
        <v>39</v>
      </c>
      <c r="H23" s="29"/>
      <c r="M23" s="14"/>
      <c r="O23" s="25" t="str" cm="1">
        <f t="array" ref="O23">BIN2HEX(IF(I23&lt;&gt;"",VLOOKUP(I23,Ops!$I$2:'Ops'!$J$13,2,FALSE),IF(ISNUMBER(SEARCH("BR",D23)),"001","000"))&amp;IF(D23&lt;&gt;"",VLOOKUP(D23,Ops!$B$2:'Ops'!$C$23,2,FALSE),"0")&amp;_xlfn.IFS(ISNUMBER(SEARCH("BR",D23)),VLOOKUP(D23,Ops!$B$3:'Ops'!$D$22,3,FALSE),F23&lt;&gt;"",VLOOKUP(F23,Ops!$R$2:'Ops'!$S$11,2),L23&lt;&gt;"",VLOOKUP(L23,Ops!$R$2:'Ops'!$S$25,2,FALSE),TRUE,"0000"),2)</f>
        <v>10</v>
      </c>
      <c r="P23" s="26" t="str">
        <f>RIGHT(IF($E23&lt;&gt;"",_xlfn.XLOOKUP($E23,$C$4:$C$681,$B$4:$B$681,"NO LABEL"),BIN2HEX(IF(N23="CarryEn","1","0")&amp;IF(M23="SubXY","1","0")&amp;IF(H23&lt;&gt;"",VLOOKUP(H23,Ops!$F$2:'Ops'!$G$20,2,FALSE),"000000"),2)),2)</f>
        <v>12</v>
      </c>
      <c r="Q23" s="26" t="str" cm="1">
        <f t="array" ref="Q23">BIN2HEX(_xlfn.IFS(D23="HWINTEN","10",G23="KeyAck","01",G23="InitLp8","01",TRUE,"00")&amp;IF(OR(Ops!$O$2:'Ops'!$O$13=K23),VLOOKUP(K23,Ops!$O$2:'Ops'!$P$13,2,FALSE),"000")&amp;IF(E23&lt;&gt;"",IF(LEN(_xlfn.XLOOKUP($E23,$C$5:$C$681,$B$5:$B$681,0))=3,HEX2BIN(LEFT(_xlfn.XLOOKUP($E23,$C$5:$C$681,$B$5:$B$681,0),1),3),IF(OR(Ops!$L$2:'Ops'!$L$11=J23),VLOOKUP(J23,Ops!$L$2:'Ops'!$M$11,2,FALSE),"000")),IF(OR(Ops!$L$2:'Ops'!$L$11=J23),VLOOKUP(J23,Ops!$L$2:'Ops'!$M$11,2,FALSE),"000")),2)</f>
        <v>43</v>
      </c>
      <c r="R23" s="27" t="s">
        <v>107</v>
      </c>
      <c r="U23" s="33"/>
      <c r="Z23" s="74" t="str">
        <f t="shared" si="1"/>
        <v>0x10,</v>
      </c>
      <c r="AA23" s="75" t="str">
        <f t="shared" si="2"/>
        <v>0x12,</v>
      </c>
      <c r="AB23" s="75" t="str">
        <f t="shared" si="3"/>
        <v>0x43,</v>
      </c>
      <c r="AC23" s="78" t="s">
        <v>341</v>
      </c>
    </row>
    <row r="24" spans="1:29" x14ac:dyDescent="0.3">
      <c r="A24" s="82">
        <f t="shared" si="4"/>
        <v>72</v>
      </c>
      <c r="B24" s="83" t="str">
        <f t="shared" si="0"/>
        <v>48</v>
      </c>
      <c r="D24" s="29" t="s">
        <v>0</v>
      </c>
      <c r="E24" s="4" t="s">
        <v>17</v>
      </c>
      <c r="F24" s="29"/>
      <c r="G24" s="24" t="s">
        <v>39</v>
      </c>
      <c r="H24" s="29"/>
      <c r="M24" s="14"/>
      <c r="O24" s="25" t="str" cm="1">
        <f t="array" ref="O24">BIN2HEX(IF(I24&lt;&gt;"",VLOOKUP(I24,Ops!$I$2:'Ops'!$J$13,2,FALSE),IF(ISNUMBER(SEARCH("BR",D24)),"001","000"))&amp;IF(D24&lt;&gt;"",VLOOKUP(D24,Ops!$B$2:'Ops'!$C$23,2,FALSE),"0")&amp;_xlfn.IFS(ISNUMBER(SEARCH("BR",D24)),VLOOKUP(D24,Ops!$B$3:'Ops'!$D$22,3,FALSE),F24&lt;&gt;"",VLOOKUP(F24,Ops!$R$2:'Ops'!$S$11,2),L24&lt;&gt;"",VLOOKUP(L24,Ops!$R$2:'Ops'!$S$25,2,FALSE),TRUE,"0000"),2)</f>
        <v>10</v>
      </c>
      <c r="P24" s="26" t="str">
        <f>RIGHT(IF($E24&lt;&gt;"",_xlfn.XLOOKUP($E24,$C$4:$C$681,$B$4:$B$681,"NO LABEL"),BIN2HEX(IF(N24="CarryEn","1","0")&amp;IF(M24="SubXY","1","0")&amp;IF(H24&lt;&gt;"",VLOOKUP(H24,Ops!$F$2:'Ops'!$G$20,2,FALSE),"000000"),2)),2)</f>
        <v>6E</v>
      </c>
      <c r="Q24" s="26" t="str" cm="1">
        <f t="array" ref="Q24">BIN2HEX(_xlfn.IFS(D24="HWINTEN","10",G24="KeyAck","01",G24="InitLp8","01",TRUE,"00")&amp;IF(OR(Ops!$O$2:'Ops'!$O$13=K24),VLOOKUP(K24,Ops!$O$2:'Ops'!$P$13,2,FALSE),"000")&amp;IF(E24&lt;&gt;"",IF(LEN(_xlfn.XLOOKUP($E24,$C$5:$C$681,$B$5:$B$681,0))=3,HEX2BIN(LEFT(_xlfn.XLOOKUP($E24,$C$5:$C$681,$B$5:$B$681,0),1),3),IF(OR(Ops!$L$2:'Ops'!$L$11=J24),VLOOKUP(J24,Ops!$L$2:'Ops'!$M$11,2,FALSE),"000")),IF(OR(Ops!$L$2:'Ops'!$L$11=J24),VLOOKUP(J24,Ops!$L$2:'Ops'!$M$11,2,FALSE),"000")),2)</f>
        <v>44</v>
      </c>
      <c r="R24" s="27" t="s">
        <v>107</v>
      </c>
      <c r="Z24" s="74" t="str">
        <f t="shared" si="1"/>
        <v>0x10,</v>
      </c>
      <c r="AA24" s="75" t="str">
        <f t="shared" si="2"/>
        <v>0x6E,</v>
      </c>
      <c r="AB24" s="75" t="str">
        <f t="shared" si="3"/>
        <v>0x44,</v>
      </c>
      <c r="AC24" s="78" t="s">
        <v>341</v>
      </c>
    </row>
    <row r="25" spans="1:29" x14ac:dyDescent="0.3">
      <c r="A25" s="82">
        <f t="shared" si="4"/>
        <v>76</v>
      </c>
      <c r="B25" s="83" t="str">
        <f t="shared" si="0"/>
        <v>4C</v>
      </c>
      <c r="D25" s="29" t="s">
        <v>0</v>
      </c>
      <c r="E25" s="4" t="s">
        <v>18</v>
      </c>
      <c r="F25" s="29"/>
      <c r="G25" s="24" t="s">
        <v>39</v>
      </c>
      <c r="H25" s="29"/>
      <c r="M25" s="14"/>
      <c r="O25" s="25" t="str" cm="1">
        <f t="array" ref="O25">BIN2HEX(IF(I25&lt;&gt;"",VLOOKUP(I25,Ops!$I$2:'Ops'!$J$13,2,FALSE),IF(ISNUMBER(SEARCH("BR",D25)),"001","000"))&amp;IF(D25&lt;&gt;"",VLOOKUP(D25,Ops!$B$2:'Ops'!$C$23,2,FALSE),"0")&amp;_xlfn.IFS(ISNUMBER(SEARCH("BR",D25)),VLOOKUP(D25,Ops!$B$3:'Ops'!$D$22,3,FALSE),F25&lt;&gt;"",VLOOKUP(F25,Ops!$R$2:'Ops'!$S$11,2),L25&lt;&gt;"",VLOOKUP(L25,Ops!$R$2:'Ops'!$S$25,2,FALSE),TRUE,"0000"),2)</f>
        <v>10</v>
      </c>
      <c r="P25" s="26" t="str">
        <f>RIGHT(IF($E25&lt;&gt;"",_xlfn.XLOOKUP($E25,$C$4:$C$681,$B$4:$B$681,"NO LABEL"),BIN2HEX(IF(N25="CarryEn","1","0")&amp;IF(M25="SubXY","1","0")&amp;IF(H25&lt;&gt;"",VLOOKUP(H25,Ops!$F$2:'Ops'!$G$20,2,FALSE),"000000"),2)),2)</f>
        <v>7C</v>
      </c>
      <c r="Q25" s="26" t="str" cm="1">
        <f t="array" ref="Q25">BIN2HEX(_xlfn.IFS(D25="HWINTEN","10",G25="KeyAck","01",G25="InitLp8","01",TRUE,"00")&amp;IF(OR(Ops!$O$2:'Ops'!$O$13=K25),VLOOKUP(K25,Ops!$O$2:'Ops'!$P$13,2,FALSE),"000")&amp;IF(E25&lt;&gt;"",IF(LEN(_xlfn.XLOOKUP($E25,$C$5:$C$681,$B$5:$B$681,0))=3,HEX2BIN(LEFT(_xlfn.XLOOKUP($E25,$C$5:$C$681,$B$5:$B$681,0),1),3),IF(OR(Ops!$L$2:'Ops'!$L$11=J25),VLOOKUP(J25,Ops!$L$2:'Ops'!$M$11,2,FALSE),"000")),IF(OR(Ops!$L$2:'Ops'!$L$11=J25),VLOOKUP(J25,Ops!$L$2:'Ops'!$M$11,2,FALSE),"000")),2)</f>
        <v>45</v>
      </c>
      <c r="R25" s="61" t="s">
        <v>107</v>
      </c>
      <c r="Z25" s="74" t="str">
        <f t="shared" si="1"/>
        <v>0x10,</v>
      </c>
      <c r="AA25" s="75" t="str">
        <f t="shared" si="2"/>
        <v>0x7C,</v>
      </c>
      <c r="AB25" s="75" t="str">
        <f t="shared" si="3"/>
        <v>0x45,</v>
      </c>
      <c r="AC25" s="78" t="s">
        <v>341</v>
      </c>
    </row>
    <row r="26" spans="1:29" x14ac:dyDescent="0.3">
      <c r="A26" s="82">
        <f t="shared" si="4"/>
        <v>80</v>
      </c>
      <c r="B26" s="83" t="str">
        <f t="shared" si="0"/>
        <v>50</v>
      </c>
      <c r="D26" s="29" t="s">
        <v>0</v>
      </c>
      <c r="E26" s="4" t="s">
        <v>14</v>
      </c>
      <c r="F26" s="29"/>
      <c r="G26" s="24" t="s">
        <v>39</v>
      </c>
      <c r="H26" s="29"/>
      <c r="M26" s="14"/>
      <c r="O26" s="25" t="str" cm="1">
        <f t="array" ref="O26">BIN2HEX(IF(I26&lt;&gt;"",VLOOKUP(I26,Ops!$I$2:'Ops'!$J$13,2,FALSE),IF(ISNUMBER(SEARCH("BR",D26)),"001","000"))&amp;IF(D26&lt;&gt;"",VLOOKUP(D26,Ops!$B$2:'Ops'!$C$23,2,FALSE),"0")&amp;_xlfn.IFS(ISNUMBER(SEARCH("BR",D26)),VLOOKUP(D26,Ops!$B$3:'Ops'!$D$22,3,FALSE),F26&lt;&gt;"",VLOOKUP(F26,Ops!$R$2:'Ops'!$S$11,2),L26&lt;&gt;"",VLOOKUP(L26,Ops!$R$2:'Ops'!$S$25,2,FALSE),TRUE,"0000"),2)</f>
        <v>10</v>
      </c>
      <c r="P26" s="26" t="str">
        <f>RIGHT(IF($E26&lt;&gt;"",_xlfn.XLOOKUP($E26,$C$4:$C$681,$B$4:$B$681,"NO LABEL"),BIN2HEX(IF(N26="CarryEn","1","0")&amp;IF(M26="SubXY","1","0")&amp;IF(H26&lt;&gt;"",VLOOKUP(H26,Ops!$F$2:'Ops'!$G$20,2,FALSE),"000000"),2)),2)</f>
        <v>2B</v>
      </c>
      <c r="Q26" s="26" t="str" cm="1">
        <f t="array" ref="Q26">BIN2HEX(_xlfn.IFS(D26="HWINTEN","10",G26="KeyAck","01",G26="InitLp8","01",TRUE,"00")&amp;IF(OR(Ops!$O$2:'Ops'!$O$13=K26),VLOOKUP(K26,Ops!$O$2:'Ops'!$P$13,2,FALSE),"000")&amp;IF(E26&lt;&gt;"",IF(LEN(_xlfn.XLOOKUP($E26,$C$5:$C$681,$B$5:$B$681,0))=3,HEX2BIN(LEFT(_xlfn.XLOOKUP($E26,$C$5:$C$681,$B$5:$B$681,0),1),3),IF(OR(Ops!$L$2:'Ops'!$L$11=J26),VLOOKUP(J26,Ops!$L$2:'Ops'!$M$11,2,FALSE),"000")),IF(OR(Ops!$L$2:'Ops'!$L$11=J26),VLOOKUP(J26,Ops!$L$2:'Ops'!$M$11,2,FALSE),"000")),2)</f>
        <v>42</v>
      </c>
      <c r="R26" s="61" t="s">
        <v>107</v>
      </c>
      <c r="Z26" s="74" t="str">
        <f t="shared" si="1"/>
        <v>0x10,</v>
      </c>
      <c r="AA26" s="75" t="str">
        <f t="shared" si="2"/>
        <v>0x2B,</v>
      </c>
      <c r="AB26" s="75" t="str">
        <f t="shared" si="3"/>
        <v>0x42,</v>
      </c>
      <c r="AC26" s="78" t="s">
        <v>341</v>
      </c>
    </row>
    <row r="27" spans="1:29" x14ac:dyDescent="0.3">
      <c r="A27" s="82">
        <f t="shared" si="4"/>
        <v>84</v>
      </c>
      <c r="B27" s="83" t="str">
        <f t="shared" si="0"/>
        <v>54</v>
      </c>
      <c r="D27" s="29" t="s">
        <v>0</v>
      </c>
      <c r="E27" s="4" t="s">
        <v>697</v>
      </c>
      <c r="F27" s="29"/>
      <c r="G27" s="24" t="s">
        <v>39</v>
      </c>
      <c r="H27" s="29"/>
      <c r="M27" s="14"/>
      <c r="O27" s="25" t="str" cm="1">
        <f t="array" ref="O27">BIN2HEX(IF(I27&lt;&gt;"",VLOOKUP(I27,Ops!$I$2:'Ops'!$J$13,2,FALSE),IF(ISNUMBER(SEARCH("BR",D27)),"001","000"))&amp;IF(D27&lt;&gt;"",VLOOKUP(D27,Ops!$B$2:'Ops'!$C$23,2,FALSE),"0")&amp;_xlfn.IFS(ISNUMBER(SEARCH("BR",D27)),VLOOKUP(D27,Ops!$B$3:'Ops'!$D$22,3,FALSE),F27&lt;&gt;"",VLOOKUP(F27,Ops!$R$2:'Ops'!$S$11,2),L27&lt;&gt;"",VLOOKUP(L27,Ops!$R$2:'Ops'!$S$25,2,FALSE),TRUE,"0000"),2)</f>
        <v>10</v>
      </c>
      <c r="P27" s="26" t="str">
        <f>RIGHT(IF($E27&lt;&gt;"",_xlfn.XLOOKUP($E27,$C$4:$C$681,$B$4:$B$681,"NO LABEL"),BIN2HEX(IF(N27="CarryEn","1","0")&amp;IF(M27="SubXY","1","0")&amp;IF(H27&lt;&gt;"",VLOOKUP(H27,Ops!$F$2:'Ops'!$G$20,2,FALSE),"000000"),2)),2)</f>
        <v>3D</v>
      </c>
      <c r="Q27" s="26" t="str" cm="1">
        <f t="array" ref="Q27">BIN2HEX(_xlfn.IFS(D27="HWINTEN","10",G27="KeyAck","01",G27="InitLp8","01",TRUE,"00")&amp;IF(OR(Ops!$O$2:'Ops'!$O$13=K27),VLOOKUP(K27,Ops!$O$2:'Ops'!$P$13,2,FALSE),"000")&amp;IF(E27&lt;&gt;"",IF(LEN(_xlfn.XLOOKUP($E27,$C$5:$C$681,$B$5:$B$681,0))=3,HEX2BIN(LEFT(_xlfn.XLOOKUP($E27,$C$5:$C$681,$B$5:$B$681,0),1),3),IF(OR(Ops!$L$2:'Ops'!$L$11=J27),VLOOKUP(J27,Ops!$L$2:'Ops'!$M$11,2,FALSE),"000")),IF(OR(Ops!$L$2:'Ops'!$L$11=J27),VLOOKUP(J27,Ops!$L$2:'Ops'!$M$11,2,FALSE),"000")),2)</f>
        <v>42</v>
      </c>
      <c r="R27" s="61" t="s">
        <v>107</v>
      </c>
      <c r="Z27" s="74" t="str">
        <f t="shared" si="1"/>
        <v>0x10,</v>
      </c>
      <c r="AA27" s="75" t="str">
        <f t="shared" si="2"/>
        <v>0x3D,</v>
      </c>
      <c r="AB27" s="75" t="str">
        <f t="shared" si="3"/>
        <v>0x42,</v>
      </c>
      <c r="AC27" s="78" t="s">
        <v>341</v>
      </c>
    </row>
    <row r="28" spans="1:29" x14ac:dyDescent="0.3">
      <c r="A28" s="82">
        <f t="shared" si="4"/>
        <v>88</v>
      </c>
      <c r="B28" s="83" t="str">
        <f t="shared" si="0"/>
        <v>58</v>
      </c>
      <c r="C28" s="4" t="s">
        <v>34</v>
      </c>
      <c r="D28" s="29" t="s">
        <v>0</v>
      </c>
      <c r="E28" s="4" t="s">
        <v>14</v>
      </c>
      <c r="F28" s="29"/>
      <c r="G28" s="24" t="s">
        <v>39</v>
      </c>
      <c r="H28" s="29"/>
      <c r="M28" s="14"/>
      <c r="O28" s="25" t="str" cm="1">
        <f t="array" ref="O28">BIN2HEX(IF(I28&lt;&gt;"",VLOOKUP(I28,Ops!$I$2:'Ops'!$J$13,2,FALSE),IF(ISNUMBER(SEARCH("BR",D28)),"001","000"))&amp;IF(D28&lt;&gt;"",VLOOKUP(D28,Ops!$B$2:'Ops'!$C$23,2,FALSE),"0")&amp;_xlfn.IFS(ISNUMBER(SEARCH("BR",D28)),VLOOKUP(D28,Ops!$B$3:'Ops'!$D$22,3,FALSE),F28&lt;&gt;"",VLOOKUP(F28,Ops!$R$2:'Ops'!$S$11,2),L28&lt;&gt;"",VLOOKUP(L28,Ops!$R$2:'Ops'!$S$25,2,FALSE),TRUE,"0000"),2)</f>
        <v>10</v>
      </c>
      <c r="P28" s="26" t="str">
        <f>RIGHT(IF($E28&lt;&gt;"",_xlfn.XLOOKUP($E28,$C$4:$C$681,$B$4:$B$681,"NO LABEL"),BIN2HEX(IF(N28="CarryEn","1","0")&amp;IF(M28="SubXY","1","0")&amp;IF(H28&lt;&gt;"",VLOOKUP(H28,Ops!$F$2:'Ops'!$G$20,2,FALSE),"000000"),2)),2)</f>
        <v>2B</v>
      </c>
      <c r="Q28" s="26" t="str" cm="1">
        <f t="array" ref="Q28">BIN2HEX(_xlfn.IFS(D28="HWINTEN","10",G28="KeyAck","01",G28="InitLp8","01",TRUE,"00")&amp;IF(OR(Ops!$O$2:'Ops'!$O$13=K28),VLOOKUP(K28,Ops!$O$2:'Ops'!$P$13,2,FALSE),"000")&amp;IF(E28&lt;&gt;"",IF(LEN(_xlfn.XLOOKUP($E28,$C$5:$C$681,$B$5:$B$681,0))=3,HEX2BIN(LEFT(_xlfn.XLOOKUP($E28,$C$5:$C$681,$B$5:$B$681,0),1),3),IF(OR(Ops!$L$2:'Ops'!$L$11=J28),VLOOKUP(J28,Ops!$L$2:'Ops'!$M$11,2,FALSE),"000")),IF(OR(Ops!$L$2:'Ops'!$L$11=J28),VLOOKUP(J28,Ops!$L$2:'Ops'!$M$11,2,FALSE),"000")),2)</f>
        <v>42</v>
      </c>
      <c r="R28" s="61" t="s">
        <v>107</v>
      </c>
      <c r="Z28" s="74" t="str">
        <f t="shared" si="1"/>
        <v>0x10,</v>
      </c>
      <c r="AA28" s="75" t="str">
        <f t="shared" si="2"/>
        <v>0x2B,</v>
      </c>
      <c r="AB28" s="75" t="str">
        <f t="shared" si="3"/>
        <v>0x42,</v>
      </c>
      <c r="AC28" s="78" t="s">
        <v>341</v>
      </c>
    </row>
    <row r="29" spans="1:29" x14ac:dyDescent="0.3">
      <c r="A29" s="82">
        <f t="shared" si="4"/>
        <v>92</v>
      </c>
      <c r="B29" s="83" t="str">
        <f t="shared" si="0"/>
        <v>5C</v>
      </c>
      <c r="C29" s="4" t="s">
        <v>177</v>
      </c>
      <c r="D29" s="29" t="s">
        <v>0</v>
      </c>
      <c r="E29" s="4" t="s">
        <v>14</v>
      </c>
      <c r="F29" s="29"/>
      <c r="G29" s="24" t="s">
        <v>39</v>
      </c>
      <c r="H29" s="29"/>
      <c r="M29" s="14"/>
      <c r="O29" s="25" t="str" cm="1">
        <f t="array" ref="O29">BIN2HEX(IF(I29&lt;&gt;"",VLOOKUP(I29,Ops!$I$2:'Ops'!$J$13,2,FALSE),IF(ISNUMBER(SEARCH("BR",D29)),"001","000"))&amp;IF(D29&lt;&gt;"",VLOOKUP(D29,Ops!$B$2:'Ops'!$C$23,2,FALSE),"0")&amp;_xlfn.IFS(ISNUMBER(SEARCH("BR",D29)),VLOOKUP(D29,Ops!$B$3:'Ops'!$D$22,3,FALSE),F29&lt;&gt;"",VLOOKUP(F29,Ops!$R$2:'Ops'!$S$11,2),L29&lt;&gt;"",VLOOKUP(L29,Ops!$R$2:'Ops'!$S$25,2,FALSE),TRUE,"0000"),2)</f>
        <v>10</v>
      </c>
      <c r="P29" s="26" t="str">
        <f>RIGHT(IF($E29&lt;&gt;"",_xlfn.XLOOKUP($E29,$C$4:$C$681,$B$4:$B$681,"NO LABEL"),BIN2HEX(IF(N29="CarryEn","1","0")&amp;IF(M29="SubXY","1","0")&amp;IF(H29&lt;&gt;"",VLOOKUP(H29,Ops!$F$2:'Ops'!$G$20,2,FALSE),"000000"),2)),2)</f>
        <v>2B</v>
      </c>
      <c r="Q29" s="26" t="str" cm="1">
        <f t="array" ref="Q29">BIN2HEX(_xlfn.IFS(D29="HWINTEN","10",G29="KeyAck","01",G29="InitLp8","01",TRUE,"00")&amp;IF(OR(Ops!$O$2:'Ops'!$O$13=K29),VLOOKUP(K29,Ops!$O$2:'Ops'!$P$13,2,FALSE),"000")&amp;IF(E29&lt;&gt;"",IF(LEN(_xlfn.XLOOKUP($E29,$C$5:$C$681,$B$5:$B$681,0))=3,HEX2BIN(LEFT(_xlfn.XLOOKUP($E29,$C$5:$C$681,$B$5:$B$681,0),1),3),IF(OR(Ops!$L$2:'Ops'!$L$11=J29),VLOOKUP(J29,Ops!$L$2:'Ops'!$M$11,2,FALSE),"000")),IF(OR(Ops!$L$2:'Ops'!$L$11=J29),VLOOKUP(J29,Ops!$L$2:'Ops'!$M$11,2,FALSE),"000")),2)</f>
        <v>42</v>
      </c>
      <c r="R29" s="61" t="s">
        <v>107</v>
      </c>
      <c r="Z29" s="74" t="str">
        <f t="shared" si="1"/>
        <v>0x10,</v>
      </c>
      <c r="AA29" s="75" t="str">
        <f t="shared" si="2"/>
        <v>0x2B,</v>
      </c>
      <c r="AB29" s="75" t="str">
        <f t="shared" si="3"/>
        <v>0x42,</v>
      </c>
      <c r="AC29" s="78" t="s">
        <v>341</v>
      </c>
    </row>
    <row r="30" spans="1:29" x14ac:dyDescent="0.3">
      <c r="A30" s="84">
        <f>A29+4</f>
        <v>96</v>
      </c>
      <c r="B30" s="85" t="str">
        <f t="shared" si="0"/>
        <v>60</v>
      </c>
      <c r="C30" s="31" t="s">
        <v>1</v>
      </c>
      <c r="D30" s="34" t="s">
        <v>35</v>
      </c>
      <c r="E30" s="31"/>
      <c r="F30" s="28">
        <v>9</v>
      </c>
      <c r="G30" s="24"/>
      <c r="H30" s="29"/>
      <c r="M30" s="14"/>
      <c r="O30" s="25" t="str" cm="1">
        <f t="array" ref="O30">BIN2HEX(IF(I30&lt;&gt;"",VLOOKUP(I30,Ops!$I$2:'Ops'!$J$13,2,FALSE),IF(ISNUMBER(SEARCH("BR",D30)),"001","000"))&amp;IF(D30&lt;&gt;"",VLOOKUP(D30,Ops!$B$2:'Ops'!$C$23,2,FALSE),"0")&amp;_xlfn.IFS(ISNUMBER(SEARCH("BR",D30)),VLOOKUP(D30,Ops!$B$3:'Ops'!$D$22,3,FALSE),F30&lt;&gt;"",VLOOKUP(F30,Ops!$R$2:'Ops'!$S$11,2),L30&lt;&gt;"",VLOOKUP(L30,Ops!$R$2:'Ops'!$S$25,2,FALSE),TRUE,"0000"),2)</f>
        <v>09</v>
      </c>
      <c r="P30" s="26" t="str">
        <f>RIGHT(IF($E30&lt;&gt;"",_xlfn.XLOOKUP($E30,$C$4:$C$681,$B$4:$B$681,"NO LABEL"),BIN2HEX(IF(N30="CarryEn","1","0")&amp;IF(M30="SubXY","1","0")&amp;IF(H30&lt;&gt;"",VLOOKUP(H30,Ops!$F$2:'Ops'!$G$20,2,FALSE),"000000"),2)),2)</f>
        <v>00</v>
      </c>
      <c r="Q30" s="26" t="str" cm="1">
        <f t="array" ref="Q30">BIN2HEX(_xlfn.IFS(D30="HWINTEN","10",G30="KeyAck","01",G30="InitLp8","01",TRUE,"00")&amp;IF(OR(Ops!$O$2:'Ops'!$O$13=K30),VLOOKUP(K30,Ops!$O$2:'Ops'!$P$13,2,FALSE),"000")&amp;IF(E30&lt;&gt;"",IF(LEN(_xlfn.XLOOKUP($E30,$C$5:$C$681,$B$5:$B$681,0))=3,HEX2BIN(LEFT(_xlfn.XLOOKUP($E30,$C$5:$C$681,$B$5:$B$681,0),1),3),IF(OR(Ops!$L$2:'Ops'!$L$11=J30),VLOOKUP(J30,Ops!$L$2:'Ops'!$M$11,2,FALSE),"000")),IF(OR(Ops!$L$2:'Ops'!$L$11=J30),VLOOKUP(J30,Ops!$L$2:'Ops'!$M$11,2,FALSE),"000")),2)</f>
        <v>80</v>
      </c>
      <c r="R30" s="27"/>
      <c r="S30" s="4" t="s">
        <v>494</v>
      </c>
      <c r="Z30" s="74" t="str">
        <f t="shared" si="1"/>
        <v>0x09,</v>
      </c>
      <c r="AA30" s="75" t="str">
        <f t="shared" si="2"/>
        <v>0x00,</v>
      </c>
      <c r="AB30" s="75" t="str">
        <f t="shared" si="3"/>
        <v>0x80,</v>
      </c>
      <c r="AC30" s="76"/>
    </row>
    <row r="31" spans="1:29" x14ac:dyDescent="0.3">
      <c r="A31" s="79">
        <f>A30+3</f>
        <v>99</v>
      </c>
      <c r="B31" s="80" t="str">
        <f t="shared" si="0"/>
        <v>63</v>
      </c>
      <c r="D31" s="29"/>
      <c r="F31" s="28">
        <v>0</v>
      </c>
      <c r="G31" s="24"/>
      <c r="H31" s="29"/>
      <c r="M31" s="14"/>
      <c r="O31" s="25" t="str" cm="1">
        <f t="array" ref="O31">BIN2HEX(IF(I31&lt;&gt;"",VLOOKUP(I31,Ops!$I$2:'Ops'!$J$13,2,FALSE),IF(ISNUMBER(SEARCH("BR",D31)),"001","000"))&amp;IF(D31&lt;&gt;"",VLOOKUP(D31,Ops!$B$2:'Ops'!$C$23,2,FALSE),"0")&amp;_xlfn.IFS(ISNUMBER(SEARCH("BR",D31)),VLOOKUP(D31,Ops!$B$3:'Ops'!$D$22,3,FALSE),F31&lt;&gt;"",VLOOKUP(F31,Ops!$R$2:'Ops'!$S$11,2),L31&lt;&gt;"",VLOOKUP(L31,Ops!$R$2:'Ops'!$S$25,2,FALSE),TRUE,"0000"),2)</f>
        <v>00</v>
      </c>
      <c r="P31" s="26" t="str">
        <f>RIGHT(IF($E31&lt;&gt;"",_xlfn.XLOOKUP($E31,$C$4:$C$681,$B$4:$B$681,"NO LABEL"),BIN2HEX(IF(N31="CarryEn","1","0")&amp;IF(M31="SubXY","1","0")&amp;IF(H31&lt;&gt;"",VLOOKUP(H31,Ops!$F$2:'Ops'!$G$20,2,FALSE),"000000"),2)),2)</f>
        <v>00</v>
      </c>
      <c r="Q31" s="26" t="str" cm="1">
        <f t="array" ref="Q31">BIN2HEX(_xlfn.IFS(D31="HWINTEN","10",G31="KeyAck","01",G31="InitLp8","01",TRUE,"00")&amp;IF(OR(Ops!$O$2:'Ops'!$O$13=K31),VLOOKUP(K31,Ops!$O$2:'Ops'!$P$13,2,FALSE),"000")&amp;IF(E31&lt;&gt;"",IF(LEN(_xlfn.XLOOKUP($E31,$C$5:$C$681,$B$5:$B$681,0))=3,HEX2BIN(LEFT(_xlfn.XLOOKUP($E31,$C$5:$C$681,$B$5:$B$681,0),1),3),IF(OR(Ops!$L$2:'Ops'!$L$11=J31),VLOOKUP(J31,Ops!$L$2:'Ops'!$M$11,2,FALSE),"000")),IF(OR(Ops!$L$2:'Ops'!$L$11=J31),VLOOKUP(J31,Ops!$L$2:'Ops'!$M$11,2,FALSE),"000")),2)</f>
        <v>00</v>
      </c>
      <c r="R31" s="27"/>
      <c r="S31" s="4" t="s">
        <v>593</v>
      </c>
      <c r="Z31" s="74" t="str">
        <f t="shared" si="1"/>
        <v>0x00,</v>
      </c>
      <c r="AA31" s="75" t="str">
        <f t="shared" si="2"/>
        <v>0x00,</v>
      </c>
      <c r="AB31" s="75" t="str">
        <f t="shared" si="3"/>
        <v>0x00,</v>
      </c>
      <c r="AC31" s="76"/>
    </row>
    <row r="32" spans="1:29" x14ac:dyDescent="0.3">
      <c r="A32" s="79">
        <f>A31+3</f>
        <v>102</v>
      </c>
      <c r="B32" s="80" t="str">
        <f>DEC2HEX(A32)</f>
        <v>66</v>
      </c>
      <c r="D32" s="29"/>
      <c r="F32" s="28">
        <v>0</v>
      </c>
      <c r="G32" s="24"/>
      <c r="M32" s="14"/>
      <c r="O32" s="25" t="str" cm="1">
        <f t="array" ref="O32">BIN2HEX(IF(I32&lt;&gt;"",VLOOKUP(I32,Ops!$I$2:'Ops'!$J$13,2,FALSE),IF(ISNUMBER(SEARCH("BR",D32)),"001","000"))&amp;IF(D32&lt;&gt;"",VLOOKUP(D32,Ops!$B$2:'Ops'!$C$23,2,FALSE),"0")&amp;_xlfn.IFS(ISNUMBER(SEARCH("BR",D32)),VLOOKUP(D32,Ops!$B$3:'Ops'!$D$22,3,FALSE),F32&lt;&gt;"",VLOOKUP(F32,Ops!$R$2:'Ops'!$S$11,2),L32&lt;&gt;"",VLOOKUP(L32,Ops!$R$2:'Ops'!$S$25,2,FALSE),TRUE,"0000"),2)</f>
        <v>00</v>
      </c>
      <c r="P32" s="26" t="str">
        <f>RIGHT(IF($E32&lt;&gt;"",_xlfn.XLOOKUP($E32,$C$4:$C$681,$B$4:$B$681,"NO LABEL"),BIN2HEX(IF(N32="CarryEn","1","0")&amp;IF(M32="SubXY","1","0")&amp;IF(H32&lt;&gt;"",VLOOKUP(H32,Ops!$F$2:'Ops'!$G$20,2,FALSE),"000000"),2)),2)</f>
        <v>00</v>
      </c>
      <c r="Q32" s="26" t="str" cm="1">
        <f t="array" ref="Q32">BIN2HEX(_xlfn.IFS(D32="HWINTEN","10",G32="KeyAck","01",G32="InitLp8","01",TRUE,"00")&amp;IF(OR(Ops!$O$2:'Ops'!$O$13=K32),VLOOKUP(K32,Ops!$O$2:'Ops'!$P$13,2,FALSE),"000")&amp;IF(E32&lt;&gt;"",IF(LEN(_xlfn.XLOOKUP($E32,$C$5:$C$681,$B$5:$B$681,0))=3,HEX2BIN(LEFT(_xlfn.XLOOKUP($E32,$C$5:$C$681,$B$5:$B$681,0),1),3),IF(OR(Ops!$L$2:'Ops'!$L$11=J32),VLOOKUP(J32,Ops!$L$2:'Ops'!$M$11,2,FALSE),"000")),IF(OR(Ops!$L$2:'Ops'!$L$11=J32),VLOOKUP(J32,Ops!$L$2:'Ops'!$M$11,2,FALSE),"000")),2)</f>
        <v>00</v>
      </c>
      <c r="R32" s="27"/>
      <c r="S32" s="4" t="s">
        <v>592</v>
      </c>
      <c r="Z32" s="74" t="str">
        <f t="shared" ref="Z32:Z79" si="5">IF(O32="", "};", "0x"&amp;O32&amp;",")</f>
        <v>0x00,</v>
      </c>
      <c r="AA32" s="75" t="str">
        <f t="shared" ref="AA32:AA79" si="6">"0x"&amp;P32&amp;","</f>
        <v>0x00,</v>
      </c>
      <c r="AB32" s="75" t="str">
        <f t="shared" ref="AB32:AB79" si="7">"0x"&amp;Q32&amp;","</f>
        <v>0x00,</v>
      </c>
      <c r="AC32" s="76"/>
    </row>
    <row r="33" spans="1:29" x14ac:dyDescent="0.3">
      <c r="A33" s="79">
        <f t="shared" ref="A33:A82" si="8">A32+3</f>
        <v>105</v>
      </c>
      <c r="B33" s="80" t="str">
        <f t="shared" ref="B33:B82" si="9">DEC2HEX(A33)</f>
        <v>69</v>
      </c>
      <c r="D33" s="29"/>
      <c r="F33" s="28">
        <v>0</v>
      </c>
      <c r="G33" s="24"/>
      <c r="M33" s="14"/>
      <c r="O33" s="25" t="str" cm="1">
        <f t="array" ref="O33">BIN2HEX(IF(I33&lt;&gt;"",VLOOKUP(I33,Ops!$I$2:'Ops'!$J$13,2,FALSE),IF(ISNUMBER(SEARCH("BR",D33)),"001","000"))&amp;IF(D33&lt;&gt;"",VLOOKUP(D33,Ops!$B$2:'Ops'!$C$23,2,FALSE),"0")&amp;_xlfn.IFS(ISNUMBER(SEARCH("BR",D33)),VLOOKUP(D33,Ops!$B$3:'Ops'!$D$22,3,FALSE),F33&lt;&gt;"",VLOOKUP(F33,Ops!$R$2:'Ops'!$S$11,2),L33&lt;&gt;"",VLOOKUP(L33,Ops!$R$2:'Ops'!$S$25,2,FALSE),TRUE,"0000"),2)</f>
        <v>00</v>
      </c>
      <c r="P33" s="26" t="str">
        <f>RIGHT(IF($E33&lt;&gt;"",_xlfn.XLOOKUP($E33,$C$4:$C$681,$B$4:$B$681,"NO LABEL"),BIN2HEX(IF(N33="CarryEn","1","0")&amp;IF(M33="SubXY","1","0")&amp;IF(H33&lt;&gt;"",VLOOKUP(H33,Ops!$F$2:'Ops'!$G$20,2,FALSE),"000000"),2)),2)</f>
        <v>00</v>
      </c>
      <c r="Q33" s="26" t="str" cm="1">
        <f t="array" ref="Q33">BIN2HEX(_xlfn.IFS(D33="HWINTEN","10",G33="KeyAck","01",G33="InitLp8","01",TRUE,"00")&amp;IF(OR(Ops!$O$2:'Ops'!$O$13=K33),VLOOKUP(K33,Ops!$O$2:'Ops'!$P$13,2,FALSE),"000")&amp;IF(E33&lt;&gt;"",IF(LEN(_xlfn.XLOOKUP($E33,$C$5:$C$681,$B$5:$B$681,0))=3,HEX2BIN(LEFT(_xlfn.XLOOKUP($E33,$C$5:$C$681,$B$5:$B$681,0),1),3),IF(OR(Ops!$L$2:'Ops'!$L$11=J33),VLOOKUP(J33,Ops!$L$2:'Ops'!$M$11,2,FALSE),"000")),IF(OR(Ops!$L$2:'Ops'!$L$11=J33),VLOOKUP(J33,Ops!$L$2:'Ops'!$M$11,2,FALSE),"000")),2)</f>
        <v>00</v>
      </c>
      <c r="R33" s="27"/>
      <c r="Z33" s="74" t="str">
        <f t="shared" si="5"/>
        <v>0x00,</v>
      </c>
      <c r="AA33" s="75" t="str">
        <f t="shared" si="6"/>
        <v>0x00,</v>
      </c>
      <c r="AB33" s="75" t="str">
        <f t="shared" si="7"/>
        <v>0x00,</v>
      </c>
      <c r="AC33" s="76"/>
    </row>
    <row r="34" spans="1:29" x14ac:dyDescent="0.3">
      <c r="A34" s="79">
        <f t="shared" si="8"/>
        <v>108</v>
      </c>
      <c r="B34" s="80" t="str">
        <f t="shared" si="9"/>
        <v>6C</v>
      </c>
      <c r="D34" s="29"/>
      <c r="F34" s="28">
        <v>0</v>
      </c>
      <c r="G34" s="24"/>
      <c r="M34" s="14"/>
      <c r="O34" s="25" t="str" cm="1">
        <f t="array" ref="O34">BIN2HEX(IF(I34&lt;&gt;"",VLOOKUP(I34,Ops!$I$2:'Ops'!$J$13,2,FALSE),IF(ISNUMBER(SEARCH("BR",D34)),"001","000"))&amp;IF(D34&lt;&gt;"",VLOOKUP(D34,Ops!$B$2:'Ops'!$C$23,2,FALSE),"0")&amp;_xlfn.IFS(ISNUMBER(SEARCH("BR",D34)),VLOOKUP(D34,Ops!$B$3:'Ops'!$D$22,3,FALSE),F34&lt;&gt;"",VLOOKUP(F34,Ops!$R$2:'Ops'!$S$11,2),L34&lt;&gt;"",VLOOKUP(L34,Ops!$R$2:'Ops'!$S$25,2,FALSE),TRUE,"0000"),2)</f>
        <v>00</v>
      </c>
      <c r="P34" s="26" t="str">
        <f>RIGHT(IF($E34&lt;&gt;"",_xlfn.XLOOKUP($E34,$C$4:$C$681,$B$4:$B$681,"NO LABEL"),BIN2HEX(IF(N34="CarryEn","1","0")&amp;IF(M34="SubXY","1","0")&amp;IF(H34&lt;&gt;"",VLOOKUP(H34,Ops!$F$2:'Ops'!$G$20,2,FALSE),"000000"),2)),2)</f>
        <v>00</v>
      </c>
      <c r="Q34" s="26" t="str" cm="1">
        <f t="array" ref="Q34">BIN2HEX(_xlfn.IFS(D34="HWINTEN","10",G34="KeyAck","01",G34="InitLp8","01",TRUE,"00")&amp;IF(OR(Ops!$O$2:'Ops'!$O$13=K34),VLOOKUP(K34,Ops!$O$2:'Ops'!$P$13,2,FALSE),"000")&amp;IF(E34&lt;&gt;"",IF(LEN(_xlfn.XLOOKUP($E34,$C$5:$C$681,$B$5:$B$681,0))=3,HEX2BIN(LEFT(_xlfn.XLOOKUP($E34,$C$5:$C$681,$B$5:$B$681,0),1),3),IF(OR(Ops!$L$2:'Ops'!$L$11=J34),VLOOKUP(J34,Ops!$L$2:'Ops'!$M$11,2,FALSE),"000")),IF(OR(Ops!$L$2:'Ops'!$L$11=J34),VLOOKUP(J34,Ops!$L$2:'Ops'!$M$11,2,FALSE),"000")),2)</f>
        <v>00</v>
      </c>
      <c r="R34" s="27"/>
      <c r="Z34" s="74" t="str">
        <f t="shared" si="5"/>
        <v>0x00,</v>
      </c>
      <c r="AA34" s="75" t="str">
        <f t="shared" si="6"/>
        <v>0x00,</v>
      </c>
      <c r="AB34" s="75" t="str">
        <f t="shared" si="7"/>
        <v>0x00,</v>
      </c>
      <c r="AC34" s="76"/>
    </row>
    <row r="35" spans="1:29" x14ac:dyDescent="0.3">
      <c r="A35" s="79">
        <f t="shared" si="8"/>
        <v>111</v>
      </c>
      <c r="B35" s="80" t="str">
        <f t="shared" si="9"/>
        <v>6F</v>
      </c>
      <c r="D35" s="29"/>
      <c r="F35" s="28">
        <v>0</v>
      </c>
      <c r="G35" s="24"/>
      <c r="H35" s="29" t="s">
        <v>53</v>
      </c>
      <c r="I35" s="4" t="s">
        <v>478</v>
      </c>
      <c r="J35" s="4" t="s">
        <v>475</v>
      </c>
      <c r="M35" s="14"/>
      <c r="O35" s="25" t="str" cm="1">
        <f t="array" ref="O35">BIN2HEX(IF(I35&lt;&gt;"",VLOOKUP(I35,Ops!$I$2:'Ops'!$J$13,2,FALSE),IF(ISNUMBER(SEARCH("BR",D35)),"001","000"))&amp;IF(D35&lt;&gt;"",VLOOKUP(D35,Ops!$B$2:'Ops'!$C$23,2,FALSE),"0")&amp;_xlfn.IFS(ISNUMBER(SEARCH("BR",D35)),VLOOKUP(D35,Ops!$B$3:'Ops'!$D$22,3,FALSE),F35&lt;&gt;"",VLOOKUP(F35,Ops!$R$2:'Ops'!$S$11,2),L35&lt;&gt;"",VLOOKUP(L35,Ops!$R$2:'Ops'!$S$25,2,FALSE),TRUE,"0000"),2)</f>
        <v>20</v>
      </c>
      <c r="P35" s="26" t="str">
        <f>RIGHT(IF($E35&lt;&gt;"",_xlfn.XLOOKUP($E35,$C$4:$C$681,$B$4:$B$681,"NO LABEL"),BIN2HEX(IF(N35="CarryEn","1","0")&amp;IF(M35="SubXY","1","0")&amp;IF(H35&lt;&gt;"",VLOOKUP(H35,Ops!$F$2:'Ops'!$G$20,2,FALSE),"000000"),2)),2)</f>
        <v>01</v>
      </c>
      <c r="Q35" s="26" t="str" cm="1">
        <f t="array" ref="Q35">BIN2HEX(_xlfn.IFS(D35="HWINTEN","10",G35="KeyAck","01",G35="InitLp8","01",TRUE,"00")&amp;IF(OR(Ops!$O$2:'Ops'!$O$13=K35),VLOOKUP(K35,Ops!$O$2:'Ops'!$P$13,2,FALSE),"000")&amp;IF(E35&lt;&gt;"",IF(LEN(_xlfn.XLOOKUP($E35,$C$5:$C$681,$B$5:$B$681,0))=3,HEX2BIN(LEFT(_xlfn.XLOOKUP($E35,$C$5:$C$681,$B$5:$B$681,0),1),3),IF(OR(Ops!$L$2:'Ops'!$L$11=J35),VLOOKUP(J35,Ops!$L$2:'Ops'!$M$11,2,FALSE),"000")),IF(OR(Ops!$L$2:'Ops'!$L$11=J35),VLOOKUP(J35,Ops!$L$2:'Ops'!$M$11,2,FALSE),"000")),2)</f>
        <v>00</v>
      </c>
      <c r="R35" s="27"/>
      <c r="S35" s="4" t="s">
        <v>595</v>
      </c>
      <c r="Z35" s="74" t="str">
        <f t="shared" si="5"/>
        <v>0x20,</v>
      </c>
      <c r="AA35" s="75" t="str">
        <f t="shared" si="6"/>
        <v>0x01,</v>
      </c>
      <c r="AB35" s="75" t="str">
        <f t="shared" si="7"/>
        <v>0x00,</v>
      </c>
      <c r="AC35" s="76"/>
    </row>
    <row r="36" spans="1:29" x14ac:dyDescent="0.3">
      <c r="A36" s="79">
        <f t="shared" si="8"/>
        <v>114</v>
      </c>
      <c r="B36" s="80" t="str">
        <f t="shared" si="9"/>
        <v>72</v>
      </c>
      <c r="D36" s="29"/>
      <c r="F36" s="28">
        <v>1</v>
      </c>
      <c r="G36" s="24"/>
      <c r="H36" s="29"/>
      <c r="M36" s="14"/>
      <c r="O36" s="25" t="str" cm="1">
        <f t="array" ref="O36">BIN2HEX(IF(I36&lt;&gt;"",VLOOKUP(I36,Ops!$I$2:'Ops'!$J$13,2,FALSE),IF(ISNUMBER(SEARCH("BR",D36)),"001","000"))&amp;IF(D36&lt;&gt;"",VLOOKUP(D36,Ops!$B$2:'Ops'!$C$23,2,FALSE),"0")&amp;_xlfn.IFS(ISNUMBER(SEARCH("BR",D36)),VLOOKUP(D36,Ops!$B$3:'Ops'!$D$22,3,FALSE),F36&lt;&gt;"",VLOOKUP(F36,Ops!$R$2:'Ops'!$S$11,2),L36&lt;&gt;"",VLOOKUP(L36,Ops!$R$2:'Ops'!$S$25,2,FALSE),TRUE,"0000"),2)</f>
        <v>01</v>
      </c>
      <c r="P36" s="26" t="str">
        <f>RIGHT(IF($E36&lt;&gt;"",_xlfn.XLOOKUP($E36,$C$4:$C$681,$B$4:$B$681,"NO LABEL"),BIN2HEX(IF(N36="CarryEn","1","0")&amp;IF(M36="SubXY","1","0")&amp;IF(H36&lt;&gt;"",VLOOKUP(H36,Ops!$F$2:'Ops'!$G$20,2,FALSE),"000000"),2)),2)</f>
        <v>00</v>
      </c>
      <c r="Q36" s="26" t="str" cm="1">
        <f t="array" ref="Q36">BIN2HEX(_xlfn.IFS(D36="HWINTEN","10",G36="KeyAck","01",G36="InitLp8","01",TRUE,"00")&amp;IF(OR(Ops!$O$2:'Ops'!$O$13=K36),VLOOKUP(K36,Ops!$O$2:'Ops'!$P$13,2,FALSE),"000")&amp;IF(E36&lt;&gt;"",IF(LEN(_xlfn.XLOOKUP($E36,$C$5:$C$681,$B$5:$B$681,0))=3,HEX2BIN(LEFT(_xlfn.XLOOKUP($E36,$C$5:$C$681,$B$5:$B$681,0),1),3),IF(OR(Ops!$L$2:'Ops'!$L$11=J36),VLOOKUP(J36,Ops!$L$2:'Ops'!$M$11,2,FALSE),"000")),IF(OR(Ops!$L$2:'Ops'!$L$11=J36),VLOOKUP(J36,Ops!$L$2:'Ops'!$M$11,2,FALSE),"000")),2)</f>
        <v>00</v>
      </c>
      <c r="R36" s="27"/>
      <c r="S36" s="4" t="s">
        <v>594</v>
      </c>
      <c r="Z36" s="74" t="str">
        <f t="shared" si="5"/>
        <v>0x01,</v>
      </c>
      <c r="AA36" s="75" t="str">
        <f t="shared" si="6"/>
        <v>0x00,</v>
      </c>
      <c r="AB36" s="75" t="str">
        <f t="shared" si="7"/>
        <v>0x00,</v>
      </c>
      <c r="AC36" s="76"/>
    </row>
    <row r="37" spans="1:29" x14ac:dyDescent="0.3">
      <c r="A37" s="79">
        <f t="shared" si="8"/>
        <v>117</v>
      </c>
      <c r="B37" s="80" t="str">
        <f t="shared" si="9"/>
        <v>75</v>
      </c>
      <c r="D37" s="29"/>
      <c r="F37" s="28">
        <v>1</v>
      </c>
      <c r="G37" s="24"/>
      <c r="H37" s="29"/>
      <c r="M37" s="14"/>
      <c r="O37" s="25" t="str" cm="1">
        <f t="array" ref="O37">BIN2HEX(IF(I37&lt;&gt;"",VLOOKUP(I37,Ops!$I$2:'Ops'!$J$13,2,FALSE),IF(ISNUMBER(SEARCH("BR",D37)),"001","000"))&amp;IF(D37&lt;&gt;"",VLOOKUP(D37,Ops!$B$2:'Ops'!$C$23,2,FALSE),"0")&amp;_xlfn.IFS(ISNUMBER(SEARCH("BR",D37)),VLOOKUP(D37,Ops!$B$3:'Ops'!$D$22,3,FALSE),F37&lt;&gt;"",VLOOKUP(F37,Ops!$R$2:'Ops'!$S$11,2),L37&lt;&gt;"",VLOOKUP(L37,Ops!$R$2:'Ops'!$S$25,2,FALSE),TRUE,"0000"),2)</f>
        <v>01</v>
      </c>
      <c r="P37" s="26" t="str">
        <f>RIGHT(IF($E37&lt;&gt;"",_xlfn.XLOOKUP($E37,$C$4:$C$681,$B$4:$B$681,"NO LABEL"),BIN2HEX(IF(N37="CarryEn","1","0")&amp;IF(M37="SubXY","1","0")&amp;IF(H37&lt;&gt;"",VLOOKUP(H37,Ops!$F$2:'Ops'!$G$20,2,FALSE),"000000"),2)),2)</f>
        <v>00</v>
      </c>
      <c r="Q37" s="26" t="str" cm="1">
        <f t="array" ref="Q37">BIN2HEX(_xlfn.IFS(D37="HWINTEN","10",G37="KeyAck","01",G37="InitLp8","01",TRUE,"00")&amp;IF(OR(Ops!$O$2:'Ops'!$O$13=K37),VLOOKUP(K37,Ops!$O$2:'Ops'!$P$13,2,FALSE),"000")&amp;IF(E37&lt;&gt;"",IF(LEN(_xlfn.XLOOKUP($E37,$C$5:$C$681,$B$5:$B$681,0))=3,HEX2BIN(LEFT(_xlfn.XLOOKUP($E37,$C$5:$C$681,$B$5:$B$681,0),1),3),IF(OR(Ops!$L$2:'Ops'!$L$11=J37),VLOOKUP(J37,Ops!$L$2:'Ops'!$M$11,2,FALSE),"000")),IF(OR(Ops!$L$2:'Ops'!$L$11=J37),VLOOKUP(J37,Ops!$L$2:'Ops'!$M$11,2,FALSE),"000")),2)</f>
        <v>00</v>
      </c>
      <c r="R37" s="27"/>
      <c r="Z37" s="74" t="str">
        <f t="shared" si="5"/>
        <v>0x01,</v>
      </c>
      <c r="AA37" s="75" t="str">
        <f t="shared" si="6"/>
        <v>0x00,</v>
      </c>
      <c r="AB37" s="75" t="str">
        <f t="shared" si="7"/>
        <v>0x00,</v>
      </c>
      <c r="AC37" s="76"/>
    </row>
    <row r="38" spans="1:29" x14ac:dyDescent="0.3">
      <c r="A38" s="79">
        <f t="shared" si="8"/>
        <v>120</v>
      </c>
      <c r="B38" s="80" t="str">
        <f t="shared" si="9"/>
        <v>78</v>
      </c>
      <c r="D38" s="29"/>
      <c r="F38" s="28">
        <v>1</v>
      </c>
      <c r="G38" s="24"/>
      <c r="H38" s="29"/>
      <c r="M38" s="14"/>
      <c r="O38" s="25" t="str" cm="1">
        <f t="array" ref="O38">BIN2HEX(IF(I38&lt;&gt;"",VLOOKUP(I38,Ops!$I$2:'Ops'!$J$13,2,FALSE),IF(ISNUMBER(SEARCH("BR",D38)),"001","000"))&amp;IF(D38&lt;&gt;"",VLOOKUP(D38,Ops!$B$2:'Ops'!$C$23,2,FALSE),"0")&amp;_xlfn.IFS(ISNUMBER(SEARCH("BR",D38)),VLOOKUP(D38,Ops!$B$3:'Ops'!$D$22,3,FALSE),F38&lt;&gt;"",VLOOKUP(F38,Ops!$R$2:'Ops'!$S$11,2),L38&lt;&gt;"",VLOOKUP(L38,Ops!$R$2:'Ops'!$S$25,2,FALSE),TRUE,"0000"),2)</f>
        <v>01</v>
      </c>
      <c r="P38" s="26" t="str">
        <f>RIGHT(IF($E38&lt;&gt;"",_xlfn.XLOOKUP($E38,$C$4:$C$681,$B$4:$B$681,"NO LABEL"),BIN2HEX(IF(N38="CarryEn","1","0")&amp;IF(M38="SubXY","1","0")&amp;IF(H38&lt;&gt;"",VLOOKUP(H38,Ops!$F$2:'Ops'!$G$20,2,FALSE),"000000"),2)),2)</f>
        <v>00</v>
      </c>
      <c r="Q38" s="26" t="str" cm="1">
        <f t="array" ref="Q38">BIN2HEX(_xlfn.IFS(D38="HWINTEN","10",G38="KeyAck","01",G38="InitLp8","01",TRUE,"00")&amp;IF(OR(Ops!$O$2:'Ops'!$O$13=K38),VLOOKUP(K38,Ops!$O$2:'Ops'!$P$13,2,FALSE),"000")&amp;IF(E38&lt;&gt;"",IF(LEN(_xlfn.XLOOKUP($E38,$C$5:$C$681,$B$5:$B$681,0))=3,HEX2BIN(LEFT(_xlfn.XLOOKUP($E38,$C$5:$C$681,$B$5:$B$681,0),1),3),IF(OR(Ops!$L$2:'Ops'!$L$11=J38),VLOOKUP(J38,Ops!$L$2:'Ops'!$M$11,2,FALSE),"000")),IF(OR(Ops!$L$2:'Ops'!$L$11=J38),VLOOKUP(J38,Ops!$L$2:'Ops'!$M$11,2,FALSE),"000")),2)</f>
        <v>00</v>
      </c>
      <c r="R38" s="27"/>
      <c r="Z38" s="74" t="str">
        <f t="shared" si="5"/>
        <v>0x01,</v>
      </c>
      <c r="AA38" s="75" t="str">
        <f t="shared" si="6"/>
        <v>0x00,</v>
      </c>
      <c r="AB38" s="75" t="str">
        <f t="shared" si="7"/>
        <v>0x00,</v>
      </c>
      <c r="AC38" s="76"/>
    </row>
    <row r="39" spans="1:29" x14ac:dyDescent="0.3">
      <c r="A39" s="79">
        <f t="shared" si="8"/>
        <v>123</v>
      </c>
      <c r="B39" s="80" t="str">
        <f t="shared" si="9"/>
        <v>7B</v>
      </c>
      <c r="D39" s="29"/>
      <c r="F39" s="28">
        <v>1</v>
      </c>
      <c r="G39" s="24"/>
      <c r="H39" s="29"/>
      <c r="M39" s="14"/>
      <c r="O39" s="25" t="str" cm="1">
        <f t="array" ref="O39">BIN2HEX(IF(I39&lt;&gt;"",VLOOKUP(I39,Ops!$I$2:'Ops'!$J$13,2,FALSE),IF(ISNUMBER(SEARCH("BR",D39)),"001","000"))&amp;IF(D39&lt;&gt;"",VLOOKUP(D39,Ops!$B$2:'Ops'!$C$23,2,FALSE),"0")&amp;_xlfn.IFS(ISNUMBER(SEARCH("BR",D39)),VLOOKUP(D39,Ops!$B$3:'Ops'!$D$22,3,FALSE),F39&lt;&gt;"",VLOOKUP(F39,Ops!$R$2:'Ops'!$S$11,2),L39&lt;&gt;"",VLOOKUP(L39,Ops!$R$2:'Ops'!$S$25,2,FALSE),TRUE,"0000"),2)</f>
        <v>01</v>
      </c>
      <c r="P39" s="26" t="str">
        <f>RIGHT(IF($E39&lt;&gt;"",_xlfn.XLOOKUP($E39,$C$4:$C$681,$B$4:$B$681,"NO LABEL"),BIN2HEX(IF(N39="CarryEn","1","0")&amp;IF(M39="SubXY","1","0")&amp;IF(H39&lt;&gt;"",VLOOKUP(H39,Ops!$F$2:'Ops'!$G$20,2,FALSE),"000000"),2)),2)</f>
        <v>00</v>
      </c>
      <c r="Q39" s="26" t="str" cm="1">
        <f t="array" ref="Q39">BIN2HEX(_xlfn.IFS(D39="HWINTEN","10",G39="KeyAck","01",G39="InitLp8","01",TRUE,"00")&amp;IF(OR(Ops!$O$2:'Ops'!$O$13=K39),VLOOKUP(K39,Ops!$O$2:'Ops'!$P$13,2,FALSE),"000")&amp;IF(E39&lt;&gt;"",IF(LEN(_xlfn.XLOOKUP($E39,$C$5:$C$681,$B$5:$B$681,0))=3,HEX2BIN(LEFT(_xlfn.XLOOKUP($E39,$C$5:$C$681,$B$5:$B$681,0),1),3),IF(OR(Ops!$L$2:'Ops'!$L$11=J39),VLOOKUP(J39,Ops!$L$2:'Ops'!$M$11,2,FALSE),"000")),IF(OR(Ops!$L$2:'Ops'!$L$11=J39),VLOOKUP(J39,Ops!$L$2:'Ops'!$M$11,2,FALSE),"000")),2)</f>
        <v>00</v>
      </c>
      <c r="R39" s="27"/>
      <c r="Z39" s="74" t="str">
        <f t="shared" si="5"/>
        <v>0x01,</v>
      </c>
      <c r="AA39" s="75" t="str">
        <f t="shared" si="6"/>
        <v>0x00,</v>
      </c>
      <c r="AB39" s="75" t="str">
        <f t="shared" si="7"/>
        <v>0x00,</v>
      </c>
      <c r="AC39" s="76"/>
    </row>
    <row r="40" spans="1:29" x14ac:dyDescent="0.3">
      <c r="A40" s="79">
        <f t="shared" si="8"/>
        <v>126</v>
      </c>
      <c r="B40" s="80" t="str">
        <f t="shared" si="9"/>
        <v>7E</v>
      </c>
      <c r="D40" s="29"/>
      <c r="F40" s="28">
        <v>1</v>
      </c>
      <c r="G40" s="24"/>
      <c r="H40" s="29" t="s">
        <v>53</v>
      </c>
      <c r="I40" s="4" t="s">
        <v>478</v>
      </c>
      <c r="J40" s="4" t="s">
        <v>475</v>
      </c>
      <c r="M40" s="14"/>
      <c r="O40" s="25" t="str" cm="1">
        <f t="array" ref="O40">BIN2HEX(IF(I40&lt;&gt;"",VLOOKUP(I40,Ops!$I$2:'Ops'!$J$13,2,FALSE),IF(ISNUMBER(SEARCH("BR",D40)),"001","000"))&amp;IF(D40&lt;&gt;"",VLOOKUP(D40,Ops!$B$2:'Ops'!$C$23,2,FALSE),"0")&amp;_xlfn.IFS(ISNUMBER(SEARCH("BR",D40)),VLOOKUP(D40,Ops!$B$3:'Ops'!$D$22,3,FALSE),F40&lt;&gt;"",VLOOKUP(F40,Ops!$R$2:'Ops'!$S$11,2),L40&lt;&gt;"",VLOOKUP(L40,Ops!$R$2:'Ops'!$S$25,2,FALSE),TRUE,"0000"),2)</f>
        <v>21</v>
      </c>
      <c r="P40" s="26" t="str">
        <f>RIGHT(IF($E40&lt;&gt;"",_xlfn.XLOOKUP($E40,$C$4:$C$681,$B$4:$B$681,"NO LABEL"),BIN2HEX(IF(N40="CarryEn","1","0")&amp;IF(M40="SubXY","1","0")&amp;IF(H40&lt;&gt;"",VLOOKUP(H40,Ops!$F$2:'Ops'!$G$20,2,FALSE),"000000"),2)),2)</f>
        <v>01</v>
      </c>
      <c r="Q40" s="26" t="str" cm="1">
        <f t="array" ref="Q40">BIN2HEX(_xlfn.IFS(D40="HWINTEN","10",G40="KeyAck","01",G40="InitLp8","01",TRUE,"00")&amp;IF(OR(Ops!$O$2:'Ops'!$O$13=K40),VLOOKUP(K40,Ops!$O$2:'Ops'!$P$13,2,FALSE),"000")&amp;IF(E40&lt;&gt;"",IF(LEN(_xlfn.XLOOKUP($E40,$C$5:$C$681,$B$5:$B$681,0))=3,HEX2BIN(LEFT(_xlfn.XLOOKUP($E40,$C$5:$C$681,$B$5:$B$681,0),1),3),IF(OR(Ops!$L$2:'Ops'!$L$11=J40),VLOOKUP(J40,Ops!$L$2:'Ops'!$M$11,2,FALSE),"000")),IF(OR(Ops!$L$2:'Ops'!$L$11=J40),VLOOKUP(J40,Ops!$L$2:'Ops'!$M$11,2,FALSE),"000")),2)</f>
        <v>00</v>
      </c>
      <c r="R40" s="27"/>
      <c r="Z40" s="74" t="str">
        <f t="shared" si="5"/>
        <v>0x21,</v>
      </c>
      <c r="AA40" s="75" t="str">
        <f t="shared" si="6"/>
        <v>0x01,</v>
      </c>
      <c r="AB40" s="75" t="str">
        <f t="shared" si="7"/>
        <v>0x00,</v>
      </c>
      <c r="AC40" s="76"/>
    </row>
    <row r="41" spans="1:29" x14ac:dyDescent="0.3">
      <c r="A41" s="79">
        <f t="shared" si="8"/>
        <v>129</v>
      </c>
      <c r="B41" s="80" t="str">
        <f t="shared" si="9"/>
        <v>81</v>
      </c>
      <c r="D41" s="29"/>
      <c r="F41" s="28">
        <v>2</v>
      </c>
      <c r="G41" s="24"/>
      <c r="H41" s="29"/>
      <c r="M41" s="14"/>
      <c r="O41" s="25" t="str" cm="1">
        <f t="array" ref="O41">BIN2HEX(IF(I41&lt;&gt;"",VLOOKUP(I41,Ops!$I$2:'Ops'!$J$13,2,FALSE),IF(ISNUMBER(SEARCH("BR",D41)),"001","000"))&amp;IF(D41&lt;&gt;"",VLOOKUP(D41,Ops!$B$2:'Ops'!$C$23,2,FALSE),"0")&amp;_xlfn.IFS(ISNUMBER(SEARCH("BR",D41)),VLOOKUP(D41,Ops!$B$3:'Ops'!$D$22,3,FALSE),F41&lt;&gt;"",VLOOKUP(F41,Ops!$R$2:'Ops'!$S$11,2),L41&lt;&gt;"",VLOOKUP(L41,Ops!$R$2:'Ops'!$S$25,2,FALSE),TRUE,"0000"),2)</f>
        <v>02</v>
      </c>
      <c r="P41" s="26" t="str">
        <f>RIGHT(IF($E41&lt;&gt;"",_xlfn.XLOOKUP($E41,$C$4:$C$681,$B$4:$B$681,"NO LABEL"),BIN2HEX(IF(N41="CarryEn","1","0")&amp;IF(M41="SubXY","1","0")&amp;IF(H41&lt;&gt;"",VLOOKUP(H41,Ops!$F$2:'Ops'!$G$20,2,FALSE),"000000"),2)),2)</f>
        <v>00</v>
      </c>
      <c r="Q41" s="26" t="str" cm="1">
        <f t="array" ref="Q41">BIN2HEX(_xlfn.IFS(D41="HWINTEN","10",G41="KeyAck","01",G41="InitLp8","01",TRUE,"00")&amp;IF(OR(Ops!$O$2:'Ops'!$O$13=K41),VLOOKUP(K41,Ops!$O$2:'Ops'!$P$13,2,FALSE),"000")&amp;IF(E41&lt;&gt;"",IF(LEN(_xlfn.XLOOKUP($E41,$C$5:$C$681,$B$5:$B$681,0))=3,HEX2BIN(LEFT(_xlfn.XLOOKUP($E41,$C$5:$C$681,$B$5:$B$681,0),1),3),IF(OR(Ops!$L$2:'Ops'!$L$11=J41),VLOOKUP(J41,Ops!$L$2:'Ops'!$M$11,2,FALSE),"000")),IF(OR(Ops!$L$2:'Ops'!$L$11=J41),VLOOKUP(J41,Ops!$L$2:'Ops'!$M$11,2,FALSE),"000")),2)</f>
        <v>00</v>
      </c>
      <c r="R41" s="27"/>
      <c r="Z41" s="74" t="str">
        <f t="shared" si="5"/>
        <v>0x02,</v>
      </c>
      <c r="AA41" s="75" t="str">
        <f t="shared" si="6"/>
        <v>0x00,</v>
      </c>
      <c r="AB41" s="75" t="str">
        <f t="shared" si="7"/>
        <v>0x00,</v>
      </c>
      <c r="AC41" s="76"/>
    </row>
    <row r="42" spans="1:29" x14ac:dyDescent="0.3">
      <c r="A42" s="79">
        <f t="shared" si="8"/>
        <v>132</v>
      </c>
      <c r="B42" s="80" t="str">
        <f t="shared" si="9"/>
        <v>84</v>
      </c>
      <c r="D42" s="29"/>
      <c r="F42" s="28">
        <v>2</v>
      </c>
      <c r="G42" s="24"/>
      <c r="H42" s="29"/>
      <c r="M42" s="14"/>
      <c r="O42" s="25" t="str" cm="1">
        <f t="array" ref="O42">BIN2HEX(IF(I42&lt;&gt;"",VLOOKUP(I42,Ops!$I$2:'Ops'!$J$13,2,FALSE),IF(ISNUMBER(SEARCH("BR",D42)),"001","000"))&amp;IF(D42&lt;&gt;"",VLOOKUP(D42,Ops!$B$2:'Ops'!$C$23,2,FALSE),"0")&amp;_xlfn.IFS(ISNUMBER(SEARCH("BR",D42)),VLOOKUP(D42,Ops!$B$3:'Ops'!$D$22,3,FALSE),F42&lt;&gt;"",VLOOKUP(F42,Ops!$R$2:'Ops'!$S$11,2),L42&lt;&gt;"",VLOOKUP(L42,Ops!$R$2:'Ops'!$S$25,2,FALSE),TRUE,"0000"),2)</f>
        <v>02</v>
      </c>
      <c r="P42" s="26" t="str">
        <f>RIGHT(IF($E42&lt;&gt;"",_xlfn.XLOOKUP($E42,$C$4:$C$681,$B$4:$B$681,"NO LABEL"),BIN2HEX(IF(N42="CarryEn","1","0")&amp;IF(M42="SubXY","1","0")&amp;IF(H42&lt;&gt;"",VLOOKUP(H42,Ops!$F$2:'Ops'!$G$20,2,FALSE),"000000"),2)),2)</f>
        <v>00</v>
      </c>
      <c r="Q42" s="26" t="str" cm="1">
        <f t="array" ref="Q42">BIN2HEX(_xlfn.IFS(D42="HWINTEN","10",G42="KeyAck","01",G42="InitLp8","01",TRUE,"00")&amp;IF(OR(Ops!$O$2:'Ops'!$O$13=K42),VLOOKUP(K42,Ops!$O$2:'Ops'!$P$13,2,FALSE),"000")&amp;IF(E42&lt;&gt;"",IF(LEN(_xlfn.XLOOKUP($E42,$C$5:$C$681,$B$5:$B$681,0))=3,HEX2BIN(LEFT(_xlfn.XLOOKUP($E42,$C$5:$C$681,$B$5:$B$681,0),1),3),IF(OR(Ops!$L$2:'Ops'!$L$11=J42),VLOOKUP(J42,Ops!$L$2:'Ops'!$M$11,2,FALSE),"000")),IF(OR(Ops!$L$2:'Ops'!$L$11=J42),VLOOKUP(J42,Ops!$L$2:'Ops'!$M$11,2,FALSE),"000")),2)</f>
        <v>00</v>
      </c>
      <c r="R42" s="27"/>
      <c r="Z42" s="74" t="str">
        <f t="shared" si="5"/>
        <v>0x02,</v>
      </c>
      <c r="AA42" s="75" t="str">
        <f t="shared" si="6"/>
        <v>0x00,</v>
      </c>
      <c r="AB42" s="75" t="str">
        <f t="shared" si="7"/>
        <v>0x00,</v>
      </c>
      <c r="AC42" s="76"/>
    </row>
    <row r="43" spans="1:29" x14ac:dyDescent="0.3">
      <c r="A43" s="79">
        <f t="shared" si="8"/>
        <v>135</v>
      </c>
      <c r="B43" s="80" t="str">
        <f t="shared" si="9"/>
        <v>87</v>
      </c>
      <c r="D43" s="29"/>
      <c r="F43" s="28">
        <v>2</v>
      </c>
      <c r="G43" s="24"/>
      <c r="H43" s="29"/>
      <c r="M43" s="14"/>
      <c r="O43" s="25" t="str" cm="1">
        <f t="array" ref="O43">BIN2HEX(IF(I43&lt;&gt;"",VLOOKUP(I43,Ops!$I$2:'Ops'!$J$13,2,FALSE),IF(ISNUMBER(SEARCH("BR",D43)),"001","000"))&amp;IF(D43&lt;&gt;"",VLOOKUP(D43,Ops!$B$2:'Ops'!$C$23,2,FALSE),"0")&amp;_xlfn.IFS(ISNUMBER(SEARCH("BR",D43)),VLOOKUP(D43,Ops!$B$3:'Ops'!$D$22,3,FALSE),F43&lt;&gt;"",VLOOKUP(F43,Ops!$R$2:'Ops'!$S$11,2),L43&lt;&gt;"",VLOOKUP(L43,Ops!$R$2:'Ops'!$S$25,2,FALSE),TRUE,"0000"),2)</f>
        <v>02</v>
      </c>
      <c r="P43" s="26" t="str">
        <f>RIGHT(IF($E43&lt;&gt;"",_xlfn.XLOOKUP($E43,$C$4:$C$681,$B$4:$B$681,"NO LABEL"),BIN2HEX(IF(N43="CarryEn","1","0")&amp;IF(M43="SubXY","1","0")&amp;IF(H43&lt;&gt;"",VLOOKUP(H43,Ops!$F$2:'Ops'!$G$20,2,FALSE),"000000"),2)),2)</f>
        <v>00</v>
      </c>
      <c r="Q43" s="26" t="str" cm="1">
        <f t="array" ref="Q43">BIN2HEX(_xlfn.IFS(D43="HWINTEN","10",G43="KeyAck","01",G43="InitLp8","01",TRUE,"00")&amp;IF(OR(Ops!$O$2:'Ops'!$O$13=K43),VLOOKUP(K43,Ops!$O$2:'Ops'!$P$13,2,FALSE),"000")&amp;IF(E43&lt;&gt;"",IF(LEN(_xlfn.XLOOKUP($E43,$C$5:$C$681,$B$5:$B$681,0))=3,HEX2BIN(LEFT(_xlfn.XLOOKUP($E43,$C$5:$C$681,$B$5:$B$681,0),1),3),IF(OR(Ops!$L$2:'Ops'!$L$11=J43),VLOOKUP(J43,Ops!$L$2:'Ops'!$M$11,2,FALSE),"000")),IF(OR(Ops!$L$2:'Ops'!$L$11=J43),VLOOKUP(J43,Ops!$L$2:'Ops'!$M$11,2,FALSE),"000")),2)</f>
        <v>00</v>
      </c>
      <c r="R43" s="27"/>
      <c r="Z43" s="74" t="str">
        <f t="shared" si="5"/>
        <v>0x02,</v>
      </c>
      <c r="AA43" s="75" t="str">
        <f t="shared" si="6"/>
        <v>0x00,</v>
      </c>
      <c r="AB43" s="75" t="str">
        <f t="shared" si="7"/>
        <v>0x00,</v>
      </c>
      <c r="AC43" s="76"/>
    </row>
    <row r="44" spans="1:29" x14ac:dyDescent="0.3">
      <c r="A44" s="79">
        <f t="shared" si="8"/>
        <v>138</v>
      </c>
      <c r="B44" s="80" t="str">
        <f t="shared" si="9"/>
        <v>8A</v>
      </c>
      <c r="D44" s="29"/>
      <c r="F44" s="28">
        <v>2</v>
      </c>
      <c r="G44" s="24"/>
      <c r="H44" s="29"/>
      <c r="M44" s="14"/>
      <c r="O44" s="25" t="str" cm="1">
        <f t="array" ref="O44">BIN2HEX(IF(I44&lt;&gt;"",VLOOKUP(I44,Ops!$I$2:'Ops'!$J$13,2,FALSE),IF(ISNUMBER(SEARCH("BR",D44)),"001","000"))&amp;IF(D44&lt;&gt;"",VLOOKUP(D44,Ops!$B$2:'Ops'!$C$23,2,FALSE),"0")&amp;_xlfn.IFS(ISNUMBER(SEARCH("BR",D44)),VLOOKUP(D44,Ops!$B$3:'Ops'!$D$22,3,FALSE),F44&lt;&gt;"",VLOOKUP(F44,Ops!$R$2:'Ops'!$S$11,2),L44&lt;&gt;"",VLOOKUP(L44,Ops!$R$2:'Ops'!$S$25,2,FALSE),TRUE,"0000"),2)</f>
        <v>02</v>
      </c>
      <c r="P44" s="26" t="str">
        <f>RIGHT(IF($E44&lt;&gt;"",_xlfn.XLOOKUP($E44,$C$4:$C$681,$B$4:$B$681,"NO LABEL"),BIN2HEX(IF(N44="CarryEn","1","0")&amp;IF(M44="SubXY","1","0")&amp;IF(H44&lt;&gt;"",VLOOKUP(H44,Ops!$F$2:'Ops'!$G$20,2,FALSE),"000000"),2)),2)</f>
        <v>00</v>
      </c>
      <c r="Q44" s="26" t="str" cm="1">
        <f t="array" ref="Q44">BIN2HEX(_xlfn.IFS(D44="HWINTEN","10",G44="KeyAck","01",G44="InitLp8","01",TRUE,"00")&amp;IF(OR(Ops!$O$2:'Ops'!$O$13=K44),VLOOKUP(K44,Ops!$O$2:'Ops'!$P$13,2,FALSE),"000")&amp;IF(E44&lt;&gt;"",IF(LEN(_xlfn.XLOOKUP($E44,$C$5:$C$681,$B$5:$B$681,0))=3,HEX2BIN(LEFT(_xlfn.XLOOKUP($E44,$C$5:$C$681,$B$5:$B$681,0),1),3),IF(OR(Ops!$L$2:'Ops'!$L$11=J44),VLOOKUP(J44,Ops!$L$2:'Ops'!$M$11,2,FALSE),"000")),IF(OR(Ops!$L$2:'Ops'!$L$11=J44),VLOOKUP(J44,Ops!$L$2:'Ops'!$M$11,2,FALSE),"000")),2)</f>
        <v>00</v>
      </c>
      <c r="R44" s="27"/>
      <c r="Z44" s="74" t="str">
        <f t="shared" si="5"/>
        <v>0x02,</v>
      </c>
      <c r="AA44" s="75" t="str">
        <f t="shared" si="6"/>
        <v>0x00,</v>
      </c>
      <c r="AB44" s="75" t="str">
        <f t="shared" si="7"/>
        <v>0x00,</v>
      </c>
      <c r="AC44" s="76"/>
    </row>
    <row r="45" spans="1:29" x14ac:dyDescent="0.3">
      <c r="A45" s="79">
        <f t="shared" si="8"/>
        <v>141</v>
      </c>
      <c r="B45" s="80" t="str">
        <f t="shared" si="9"/>
        <v>8D</v>
      </c>
      <c r="D45" s="29"/>
      <c r="F45" s="28">
        <v>2</v>
      </c>
      <c r="G45" s="24"/>
      <c r="H45" s="29" t="s">
        <v>53</v>
      </c>
      <c r="I45" s="4" t="s">
        <v>478</v>
      </c>
      <c r="J45" s="4" t="s">
        <v>475</v>
      </c>
      <c r="M45" s="14"/>
      <c r="O45" s="25" t="str" cm="1">
        <f t="array" ref="O45">BIN2HEX(IF(I45&lt;&gt;"",VLOOKUP(I45,Ops!$I$2:'Ops'!$J$13,2,FALSE),IF(ISNUMBER(SEARCH("BR",D45)),"001","000"))&amp;IF(D45&lt;&gt;"",VLOOKUP(D45,Ops!$B$2:'Ops'!$C$23,2,FALSE),"0")&amp;_xlfn.IFS(ISNUMBER(SEARCH("BR",D45)),VLOOKUP(D45,Ops!$B$3:'Ops'!$D$22,3,FALSE),F45&lt;&gt;"",VLOOKUP(F45,Ops!$R$2:'Ops'!$S$11,2),L45&lt;&gt;"",VLOOKUP(L45,Ops!$R$2:'Ops'!$S$25,2,FALSE),TRUE,"0000"),2)</f>
        <v>22</v>
      </c>
      <c r="P45" s="26" t="str">
        <f>RIGHT(IF($E45&lt;&gt;"",_xlfn.XLOOKUP($E45,$C$4:$C$681,$B$4:$B$681,"NO LABEL"),BIN2HEX(IF(N45="CarryEn","1","0")&amp;IF(M45="SubXY","1","0")&amp;IF(H45&lt;&gt;"",VLOOKUP(H45,Ops!$F$2:'Ops'!$G$20,2,FALSE),"000000"),2)),2)</f>
        <v>01</v>
      </c>
      <c r="Q45" s="26" t="str" cm="1">
        <f t="array" ref="Q45">BIN2HEX(_xlfn.IFS(D45="HWINTEN","10",G45="KeyAck","01",G45="InitLp8","01",TRUE,"00")&amp;IF(OR(Ops!$O$2:'Ops'!$O$13=K45),VLOOKUP(K45,Ops!$O$2:'Ops'!$P$13,2,FALSE),"000")&amp;IF(E45&lt;&gt;"",IF(LEN(_xlfn.XLOOKUP($E45,$C$5:$C$681,$B$5:$B$681,0))=3,HEX2BIN(LEFT(_xlfn.XLOOKUP($E45,$C$5:$C$681,$B$5:$B$681,0),1),3),IF(OR(Ops!$L$2:'Ops'!$L$11=J45),VLOOKUP(J45,Ops!$L$2:'Ops'!$M$11,2,FALSE),"000")),IF(OR(Ops!$L$2:'Ops'!$L$11=J45),VLOOKUP(J45,Ops!$L$2:'Ops'!$M$11,2,FALSE),"000")),2)</f>
        <v>00</v>
      </c>
      <c r="R45" s="27"/>
      <c r="Z45" s="74" t="str">
        <f t="shared" si="5"/>
        <v>0x22,</v>
      </c>
      <c r="AA45" s="75" t="str">
        <f t="shared" si="6"/>
        <v>0x01,</v>
      </c>
      <c r="AB45" s="75" t="str">
        <f t="shared" si="7"/>
        <v>0x00,</v>
      </c>
      <c r="AC45" s="76"/>
    </row>
    <row r="46" spans="1:29" x14ac:dyDescent="0.3">
      <c r="A46" s="79">
        <f t="shared" si="8"/>
        <v>144</v>
      </c>
      <c r="B46" s="80" t="str">
        <f t="shared" si="9"/>
        <v>90</v>
      </c>
      <c r="D46" s="29"/>
      <c r="F46" s="28">
        <v>3</v>
      </c>
      <c r="G46" s="24"/>
      <c r="H46" s="29"/>
      <c r="M46" s="14"/>
      <c r="O46" s="25" t="str" cm="1">
        <f t="array" ref="O46">BIN2HEX(IF(I46&lt;&gt;"",VLOOKUP(I46,Ops!$I$2:'Ops'!$J$13,2,FALSE),IF(ISNUMBER(SEARCH("BR",D46)),"001","000"))&amp;IF(D46&lt;&gt;"",VLOOKUP(D46,Ops!$B$2:'Ops'!$C$23,2,FALSE),"0")&amp;_xlfn.IFS(ISNUMBER(SEARCH("BR",D46)),VLOOKUP(D46,Ops!$B$3:'Ops'!$D$22,3,FALSE),F46&lt;&gt;"",VLOOKUP(F46,Ops!$R$2:'Ops'!$S$11,2),L46&lt;&gt;"",VLOOKUP(L46,Ops!$R$2:'Ops'!$S$25,2,FALSE),TRUE,"0000"),2)</f>
        <v>03</v>
      </c>
      <c r="P46" s="26" t="str">
        <f>RIGHT(IF($E46&lt;&gt;"",_xlfn.XLOOKUP($E46,$C$4:$C$681,$B$4:$B$681,"NO LABEL"),BIN2HEX(IF(N46="CarryEn","1","0")&amp;IF(M46="SubXY","1","0")&amp;IF(H46&lt;&gt;"",VLOOKUP(H46,Ops!$F$2:'Ops'!$G$20,2,FALSE),"000000"),2)),2)</f>
        <v>00</v>
      </c>
      <c r="Q46" s="26" t="str" cm="1">
        <f t="array" ref="Q46">BIN2HEX(_xlfn.IFS(D46="HWINTEN","10",G46="KeyAck","01",G46="InitLp8","01",TRUE,"00")&amp;IF(OR(Ops!$O$2:'Ops'!$O$13=K46),VLOOKUP(K46,Ops!$O$2:'Ops'!$P$13,2,FALSE),"000")&amp;IF(E46&lt;&gt;"",IF(LEN(_xlfn.XLOOKUP($E46,$C$5:$C$681,$B$5:$B$681,0))=3,HEX2BIN(LEFT(_xlfn.XLOOKUP($E46,$C$5:$C$681,$B$5:$B$681,0),1),3),IF(OR(Ops!$L$2:'Ops'!$L$11=J46),VLOOKUP(J46,Ops!$L$2:'Ops'!$M$11,2,FALSE),"000")),IF(OR(Ops!$L$2:'Ops'!$L$11=J46),VLOOKUP(J46,Ops!$L$2:'Ops'!$M$11,2,FALSE),"000")),2)</f>
        <v>00</v>
      </c>
      <c r="R46" s="27"/>
      <c r="Z46" s="74" t="str">
        <f t="shared" si="5"/>
        <v>0x03,</v>
      </c>
      <c r="AA46" s="75" t="str">
        <f t="shared" si="6"/>
        <v>0x00,</v>
      </c>
      <c r="AB46" s="75" t="str">
        <f t="shared" si="7"/>
        <v>0x00,</v>
      </c>
      <c r="AC46" s="76"/>
    </row>
    <row r="47" spans="1:29" x14ac:dyDescent="0.3">
      <c r="A47" s="79">
        <f t="shared" si="8"/>
        <v>147</v>
      </c>
      <c r="B47" s="80" t="str">
        <f t="shared" si="9"/>
        <v>93</v>
      </c>
      <c r="D47" s="29"/>
      <c r="F47" s="28">
        <v>3</v>
      </c>
      <c r="G47" s="24"/>
      <c r="H47" s="29"/>
      <c r="M47" s="14"/>
      <c r="O47" s="25" t="str" cm="1">
        <f t="array" ref="O47">BIN2HEX(IF(I47&lt;&gt;"",VLOOKUP(I47,Ops!$I$2:'Ops'!$J$13,2,FALSE),IF(ISNUMBER(SEARCH("BR",D47)),"001","000"))&amp;IF(D47&lt;&gt;"",VLOOKUP(D47,Ops!$B$2:'Ops'!$C$23,2,FALSE),"0")&amp;_xlfn.IFS(ISNUMBER(SEARCH("BR",D47)),VLOOKUP(D47,Ops!$B$3:'Ops'!$D$22,3,FALSE),F47&lt;&gt;"",VLOOKUP(F47,Ops!$R$2:'Ops'!$S$11,2),L47&lt;&gt;"",VLOOKUP(L47,Ops!$R$2:'Ops'!$S$25,2,FALSE),TRUE,"0000"),2)</f>
        <v>03</v>
      </c>
      <c r="P47" s="26" t="str">
        <f>RIGHT(IF($E47&lt;&gt;"",_xlfn.XLOOKUP($E47,$C$4:$C$681,$B$4:$B$681,"NO LABEL"),BIN2HEX(IF(N47="CarryEn","1","0")&amp;IF(M47="SubXY","1","0")&amp;IF(H47&lt;&gt;"",VLOOKUP(H47,Ops!$F$2:'Ops'!$G$20,2,FALSE),"000000"),2)),2)</f>
        <v>00</v>
      </c>
      <c r="Q47" s="26" t="str" cm="1">
        <f t="array" ref="Q47">BIN2HEX(_xlfn.IFS(D47="HWINTEN","10",G47="KeyAck","01",G47="InitLp8","01",TRUE,"00")&amp;IF(OR(Ops!$O$2:'Ops'!$O$13=K47),VLOOKUP(K47,Ops!$O$2:'Ops'!$P$13,2,FALSE),"000")&amp;IF(E47&lt;&gt;"",IF(LEN(_xlfn.XLOOKUP($E47,$C$5:$C$681,$B$5:$B$681,0))=3,HEX2BIN(LEFT(_xlfn.XLOOKUP($E47,$C$5:$C$681,$B$5:$B$681,0),1),3),IF(OR(Ops!$L$2:'Ops'!$L$11=J47),VLOOKUP(J47,Ops!$L$2:'Ops'!$M$11,2,FALSE),"000")),IF(OR(Ops!$L$2:'Ops'!$L$11=J47),VLOOKUP(J47,Ops!$L$2:'Ops'!$M$11,2,FALSE),"000")),2)</f>
        <v>00</v>
      </c>
      <c r="R47" s="27"/>
      <c r="Z47" s="74" t="str">
        <f t="shared" si="5"/>
        <v>0x03,</v>
      </c>
      <c r="AA47" s="75" t="str">
        <f t="shared" si="6"/>
        <v>0x00,</v>
      </c>
      <c r="AB47" s="75" t="str">
        <f t="shared" si="7"/>
        <v>0x00,</v>
      </c>
      <c r="AC47" s="76"/>
    </row>
    <row r="48" spans="1:29" x14ac:dyDescent="0.3">
      <c r="A48" s="79">
        <f t="shared" si="8"/>
        <v>150</v>
      </c>
      <c r="B48" s="80" t="str">
        <f t="shared" si="9"/>
        <v>96</v>
      </c>
      <c r="D48" s="29"/>
      <c r="F48" s="28">
        <v>3</v>
      </c>
      <c r="G48" s="24"/>
      <c r="H48" s="29"/>
      <c r="M48" s="14"/>
      <c r="O48" s="25" t="str" cm="1">
        <f t="array" ref="O48">BIN2HEX(IF(I48&lt;&gt;"",VLOOKUP(I48,Ops!$I$2:'Ops'!$J$13,2,FALSE),IF(ISNUMBER(SEARCH("BR",D48)),"001","000"))&amp;IF(D48&lt;&gt;"",VLOOKUP(D48,Ops!$B$2:'Ops'!$C$23,2,FALSE),"0")&amp;_xlfn.IFS(ISNUMBER(SEARCH("BR",D48)),VLOOKUP(D48,Ops!$B$3:'Ops'!$D$22,3,FALSE),F48&lt;&gt;"",VLOOKUP(F48,Ops!$R$2:'Ops'!$S$11,2),L48&lt;&gt;"",VLOOKUP(L48,Ops!$R$2:'Ops'!$S$25,2,FALSE),TRUE,"0000"),2)</f>
        <v>03</v>
      </c>
      <c r="P48" s="26" t="str">
        <f>RIGHT(IF($E48&lt;&gt;"",_xlfn.XLOOKUP($E48,$C$4:$C$681,$B$4:$B$681,"NO LABEL"),BIN2HEX(IF(N48="CarryEn","1","0")&amp;IF(M48="SubXY","1","0")&amp;IF(H48&lt;&gt;"",VLOOKUP(H48,Ops!$F$2:'Ops'!$G$20,2,FALSE),"000000"),2)),2)</f>
        <v>00</v>
      </c>
      <c r="Q48" s="26" t="str" cm="1">
        <f t="array" ref="Q48">BIN2HEX(_xlfn.IFS(D48="HWINTEN","10",G48="KeyAck","01",G48="InitLp8","01",TRUE,"00")&amp;IF(OR(Ops!$O$2:'Ops'!$O$13=K48),VLOOKUP(K48,Ops!$O$2:'Ops'!$P$13,2,FALSE),"000")&amp;IF(E48&lt;&gt;"",IF(LEN(_xlfn.XLOOKUP($E48,$C$5:$C$681,$B$5:$B$681,0))=3,HEX2BIN(LEFT(_xlfn.XLOOKUP($E48,$C$5:$C$681,$B$5:$B$681,0),1),3),IF(OR(Ops!$L$2:'Ops'!$L$11=J48),VLOOKUP(J48,Ops!$L$2:'Ops'!$M$11,2,FALSE),"000")),IF(OR(Ops!$L$2:'Ops'!$L$11=J48),VLOOKUP(J48,Ops!$L$2:'Ops'!$M$11,2,FALSE),"000")),2)</f>
        <v>00</v>
      </c>
      <c r="R48" s="27"/>
      <c r="Z48" s="74" t="str">
        <f t="shared" si="5"/>
        <v>0x03,</v>
      </c>
      <c r="AA48" s="75" t="str">
        <f t="shared" si="6"/>
        <v>0x00,</v>
      </c>
      <c r="AB48" s="75" t="str">
        <f t="shared" si="7"/>
        <v>0x00,</v>
      </c>
      <c r="AC48" s="76"/>
    </row>
    <row r="49" spans="1:29" x14ac:dyDescent="0.3">
      <c r="A49" s="79">
        <f t="shared" si="8"/>
        <v>153</v>
      </c>
      <c r="B49" s="80" t="str">
        <f t="shared" si="9"/>
        <v>99</v>
      </c>
      <c r="D49" s="29"/>
      <c r="F49" s="28">
        <v>3</v>
      </c>
      <c r="G49" s="24"/>
      <c r="H49" s="29"/>
      <c r="M49" s="14"/>
      <c r="O49" s="25" t="str" cm="1">
        <f t="array" ref="O49">BIN2HEX(IF(I49&lt;&gt;"",VLOOKUP(I49,Ops!$I$2:'Ops'!$J$13,2,FALSE),IF(ISNUMBER(SEARCH("BR",D49)),"001","000"))&amp;IF(D49&lt;&gt;"",VLOOKUP(D49,Ops!$B$2:'Ops'!$C$23,2,FALSE),"0")&amp;_xlfn.IFS(ISNUMBER(SEARCH("BR",D49)),VLOOKUP(D49,Ops!$B$3:'Ops'!$D$22,3,FALSE),F49&lt;&gt;"",VLOOKUP(F49,Ops!$R$2:'Ops'!$S$11,2),L49&lt;&gt;"",VLOOKUP(L49,Ops!$R$2:'Ops'!$S$25,2,FALSE),TRUE,"0000"),2)</f>
        <v>03</v>
      </c>
      <c r="P49" s="26" t="str">
        <f>RIGHT(IF($E49&lt;&gt;"",_xlfn.XLOOKUP($E49,$C$4:$C$681,$B$4:$B$681,"NO LABEL"),BIN2HEX(IF(N49="CarryEn","1","0")&amp;IF(M49="SubXY","1","0")&amp;IF(H49&lt;&gt;"",VLOOKUP(H49,Ops!$F$2:'Ops'!$G$20,2,FALSE),"000000"),2)),2)</f>
        <v>00</v>
      </c>
      <c r="Q49" s="26" t="str" cm="1">
        <f t="array" ref="Q49">BIN2HEX(_xlfn.IFS(D49="HWINTEN","10",G49="KeyAck","01",G49="InitLp8","01",TRUE,"00")&amp;IF(OR(Ops!$O$2:'Ops'!$O$13=K49),VLOOKUP(K49,Ops!$O$2:'Ops'!$P$13,2,FALSE),"000")&amp;IF(E49&lt;&gt;"",IF(LEN(_xlfn.XLOOKUP($E49,$C$5:$C$681,$B$5:$B$681,0))=3,HEX2BIN(LEFT(_xlfn.XLOOKUP($E49,$C$5:$C$681,$B$5:$B$681,0),1),3),IF(OR(Ops!$L$2:'Ops'!$L$11=J49),VLOOKUP(J49,Ops!$L$2:'Ops'!$M$11,2,FALSE),"000")),IF(OR(Ops!$L$2:'Ops'!$L$11=J49),VLOOKUP(J49,Ops!$L$2:'Ops'!$M$11,2,FALSE),"000")),2)</f>
        <v>00</v>
      </c>
      <c r="R49" s="27"/>
      <c r="Z49" s="74" t="str">
        <f t="shared" si="5"/>
        <v>0x03,</v>
      </c>
      <c r="AA49" s="75" t="str">
        <f t="shared" si="6"/>
        <v>0x00,</v>
      </c>
      <c r="AB49" s="75" t="str">
        <f t="shared" si="7"/>
        <v>0x00,</v>
      </c>
      <c r="AC49" s="76"/>
    </row>
    <row r="50" spans="1:29" x14ac:dyDescent="0.3">
      <c r="A50" s="79">
        <f t="shared" si="8"/>
        <v>156</v>
      </c>
      <c r="B50" s="80" t="str">
        <f t="shared" si="9"/>
        <v>9C</v>
      </c>
      <c r="D50" s="29"/>
      <c r="F50" s="28">
        <v>3</v>
      </c>
      <c r="G50" s="24"/>
      <c r="H50" s="29" t="s">
        <v>53</v>
      </c>
      <c r="I50" s="4" t="s">
        <v>478</v>
      </c>
      <c r="J50" s="4" t="s">
        <v>475</v>
      </c>
      <c r="M50" s="14"/>
      <c r="O50" s="25" t="str" cm="1">
        <f t="array" ref="O50">BIN2HEX(IF(I50&lt;&gt;"",VLOOKUP(I50,Ops!$I$2:'Ops'!$J$13,2,FALSE),IF(ISNUMBER(SEARCH("BR",D50)),"001","000"))&amp;IF(D50&lt;&gt;"",VLOOKUP(D50,Ops!$B$2:'Ops'!$C$23,2,FALSE),"0")&amp;_xlfn.IFS(ISNUMBER(SEARCH("BR",D50)),VLOOKUP(D50,Ops!$B$3:'Ops'!$D$22,3,FALSE),F50&lt;&gt;"",VLOOKUP(F50,Ops!$R$2:'Ops'!$S$11,2),L50&lt;&gt;"",VLOOKUP(L50,Ops!$R$2:'Ops'!$S$25,2,FALSE),TRUE,"0000"),2)</f>
        <v>23</v>
      </c>
      <c r="P50" s="26" t="str">
        <f>RIGHT(IF($E50&lt;&gt;"",_xlfn.XLOOKUP($E50,$C$4:$C$681,$B$4:$B$681,"NO LABEL"),BIN2HEX(IF(N50="CarryEn","1","0")&amp;IF(M50="SubXY","1","0")&amp;IF(H50&lt;&gt;"",VLOOKUP(H50,Ops!$F$2:'Ops'!$G$20,2,FALSE),"000000"),2)),2)</f>
        <v>01</v>
      </c>
      <c r="Q50" s="26" t="str" cm="1">
        <f t="array" ref="Q50">BIN2HEX(_xlfn.IFS(D50="HWINTEN","10",G50="KeyAck","01",G50="InitLp8","01",TRUE,"00")&amp;IF(OR(Ops!$O$2:'Ops'!$O$13=K50),VLOOKUP(K50,Ops!$O$2:'Ops'!$P$13,2,FALSE),"000")&amp;IF(E50&lt;&gt;"",IF(LEN(_xlfn.XLOOKUP($E50,$C$5:$C$681,$B$5:$B$681,0))=3,HEX2BIN(LEFT(_xlfn.XLOOKUP($E50,$C$5:$C$681,$B$5:$B$681,0),1),3),IF(OR(Ops!$L$2:'Ops'!$L$11=J50),VLOOKUP(J50,Ops!$L$2:'Ops'!$M$11,2,FALSE),"000")),IF(OR(Ops!$L$2:'Ops'!$L$11=J50),VLOOKUP(J50,Ops!$L$2:'Ops'!$M$11,2,FALSE),"000")),2)</f>
        <v>00</v>
      </c>
      <c r="R50" s="27"/>
      <c r="Z50" s="74" t="str">
        <f t="shared" si="5"/>
        <v>0x23,</v>
      </c>
      <c r="AA50" s="75" t="str">
        <f t="shared" si="6"/>
        <v>0x01,</v>
      </c>
      <c r="AB50" s="75" t="str">
        <f t="shared" si="7"/>
        <v>0x00,</v>
      </c>
      <c r="AC50" s="76"/>
    </row>
    <row r="51" spans="1:29" x14ac:dyDescent="0.3">
      <c r="A51" s="79">
        <f t="shared" si="8"/>
        <v>159</v>
      </c>
      <c r="B51" s="80" t="str">
        <f t="shared" si="9"/>
        <v>9F</v>
      </c>
      <c r="D51" s="29"/>
      <c r="F51" s="28">
        <v>4</v>
      </c>
      <c r="G51" s="24"/>
      <c r="H51" s="29"/>
      <c r="M51" s="14"/>
      <c r="O51" s="25" t="str" cm="1">
        <f t="array" ref="O51">BIN2HEX(IF(I51&lt;&gt;"",VLOOKUP(I51,Ops!$I$2:'Ops'!$J$13,2,FALSE),IF(ISNUMBER(SEARCH("BR",D51)),"001","000"))&amp;IF(D51&lt;&gt;"",VLOOKUP(D51,Ops!$B$2:'Ops'!$C$23,2,FALSE),"0")&amp;_xlfn.IFS(ISNUMBER(SEARCH("BR",D51)),VLOOKUP(D51,Ops!$B$3:'Ops'!$D$22,3,FALSE),F51&lt;&gt;"",VLOOKUP(F51,Ops!$R$2:'Ops'!$S$11,2),L51&lt;&gt;"",VLOOKUP(L51,Ops!$R$2:'Ops'!$S$25,2,FALSE),TRUE,"0000"),2)</f>
        <v>04</v>
      </c>
      <c r="P51" s="26" t="str">
        <f>RIGHT(IF($E51&lt;&gt;"",_xlfn.XLOOKUP($E51,$C$4:$C$681,$B$4:$B$681,"NO LABEL"),BIN2HEX(IF(N51="CarryEn","1","0")&amp;IF(M51="SubXY","1","0")&amp;IF(H51&lt;&gt;"",VLOOKUP(H51,Ops!$F$2:'Ops'!$G$20,2,FALSE),"000000"),2)),2)</f>
        <v>00</v>
      </c>
      <c r="Q51" s="26" t="str" cm="1">
        <f t="array" ref="Q51">BIN2HEX(_xlfn.IFS(D51="HWINTEN","10",G51="KeyAck","01",G51="InitLp8","01",TRUE,"00")&amp;IF(OR(Ops!$O$2:'Ops'!$O$13=K51),VLOOKUP(K51,Ops!$O$2:'Ops'!$P$13,2,FALSE),"000")&amp;IF(E51&lt;&gt;"",IF(LEN(_xlfn.XLOOKUP($E51,$C$5:$C$681,$B$5:$B$681,0))=3,HEX2BIN(LEFT(_xlfn.XLOOKUP($E51,$C$5:$C$681,$B$5:$B$681,0),1),3),IF(OR(Ops!$L$2:'Ops'!$L$11=J51),VLOOKUP(J51,Ops!$L$2:'Ops'!$M$11,2,FALSE),"000")),IF(OR(Ops!$L$2:'Ops'!$L$11=J51),VLOOKUP(J51,Ops!$L$2:'Ops'!$M$11,2,FALSE),"000")),2)</f>
        <v>00</v>
      </c>
      <c r="R51" s="27"/>
      <c r="Z51" s="74" t="str">
        <f t="shared" si="5"/>
        <v>0x04,</v>
      </c>
      <c r="AA51" s="75" t="str">
        <f t="shared" si="6"/>
        <v>0x00,</v>
      </c>
      <c r="AB51" s="75" t="str">
        <f t="shared" si="7"/>
        <v>0x00,</v>
      </c>
      <c r="AC51" s="76"/>
    </row>
    <row r="52" spans="1:29" x14ac:dyDescent="0.3">
      <c r="A52" s="79">
        <f t="shared" si="8"/>
        <v>162</v>
      </c>
      <c r="B52" s="80" t="str">
        <f t="shared" si="9"/>
        <v>A2</v>
      </c>
      <c r="D52" s="29"/>
      <c r="F52" s="28">
        <v>4</v>
      </c>
      <c r="G52" s="24"/>
      <c r="H52" s="29"/>
      <c r="M52" s="14"/>
      <c r="O52" s="25" t="str" cm="1">
        <f t="array" ref="O52">BIN2HEX(IF(I52&lt;&gt;"",VLOOKUP(I52,Ops!$I$2:'Ops'!$J$13,2,FALSE),IF(ISNUMBER(SEARCH("BR",D52)),"001","000"))&amp;IF(D52&lt;&gt;"",VLOOKUP(D52,Ops!$B$2:'Ops'!$C$23,2,FALSE),"0")&amp;_xlfn.IFS(ISNUMBER(SEARCH("BR",D52)),VLOOKUP(D52,Ops!$B$3:'Ops'!$D$22,3,FALSE),F52&lt;&gt;"",VLOOKUP(F52,Ops!$R$2:'Ops'!$S$11,2),L52&lt;&gt;"",VLOOKUP(L52,Ops!$R$2:'Ops'!$S$25,2,FALSE),TRUE,"0000"),2)</f>
        <v>04</v>
      </c>
      <c r="P52" s="26" t="str">
        <f>RIGHT(IF($E52&lt;&gt;"",_xlfn.XLOOKUP($E52,$C$4:$C$681,$B$4:$B$681,"NO LABEL"),BIN2HEX(IF(N52="CarryEn","1","0")&amp;IF(M52="SubXY","1","0")&amp;IF(H52&lt;&gt;"",VLOOKUP(H52,Ops!$F$2:'Ops'!$G$20,2,FALSE),"000000"),2)),2)</f>
        <v>00</v>
      </c>
      <c r="Q52" s="26" t="str" cm="1">
        <f t="array" ref="Q52">BIN2HEX(_xlfn.IFS(D52="HWINTEN","10",G52="KeyAck","01",G52="InitLp8","01",TRUE,"00")&amp;IF(OR(Ops!$O$2:'Ops'!$O$13=K52),VLOOKUP(K52,Ops!$O$2:'Ops'!$P$13,2,FALSE),"000")&amp;IF(E52&lt;&gt;"",IF(LEN(_xlfn.XLOOKUP($E52,$C$5:$C$681,$B$5:$B$681,0))=3,HEX2BIN(LEFT(_xlfn.XLOOKUP($E52,$C$5:$C$681,$B$5:$B$681,0),1),3),IF(OR(Ops!$L$2:'Ops'!$L$11=J52),VLOOKUP(J52,Ops!$L$2:'Ops'!$M$11,2,FALSE),"000")),IF(OR(Ops!$L$2:'Ops'!$L$11=J52),VLOOKUP(J52,Ops!$L$2:'Ops'!$M$11,2,FALSE),"000")),2)</f>
        <v>00</v>
      </c>
      <c r="R52" s="27"/>
      <c r="Z52" s="74" t="str">
        <f t="shared" si="5"/>
        <v>0x04,</v>
      </c>
      <c r="AA52" s="75" t="str">
        <f t="shared" si="6"/>
        <v>0x00,</v>
      </c>
      <c r="AB52" s="75" t="str">
        <f t="shared" si="7"/>
        <v>0x00,</v>
      </c>
      <c r="AC52" s="76"/>
    </row>
    <row r="53" spans="1:29" x14ac:dyDescent="0.3">
      <c r="A53" s="79">
        <f t="shared" si="8"/>
        <v>165</v>
      </c>
      <c r="B53" s="80" t="str">
        <f t="shared" si="9"/>
        <v>A5</v>
      </c>
      <c r="D53" s="29"/>
      <c r="F53" s="28">
        <v>4</v>
      </c>
      <c r="G53" s="24"/>
      <c r="H53" s="29"/>
      <c r="M53" s="14"/>
      <c r="O53" s="25" t="str" cm="1">
        <f t="array" ref="O53">BIN2HEX(IF(I53&lt;&gt;"",VLOOKUP(I53,Ops!$I$2:'Ops'!$J$13,2,FALSE),IF(ISNUMBER(SEARCH("BR",D53)),"001","000"))&amp;IF(D53&lt;&gt;"",VLOOKUP(D53,Ops!$B$2:'Ops'!$C$23,2,FALSE),"0")&amp;_xlfn.IFS(ISNUMBER(SEARCH("BR",D53)),VLOOKUP(D53,Ops!$B$3:'Ops'!$D$22,3,FALSE),F53&lt;&gt;"",VLOOKUP(F53,Ops!$R$2:'Ops'!$S$11,2),L53&lt;&gt;"",VLOOKUP(L53,Ops!$R$2:'Ops'!$S$25,2,FALSE),TRUE,"0000"),2)</f>
        <v>04</v>
      </c>
      <c r="P53" s="26" t="str">
        <f>RIGHT(IF($E53&lt;&gt;"",_xlfn.XLOOKUP($E53,$C$4:$C$681,$B$4:$B$681,"NO LABEL"),BIN2HEX(IF(N53="CarryEn","1","0")&amp;IF(M53="SubXY","1","0")&amp;IF(H53&lt;&gt;"",VLOOKUP(H53,Ops!$F$2:'Ops'!$G$20,2,FALSE),"000000"),2)),2)</f>
        <v>00</v>
      </c>
      <c r="Q53" s="26" t="str" cm="1">
        <f t="array" ref="Q53">BIN2HEX(_xlfn.IFS(D53="HWINTEN","10",G53="KeyAck","01",G53="InitLp8","01",TRUE,"00")&amp;IF(OR(Ops!$O$2:'Ops'!$O$13=K53),VLOOKUP(K53,Ops!$O$2:'Ops'!$P$13,2,FALSE),"000")&amp;IF(E53&lt;&gt;"",IF(LEN(_xlfn.XLOOKUP($E53,$C$5:$C$681,$B$5:$B$681,0))=3,HEX2BIN(LEFT(_xlfn.XLOOKUP($E53,$C$5:$C$681,$B$5:$B$681,0),1),3),IF(OR(Ops!$L$2:'Ops'!$L$11=J53),VLOOKUP(J53,Ops!$L$2:'Ops'!$M$11,2,FALSE),"000")),IF(OR(Ops!$L$2:'Ops'!$L$11=J53),VLOOKUP(J53,Ops!$L$2:'Ops'!$M$11,2,FALSE),"000")),2)</f>
        <v>00</v>
      </c>
      <c r="R53" s="27"/>
      <c r="Z53" s="74" t="str">
        <f t="shared" si="5"/>
        <v>0x04,</v>
      </c>
      <c r="AA53" s="75" t="str">
        <f t="shared" si="6"/>
        <v>0x00,</v>
      </c>
      <c r="AB53" s="75" t="str">
        <f t="shared" si="7"/>
        <v>0x00,</v>
      </c>
      <c r="AC53" s="76"/>
    </row>
    <row r="54" spans="1:29" x14ac:dyDescent="0.3">
      <c r="A54" s="79">
        <f t="shared" si="8"/>
        <v>168</v>
      </c>
      <c r="B54" s="80" t="str">
        <f t="shared" si="9"/>
        <v>A8</v>
      </c>
      <c r="D54" s="29"/>
      <c r="F54" s="28">
        <v>4</v>
      </c>
      <c r="G54" s="24"/>
      <c r="H54" s="29"/>
      <c r="M54" s="14"/>
      <c r="O54" s="25" t="str" cm="1">
        <f t="array" ref="O54">BIN2HEX(IF(I54&lt;&gt;"",VLOOKUP(I54,Ops!$I$2:'Ops'!$J$13,2,FALSE),IF(ISNUMBER(SEARCH("BR",D54)),"001","000"))&amp;IF(D54&lt;&gt;"",VLOOKUP(D54,Ops!$B$2:'Ops'!$C$23,2,FALSE),"0")&amp;_xlfn.IFS(ISNUMBER(SEARCH("BR",D54)),VLOOKUP(D54,Ops!$B$3:'Ops'!$D$22,3,FALSE),F54&lt;&gt;"",VLOOKUP(F54,Ops!$R$2:'Ops'!$S$11,2),L54&lt;&gt;"",VLOOKUP(L54,Ops!$R$2:'Ops'!$S$25,2,FALSE),TRUE,"0000"),2)</f>
        <v>04</v>
      </c>
      <c r="P54" s="26" t="str">
        <f>RIGHT(IF($E54&lt;&gt;"",_xlfn.XLOOKUP($E54,$C$4:$C$681,$B$4:$B$681,"NO LABEL"),BIN2HEX(IF(N54="CarryEn","1","0")&amp;IF(M54="SubXY","1","0")&amp;IF(H54&lt;&gt;"",VLOOKUP(H54,Ops!$F$2:'Ops'!$G$20,2,FALSE),"000000"),2)),2)</f>
        <v>00</v>
      </c>
      <c r="Q54" s="26" t="str" cm="1">
        <f t="array" ref="Q54">BIN2HEX(_xlfn.IFS(D54="HWINTEN","10",G54="KeyAck","01",G54="InitLp8","01",TRUE,"00")&amp;IF(OR(Ops!$O$2:'Ops'!$O$13=K54),VLOOKUP(K54,Ops!$O$2:'Ops'!$P$13,2,FALSE),"000")&amp;IF(E54&lt;&gt;"",IF(LEN(_xlfn.XLOOKUP($E54,$C$5:$C$681,$B$5:$B$681,0))=3,HEX2BIN(LEFT(_xlfn.XLOOKUP($E54,$C$5:$C$681,$B$5:$B$681,0),1),3),IF(OR(Ops!$L$2:'Ops'!$L$11=J54),VLOOKUP(J54,Ops!$L$2:'Ops'!$M$11,2,FALSE),"000")),IF(OR(Ops!$L$2:'Ops'!$L$11=J54),VLOOKUP(J54,Ops!$L$2:'Ops'!$M$11,2,FALSE),"000")),2)</f>
        <v>00</v>
      </c>
      <c r="R54" s="27"/>
      <c r="Z54" s="74" t="str">
        <f t="shared" si="5"/>
        <v>0x04,</v>
      </c>
      <c r="AA54" s="75" t="str">
        <f t="shared" si="6"/>
        <v>0x00,</v>
      </c>
      <c r="AB54" s="75" t="str">
        <f t="shared" si="7"/>
        <v>0x00,</v>
      </c>
      <c r="AC54" s="76"/>
    </row>
    <row r="55" spans="1:29" x14ac:dyDescent="0.3">
      <c r="A55" s="79">
        <f t="shared" si="8"/>
        <v>171</v>
      </c>
      <c r="B55" s="80" t="str">
        <f t="shared" si="9"/>
        <v>AB</v>
      </c>
      <c r="D55" s="29"/>
      <c r="F55" s="28">
        <v>4</v>
      </c>
      <c r="G55" s="24"/>
      <c r="H55" s="29" t="s">
        <v>53</v>
      </c>
      <c r="I55" s="4" t="s">
        <v>478</v>
      </c>
      <c r="J55" s="4" t="s">
        <v>475</v>
      </c>
      <c r="M55" s="14"/>
      <c r="O55" s="25" t="str" cm="1">
        <f t="array" ref="O55">BIN2HEX(IF(I55&lt;&gt;"",VLOOKUP(I55,Ops!$I$2:'Ops'!$J$13,2,FALSE),IF(ISNUMBER(SEARCH("BR",D55)),"001","000"))&amp;IF(D55&lt;&gt;"",VLOOKUP(D55,Ops!$B$2:'Ops'!$C$23,2,FALSE),"0")&amp;_xlfn.IFS(ISNUMBER(SEARCH("BR",D55)),VLOOKUP(D55,Ops!$B$3:'Ops'!$D$22,3,FALSE),F55&lt;&gt;"",VLOOKUP(F55,Ops!$R$2:'Ops'!$S$11,2),L55&lt;&gt;"",VLOOKUP(L55,Ops!$R$2:'Ops'!$S$25,2,FALSE),TRUE,"0000"),2)</f>
        <v>24</v>
      </c>
      <c r="P55" s="26" t="str">
        <f>RIGHT(IF($E55&lt;&gt;"",_xlfn.XLOOKUP($E55,$C$4:$C$681,$B$4:$B$681,"NO LABEL"),BIN2HEX(IF(N55="CarryEn","1","0")&amp;IF(M55="SubXY","1","0")&amp;IF(H55&lt;&gt;"",VLOOKUP(H55,Ops!$F$2:'Ops'!$G$20,2,FALSE),"000000"),2)),2)</f>
        <v>01</v>
      </c>
      <c r="Q55" s="26" t="str" cm="1">
        <f t="array" ref="Q55">BIN2HEX(_xlfn.IFS(D55="HWINTEN","10",G55="KeyAck","01",G55="InitLp8","01",TRUE,"00")&amp;IF(OR(Ops!$O$2:'Ops'!$O$13=K55),VLOOKUP(K55,Ops!$O$2:'Ops'!$P$13,2,FALSE),"000")&amp;IF(E55&lt;&gt;"",IF(LEN(_xlfn.XLOOKUP($E55,$C$5:$C$681,$B$5:$B$681,0))=3,HEX2BIN(LEFT(_xlfn.XLOOKUP($E55,$C$5:$C$681,$B$5:$B$681,0),1),3),IF(OR(Ops!$L$2:'Ops'!$L$11=J55),VLOOKUP(J55,Ops!$L$2:'Ops'!$M$11,2,FALSE),"000")),IF(OR(Ops!$L$2:'Ops'!$L$11=J55),VLOOKUP(J55,Ops!$L$2:'Ops'!$M$11,2,FALSE),"000")),2)</f>
        <v>00</v>
      </c>
      <c r="R55" s="27"/>
      <c r="Z55" s="74" t="str">
        <f t="shared" si="5"/>
        <v>0x24,</v>
      </c>
      <c r="AA55" s="75" t="str">
        <f t="shared" si="6"/>
        <v>0x01,</v>
      </c>
      <c r="AB55" s="75" t="str">
        <f t="shared" si="7"/>
        <v>0x00,</v>
      </c>
      <c r="AC55" s="76"/>
    </row>
    <row r="56" spans="1:29" x14ac:dyDescent="0.3">
      <c r="A56" s="79">
        <f t="shared" si="8"/>
        <v>174</v>
      </c>
      <c r="B56" s="80" t="str">
        <f t="shared" si="9"/>
        <v>AE</v>
      </c>
      <c r="D56" s="29"/>
      <c r="F56" s="28">
        <v>5</v>
      </c>
      <c r="G56" s="24"/>
      <c r="H56" s="29"/>
      <c r="M56" s="14"/>
      <c r="O56" s="25" t="str" cm="1">
        <f t="array" ref="O56">BIN2HEX(IF(I56&lt;&gt;"",VLOOKUP(I56,Ops!$I$2:'Ops'!$J$13,2,FALSE),IF(ISNUMBER(SEARCH("BR",D56)),"001","000"))&amp;IF(D56&lt;&gt;"",VLOOKUP(D56,Ops!$B$2:'Ops'!$C$23,2,FALSE),"0")&amp;_xlfn.IFS(ISNUMBER(SEARCH("BR",D56)),VLOOKUP(D56,Ops!$B$3:'Ops'!$D$22,3,FALSE),F56&lt;&gt;"",VLOOKUP(F56,Ops!$R$2:'Ops'!$S$11,2),L56&lt;&gt;"",VLOOKUP(L56,Ops!$R$2:'Ops'!$S$25,2,FALSE),TRUE,"0000"),2)</f>
        <v>05</v>
      </c>
      <c r="P56" s="26" t="str">
        <f>RIGHT(IF($E56&lt;&gt;"",_xlfn.XLOOKUP($E56,$C$4:$C$681,$B$4:$B$681,"NO LABEL"),BIN2HEX(IF(N56="CarryEn","1","0")&amp;IF(M56="SubXY","1","0")&amp;IF(H56&lt;&gt;"",VLOOKUP(H56,Ops!$F$2:'Ops'!$G$20,2,FALSE),"000000"),2)),2)</f>
        <v>00</v>
      </c>
      <c r="Q56" s="26" t="str" cm="1">
        <f t="array" ref="Q56">BIN2HEX(_xlfn.IFS(D56="HWINTEN","10",G56="KeyAck","01",G56="InitLp8","01",TRUE,"00")&amp;IF(OR(Ops!$O$2:'Ops'!$O$13=K56),VLOOKUP(K56,Ops!$O$2:'Ops'!$P$13,2,FALSE),"000")&amp;IF(E56&lt;&gt;"",IF(LEN(_xlfn.XLOOKUP($E56,$C$5:$C$681,$B$5:$B$681,0))=3,HEX2BIN(LEFT(_xlfn.XLOOKUP($E56,$C$5:$C$681,$B$5:$B$681,0),1),3),IF(OR(Ops!$L$2:'Ops'!$L$11=J56),VLOOKUP(J56,Ops!$L$2:'Ops'!$M$11,2,FALSE),"000")),IF(OR(Ops!$L$2:'Ops'!$L$11=J56),VLOOKUP(J56,Ops!$L$2:'Ops'!$M$11,2,FALSE),"000")),2)</f>
        <v>00</v>
      </c>
      <c r="R56" s="27"/>
      <c r="Z56" s="74" t="str">
        <f t="shared" si="5"/>
        <v>0x05,</v>
      </c>
      <c r="AA56" s="75" t="str">
        <f t="shared" si="6"/>
        <v>0x00,</v>
      </c>
      <c r="AB56" s="75" t="str">
        <f t="shared" si="7"/>
        <v>0x00,</v>
      </c>
      <c r="AC56" s="76"/>
    </row>
    <row r="57" spans="1:29" x14ac:dyDescent="0.3">
      <c r="A57" s="79">
        <f t="shared" si="8"/>
        <v>177</v>
      </c>
      <c r="B57" s="80" t="str">
        <f t="shared" si="9"/>
        <v>B1</v>
      </c>
      <c r="D57" s="29"/>
      <c r="F57" s="28">
        <v>5</v>
      </c>
      <c r="G57" s="24"/>
      <c r="H57" s="29"/>
      <c r="M57" s="14"/>
      <c r="O57" s="25" t="str" cm="1">
        <f t="array" ref="O57">BIN2HEX(IF(I57&lt;&gt;"",VLOOKUP(I57,Ops!$I$2:'Ops'!$J$13,2,FALSE),IF(ISNUMBER(SEARCH("BR",D57)),"001","000"))&amp;IF(D57&lt;&gt;"",VLOOKUP(D57,Ops!$B$2:'Ops'!$C$23,2,FALSE),"0")&amp;_xlfn.IFS(ISNUMBER(SEARCH("BR",D57)),VLOOKUP(D57,Ops!$B$3:'Ops'!$D$22,3,FALSE),F57&lt;&gt;"",VLOOKUP(F57,Ops!$R$2:'Ops'!$S$11,2),L57&lt;&gt;"",VLOOKUP(L57,Ops!$R$2:'Ops'!$S$25,2,FALSE),TRUE,"0000"),2)</f>
        <v>05</v>
      </c>
      <c r="P57" s="26" t="str">
        <f>RIGHT(IF($E57&lt;&gt;"",_xlfn.XLOOKUP($E57,$C$4:$C$681,$B$4:$B$681,"NO LABEL"),BIN2HEX(IF(N57="CarryEn","1","0")&amp;IF(M57="SubXY","1","0")&amp;IF(H57&lt;&gt;"",VLOOKUP(H57,Ops!$F$2:'Ops'!$G$20,2,FALSE),"000000"),2)),2)</f>
        <v>00</v>
      </c>
      <c r="Q57" s="26" t="str" cm="1">
        <f t="array" ref="Q57">BIN2HEX(_xlfn.IFS(D57="HWINTEN","10",G57="KeyAck","01",G57="InitLp8","01",TRUE,"00")&amp;IF(OR(Ops!$O$2:'Ops'!$O$13=K57),VLOOKUP(K57,Ops!$O$2:'Ops'!$P$13,2,FALSE),"000")&amp;IF(E57&lt;&gt;"",IF(LEN(_xlfn.XLOOKUP($E57,$C$5:$C$681,$B$5:$B$681,0))=3,HEX2BIN(LEFT(_xlfn.XLOOKUP($E57,$C$5:$C$681,$B$5:$B$681,0),1),3),IF(OR(Ops!$L$2:'Ops'!$L$11=J57),VLOOKUP(J57,Ops!$L$2:'Ops'!$M$11,2,FALSE),"000")),IF(OR(Ops!$L$2:'Ops'!$L$11=J57),VLOOKUP(J57,Ops!$L$2:'Ops'!$M$11,2,FALSE),"000")),2)</f>
        <v>00</v>
      </c>
      <c r="R57" s="27"/>
      <c r="Z57" s="74" t="str">
        <f t="shared" si="5"/>
        <v>0x05,</v>
      </c>
      <c r="AA57" s="75" t="str">
        <f t="shared" si="6"/>
        <v>0x00,</v>
      </c>
      <c r="AB57" s="75" t="str">
        <f t="shared" si="7"/>
        <v>0x00,</v>
      </c>
      <c r="AC57" s="76"/>
    </row>
    <row r="58" spans="1:29" x14ac:dyDescent="0.3">
      <c r="A58" s="79">
        <f t="shared" si="8"/>
        <v>180</v>
      </c>
      <c r="B58" s="80" t="str">
        <f t="shared" si="9"/>
        <v>B4</v>
      </c>
      <c r="D58" s="29"/>
      <c r="F58" s="28">
        <v>5</v>
      </c>
      <c r="G58" s="24"/>
      <c r="H58" s="29"/>
      <c r="M58" s="14"/>
      <c r="O58" s="25" t="str" cm="1">
        <f t="array" ref="O58">BIN2HEX(IF(I58&lt;&gt;"",VLOOKUP(I58,Ops!$I$2:'Ops'!$J$13,2,FALSE),IF(ISNUMBER(SEARCH("BR",D58)),"001","000"))&amp;IF(D58&lt;&gt;"",VLOOKUP(D58,Ops!$B$2:'Ops'!$C$23,2,FALSE),"0")&amp;_xlfn.IFS(ISNUMBER(SEARCH("BR",D58)),VLOOKUP(D58,Ops!$B$3:'Ops'!$D$22,3,FALSE),F58&lt;&gt;"",VLOOKUP(F58,Ops!$R$2:'Ops'!$S$11,2),L58&lt;&gt;"",VLOOKUP(L58,Ops!$R$2:'Ops'!$S$25,2,FALSE),TRUE,"0000"),2)</f>
        <v>05</v>
      </c>
      <c r="P58" s="26" t="str">
        <f>RIGHT(IF($E58&lt;&gt;"",_xlfn.XLOOKUP($E58,$C$4:$C$681,$B$4:$B$681,"NO LABEL"),BIN2HEX(IF(N58="CarryEn","1","0")&amp;IF(M58="SubXY","1","0")&amp;IF(H58&lt;&gt;"",VLOOKUP(H58,Ops!$F$2:'Ops'!$G$20,2,FALSE),"000000"),2)),2)</f>
        <v>00</v>
      </c>
      <c r="Q58" s="26" t="str" cm="1">
        <f t="array" ref="Q58">BIN2HEX(_xlfn.IFS(D58="HWINTEN","10",G58="KeyAck","01",G58="InitLp8","01",TRUE,"00")&amp;IF(OR(Ops!$O$2:'Ops'!$O$13=K58),VLOOKUP(K58,Ops!$O$2:'Ops'!$P$13,2,FALSE),"000")&amp;IF(E58&lt;&gt;"",IF(LEN(_xlfn.XLOOKUP($E58,$C$5:$C$681,$B$5:$B$681,0))=3,HEX2BIN(LEFT(_xlfn.XLOOKUP($E58,$C$5:$C$681,$B$5:$B$681,0),1),3),IF(OR(Ops!$L$2:'Ops'!$L$11=J58),VLOOKUP(J58,Ops!$L$2:'Ops'!$M$11,2,FALSE),"000")),IF(OR(Ops!$L$2:'Ops'!$L$11=J58),VLOOKUP(J58,Ops!$L$2:'Ops'!$M$11,2,FALSE),"000")),2)</f>
        <v>00</v>
      </c>
      <c r="R58" s="27"/>
      <c r="Z58" s="74" t="str">
        <f t="shared" si="5"/>
        <v>0x05,</v>
      </c>
      <c r="AA58" s="75" t="str">
        <f t="shared" si="6"/>
        <v>0x00,</v>
      </c>
      <c r="AB58" s="75" t="str">
        <f t="shared" si="7"/>
        <v>0x00,</v>
      </c>
      <c r="AC58" s="76"/>
    </row>
    <row r="59" spans="1:29" x14ac:dyDescent="0.3">
      <c r="A59" s="79">
        <f t="shared" si="8"/>
        <v>183</v>
      </c>
      <c r="B59" s="80" t="str">
        <f t="shared" si="9"/>
        <v>B7</v>
      </c>
      <c r="D59" s="29"/>
      <c r="F59" s="28">
        <v>5</v>
      </c>
      <c r="G59" s="24"/>
      <c r="H59" s="29"/>
      <c r="M59" s="14"/>
      <c r="O59" s="25" t="str" cm="1">
        <f t="array" ref="O59">BIN2HEX(IF(I59&lt;&gt;"",VLOOKUP(I59,Ops!$I$2:'Ops'!$J$13,2,FALSE),IF(ISNUMBER(SEARCH("BR",D59)),"001","000"))&amp;IF(D59&lt;&gt;"",VLOOKUP(D59,Ops!$B$2:'Ops'!$C$23,2,FALSE),"0")&amp;_xlfn.IFS(ISNUMBER(SEARCH("BR",D59)),VLOOKUP(D59,Ops!$B$3:'Ops'!$D$22,3,FALSE),F59&lt;&gt;"",VLOOKUP(F59,Ops!$R$2:'Ops'!$S$11,2),L59&lt;&gt;"",VLOOKUP(L59,Ops!$R$2:'Ops'!$S$25,2,FALSE),TRUE,"0000"),2)</f>
        <v>05</v>
      </c>
      <c r="P59" s="26" t="str">
        <f>RIGHT(IF($E59&lt;&gt;"",_xlfn.XLOOKUP($E59,$C$4:$C$681,$B$4:$B$681,"NO LABEL"),BIN2HEX(IF(N59="CarryEn","1","0")&amp;IF(M59="SubXY","1","0")&amp;IF(H59&lt;&gt;"",VLOOKUP(H59,Ops!$F$2:'Ops'!$G$20,2,FALSE),"000000"),2)),2)</f>
        <v>00</v>
      </c>
      <c r="Q59" s="26" t="str" cm="1">
        <f t="array" ref="Q59">BIN2HEX(_xlfn.IFS(D59="HWINTEN","10",G59="KeyAck","01",G59="InitLp8","01",TRUE,"00")&amp;IF(OR(Ops!$O$2:'Ops'!$O$13=K59),VLOOKUP(K59,Ops!$O$2:'Ops'!$P$13,2,FALSE),"000")&amp;IF(E59&lt;&gt;"",IF(LEN(_xlfn.XLOOKUP($E59,$C$5:$C$681,$B$5:$B$681,0))=3,HEX2BIN(LEFT(_xlfn.XLOOKUP($E59,$C$5:$C$681,$B$5:$B$681,0),1),3),IF(OR(Ops!$L$2:'Ops'!$L$11=J59),VLOOKUP(J59,Ops!$L$2:'Ops'!$M$11,2,FALSE),"000")),IF(OR(Ops!$L$2:'Ops'!$L$11=J59),VLOOKUP(J59,Ops!$L$2:'Ops'!$M$11,2,FALSE),"000")),2)</f>
        <v>00</v>
      </c>
      <c r="R59" s="27"/>
      <c r="Z59" s="74" t="str">
        <f t="shared" si="5"/>
        <v>0x05,</v>
      </c>
      <c r="AA59" s="75" t="str">
        <f t="shared" si="6"/>
        <v>0x00,</v>
      </c>
      <c r="AB59" s="75" t="str">
        <f t="shared" si="7"/>
        <v>0x00,</v>
      </c>
      <c r="AC59" s="76"/>
    </row>
    <row r="60" spans="1:29" x14ac:dyDescent="0.3">
      <c r="A60" s="79">
        <f t="shared" si="8"/>
        <v>186</v>
      </c>
      <c r="B60" s="80" t="str">
        <f t="shared" si="9"/>
        <v>BA</v>
      </c>
      <c r="D60" s="29"/>
      <c r="F60" s="28">
        <v>5</v>
      </c>
      <c r="G60" s="24"/>
      <c r="H60" s="29" t="s">
        <v>53</v>
      </c>
      <c r="I60" s="4" t="s">
        <v>478</v>
      </c>
      <c r="J60" s="4" t="s">
        <v>475</v>
      </c>
      <c r="M60" s="14"/>
      <c r="O60" s="25" t="str" cm="1">
        <f t="array" ref="O60">BIN2HEX(IF(I60&lt;&gt;"",VLOOKUP(I60,Ops!$I$2:'Ops'!$J$13,2,FALSE),IF(ISNUMBER(SEARCH("BR",D60)),"001","000"))&amp;IF(D60&lt;&gt;"",VLOOKUP(D60,Ops!$B$2:'Ops'!$C$23,2,FALSE),"0")&amp;_xlfn.IFS(ISNUMBER(SEARCH("BR",D60)),VLOOKUP(D60,Ops!$B$3:'Ops'!$D$22,3,FALSE),F60&lt;&gt;"",VLOOKUP(F60,Ops!$R$2:'Ops'!$S$11,2),L60&lt;&gt;"",VLOOKUP(L60,Ops!$R$2:'Ops'!$S$25,2,FALSE),TRUE,"0000"),2)</f>
        <v>25</v>
      </c>
      <c r="P60" s="26" t="str">
        <f>RIGHT(IF($E60&lt;&gt;"",_xlfn.XLOOKUP($E60,$C$4:$C$681,$B$4:$B$681,"NO LABEL"),BIN2HEX(IF(N60="CarryEn","1","0")&amp;IF(M60="SubXY","1","0")&amp;IF(H60&lt;&gt;"",VLOOKUP(H60,Ops!$F$2:'Ops'!$G$20,2,FALSE),"000000"),2)),2)</f>
        <v>01</v>
      </c>
      <c r="Q60" s="26" t="str" cm="1">
        <f t="array" ref="Q60">BIN2HEX(_xlfn.IFS(D60="HWINTEN","10",G60="KeyAck","01",G60="InitLp8","01",TRUE,"00")&amp;IF(OR(Ops!$O$2:'Ops'!$O$13=K60),VLOOKUP(K60,Ops!$O$2:'Ops'!$P$13,2,FALSE),"000")&amp;IF(E60&lt;&gt;"",IF(LEN(_xlfn.XLOOKUP($E60,$C$5:$C$681,$B$5:$B$681,0))=3,HEX2BIN(LEFT(_xlfn.XLOOKUP($E60,$C$5:$C$681,$B$5:$B$681,0),1),3),IF(OR(Ops!$L$2:'Ops'!$L$11=J60),VLOOKUP(J60,Ops!$L$2:'Ops'!$M$11,2,FALSE),"000")),IF(OR(Ops!$L$2:'Ops'!$L$11=J60),VLOOKUP(J60,Ops!$L$2:'Ops'!$M$11,2,FALSE),"000")),2)</f>
        <v>00</v>
      </c>
      <c r="R60" s="27"/>
      <c r="Z60" s="74" t="str">
        <f t="shared" si="5"/>
        <v>0x25,</v>
      </c>
      <c r="AA60" s="75" t="str">
        <f t="shared" si="6"/>
        <v>0x01,</v>
      </c>
      <c r="AB60" s="75" t="str">
        <f t="shared" si="7"/>
        <v>0x00,</v>
      </c>
      <c r="AC60" s="76"/>
    </row>
    <row r="61" spans="1:29" x14ac:dyDescent="0.3">
      <c r="A61" s="79">
        <f t="shared" si="8"/>
        <v>189</v>
      </c>
      <c r="B61" s="80" t="str">
        <f t="shared" si="9"/>
        <v>BD</v>
      </c>
      <c r="D61" s="29"/>
      <c r="F61" s="28">
        <v>6</v>
      </c>
      <c r="G61" s="24"/>
      <c r="H61" s="29"/>
      <c r="M61" s="14"/>
      <c r="O61" s="25" t="str" cm="1">
        <f t="array" ref="O61">BIN2HEX(IF(I61&lt;&gt;"",VLOOKUP(I61,Ops!$I$2:'Ops'!$J$13,2,FALSE),IF(ISNUMBER(SEARCH("BR",D61)),"001","000"))&amp;IF(D61&lt;&gt;"",VLOOKUP(D61,Ops!$B$2:'Ops'!$C$23,2,FALSE),"0")&amp;_xlfn.IFS(ISNUMBER(SEARCH("BR",D61)),VLOOKUP(D61,Ops!$B$3:'Ops'!$D$22,3,FALSE),F61&lt;&gt;"",VLOOKUP(F61,Ops!$R$2:'Ops'!$S$11,2),L61&lt;&gt;"",VLOOKUP(L61,Ops!$R$2:'Ops'!$S$25,2,FALSE),TRUE,"0000"),2)</f>
        <v>06</v>
      </c>
      <c r="P61" s="26" t="str">
        <f>RIGHT(IF($E61&lt;&gt;"",_xlfn.XLOOKUP($E61,$C$4:$C$681,$B$4:$B$681,"NO LABEL"),BIN2HEX(IF(N61="CarryEn","1","0")&amp;IF(M61="SubXY","1","0")&amp;IF(H61&lt;&gt;"",VLOOKUP(H61,Ops!$F$2:'Ops'!$G$20,2,FALSE),"000000"),2)),2)</f>
        <v>00</v>
      </c>
      <c r="Q61" s="26" t="str" cm="1">
        <f t="array" ref="Q61">BIN2HEX(_xlfn.IFS(D61="HWINTEN","10",G61="KeyAck","01",G61="InitLp8","01",TRUE,"00")&amp;IF(OR(Ops!$O$2:'Ops'!$O$13=K61),VLOOKUP(K61,Ops!$O$2:'Ops'!$P$13,2,FALSE),"000")&amp;IF(E61&lt;&gt;"",IF(LEN(_xlfn.XLOOKUP($E61,$C$5:$C$681,$B$5:$B$681,0))=3,HEX2BIN(LEFT(_xlfn.XLOOKUP($E61,$C$5:$C$681,$B$5:$B$681,0),1),3),IF(OR(Ops!$L$2:'Ops'!$L$11=J61),VLOOKUP(J61,Ops!$L$2:'Ops'!$M$11,2,FALSE),"000")),IF(OR(Ops!$L$2:'Ops'!$L$11=J61),VLOOKUP(J61,Ops!$L$2:'Ops'!$M$11,2,FALSE),"000")),2)</f>
        <v>00</v>
      </c>
      <c r="R61" s="27"/>
      <c r="Z61" s="74" t="str">
        <f t="shared" si="5"/>
        <v>0x06,</v>
      </c>
      <c r="AA61" s="75" t="str">
        <f t="shared" si="6"/>
        <v>0x00,</v>
      </c>
      <c r="AB61" s="75" t="str">
        <f t="shared" si="7"/>
        <v>0x00,</v>
      </c>
      <c r="AC61" s="76"/>
    </row>
    <row r="62" spans="1:29" x14ac:dyDescent="0.3">
      <c r="A62" s="79">
        <f t="shared" si="8"/>
        <v>192</v>
      </c>
      <c r="B62" s="80" t="str">
        <f t="shared" si="9"/>
        <v>C0</v>
      </c>
      <c r="D62" s="29"/>
      <c r="F62" s="28">
        <v>6</v>
      </c>
      <c r="G62" s="24"/>
      <c r="H62" s="29"/>
      <c r="M62" s="14"/>
      <c r="O62" s="25" t="str" cm="1">
        <f t="array" ref="O62">BIN2HEX(IF(I62&lt;&gt;"",VLOOKUP(I62,Ops!$I$2:'Ops'!$J$13,2,FALSE),IF(ISNUMBER(SEARCH("BR",D62)),"001","000"))&amp;IF(D62&lt;&gt;"",VLOOKUP(D62,Ops!$B$2:'Ops'!$C$23,2,FALSE),"0")&amp;_xlfn.IFS(ISNUMBER(SEARCH("BR",D62)),VLOOKUP(D62,Ops!$B$3:'Ops'!$D$22,3,FALSE),F62&lt;&gt;"",VLOOKUP(F62,Ops!$R$2:'Ops'!$S$11,2),L62&lt;&gt;"",VLOOKUP(L62,Ops!$R$2:'Ops'!$S$25,2,FALSE),TRUE,"0000"),2)</f>
        <v>06</v>
      </c>
      <c r="P62" s="26" t="str">
        <f>RIGHT(IF($E62&lt;&gt;"",_xlfn.XLOOKUP($E62,$C$4:$C$681,$B$4:$B$681,"NO LABEL"),BIN2HEX(IF(N62="CarryEn","1","0")&amp;IF(M62="SubXY","1","0")&amp;IF(H62&lt;&gt;"",VLOOKUP(H62,Ops!$F$2:'Ops'!$G$20,2,FALSE),"000000"),2)),2)</f>
        <v>00</v>
      </c>
      <c r="Q62" s="26" t="str" cm="1">
        <f t="array" ref="Q62">BIN2HEX(_xlfn.IFS(D62="HWINTEN","10",G62="KeyAck","01",G62="InitLp8","01",TRUE,"00")&amp;IF(OR(Ops!$O$2:'Ops'!$O$13=K62),VLOOKUP(K62,Ops!$O$2:'Ops'!$P$13,2,FALSE),"000")&amp;IF(E62&lt;&gt;"",IF(LEN(_xlfn.XLOOKUP($E62,$C$5:$C$681,$B$5:$B$681,0))=3,HEX2BIN(LEFT(_xlfn.XLOOKUP($E62,$C$5:$C$681,$B$5:$B$681,0),1),3),IF(OR(Ops!$L$2:'Ops'!$L$11=J62),VLOOKUP(J62,Ops!$L$2:'Ops'!$M$11,2,FALSE),"000")),IF(OR(Ops!$L$2:'Ops'!$L$11=J62),VLOOKUP(J62,Ops!$L$2:'Ops'!$M$11,2,FALSE),"000")),2)</f>
        <v>00</v>
      </c>
      <c r="R62" s="27"/>
      <c r="Z62" s="74" t="str">
        <f t="shared" si="5"/>
        <v>0x06,</v>
      </c>
      <c r="AA62" s="75" t="str">
        <f t="shared" si="6"/>
        <v>0x00,</v>
      </c>
      <c r="AB62" s="75" t="str">
        <f t="shared" si="7"/>
        <v>0x00,</v>
      </c>
      <c r="AC62" s="76"/>
    </row>
    <row r="63" spans="1:29" x14ac:dyDescent="0.3">
      <c r="A63" s="79">
        <f t="shared" si="8"/>
        <v>195</v>
      </c>
      <c r="B63" s="80" t="str">
        <f t="shared" si="9"/>
        <v>C3</v>
      </c>
      <c r="D63" s="29"/>
      <c r="F63" s="28">
        <v>6</v>
      </c>
      <c r="G63" s="24"/>
      <c r="H63" s="29"/>
      <c r="M63" s="14"/>
      <c r="O63" s="25" t="str" cm="1">
        <f t="array" ref="O63">BIN2HEX(IF(I63&lt;&gt;"",VLOOKUP(I63,Ops!$I$2:'Ops'!$J$13,2,FALSE),IF(ISNUMBER(SEARCH("BR",D63)),"001","000"))&amp;IF(D63&lt;&gt;"",VLOOKUP(D63,Ops!$B$2:'Ops'!$C$23,2,FALSE),"0")&amp;_xlfn.IFS(ISNUMBER(SEARCH("BR",D63)),VLOOKUP(D63,Ops!$B$3:'Ops'!$D$22,3,FALSE),F63&lt;&gt;"",VLOOKUP(F63,Ops!$R$2:'Ops'!$S$11,2),L63&lt;&gt;"",VLOOKUP(L63,Ops!$R$2:'Ops'!$S$25,2,FALSE),TRUE,"0000"),2)</f>
        <v>06</v>
      </c>
      <c r="P63" s="26" t="str">
        <f>RIGHT(IF($E63&lt;&gt;"",_xlfn.XLOOKUP($E63,$C$4:$C$681,$B$4:$B$681,"NO LABEL"),BIN2HEX(IF(N63="CarryEn","1","0")&amp;IF(M63="SubXY","1","0")&amp;IF(H63&lt;&gt;"",VLOOKUP(H63,Ops!$F$2:'Ops'!$G$20,2,FALSE),"000000"),2)),2)</f>
        <v>00</v>
      </c>
      <c r="Q63" s="26" t="str" cm="1">
        <f t="array" ref="Q63">BIN2HEX(_xlfn.IFS(D63="HWINTEN","10",G63="KeyAck","01",G63="InitLp8","01",TRUE,"00")&amp;IF(OR(Ops!$O$2:'Ops'!$O$13=K63),VLOOKUP(K63,Ops!$O$2:'Ops'!$P$13,2,FALSE),"000")&amp;IF(E63&lt;&gt;"",IF(LEN(_xlfn.XLOOKUP($E63,$C$5:$C$681,$B$5:$B$681,0))=3,HEX2BIN(LEFT(_xlfn.XLOOKUP($E63,$C$5:$C$681,$B$5:$B$681,0),1),3),IF(OR(Ops!$L$2:'Ops'!$L$11=J63),VLOOKUP(J63,Ops!$L$2:'Ops'!$M$11,2,FALSE),"000")),IF(OR(Ops!$L$2:'Ops'!$L$11=J63),VLOOKUP(J63,Ops!$L$2:'Ops'!$M$11,2,FALSE),"000")),2)</f>
        <v>00</v>
      </c>
      <c r="R63" s="27"/>
      <c r="Z63" s="74" t="str">
        <f t="shared" si="5"/>
        <v>0x06,</v>
      </c>
      <c r="AA63" s="75" t="str">
        <f t="shared" si="6"/>
        <v>0x00,</v>
      </c>
      <c r="AB63" s="75" t="str">
        <f t="shared" si="7"/>
        <v>0x00,</v>
      </c>
      <c r="AC63" s="76"/>
    </row>
    <row r="64" spans="1:29" x14ac:dyDescent="0.3">
      <c r="A64" s="79">
        <f t="shared" si="8"/>
        <v>198</v>
      </c>
      <c r="B64" s="80" t="str">
        <f t="shared" si="9"/>
        <v>C6</v>
      </c>
      <c r="D64" s="29"/>
      <c r="F64" s="28">
        <v>6</v>
      </c>
      <c r="G64" s="24"/>
      <c r="H64" s="29"/>
      <c r="M64" s="14"/>
      <c r="O64" s="25" t="str" cm="1">
        <f t="array" ref="O64">BIN2HEX(IF(I64&lt;&gt;"",VLOOKUP(I64,Ops!$I$2:'Ops'!$J$13,2,FALSE),IF(ISNUMBER(SEARCH("BR",D64)),"001","000"))&amp;IF(D64&lt;&gt;"",VLOOKUP(D64,Ops!$B$2:'Ops'!$C$23,2,FALSE),"0")&amp;_xlfn.IFS(ISNUMBER(SEARCH("BR",D64)),VLOOKUP(D64,Ops!$B$3:'Ops'!$D$22,3,FALSE),F64&lt;&gt;"",VLOOKUP(F64,Ops!$R$2:'Ops'!$S$11,2),L64&lt;&gt;"",VLOOKUP(L64,Ops!$R$2:'Ops'!$S$25,2,FALSE),TRUE,"0000"),2)</f>
        <v>06</v>
      </c>
      <c r="P64" s="26" t="str">
        <f>RIGHT(IF($E64&lt;&gt;"",_xlfn.XLOOKUP($E64,$C$4:$C$681,$B$4:$B$681,"NO LABEL"),BIN2HEX(IF(N64="CarryEn","1","0")&amp;IF(M64="SubXY","1","0")&amp;IF(H64&lt;&gt;"",VLOOKUP(H64,Ops!$F$2:'Ops'!$G$20,2,FALSE),"000000"),2)),2)</f>
        <v>00</v>
      </c>
      <c r="Q64" s="26" t="str" cm="1">
        <f t="array" ref="Q64">BIN2HEX(_xlfn.IFS(D64="HWINTEN","10",G64="KeyAck","01",G64="InitLp8","01",TRUE,"00")&amp;IF(OR(Ops!$O$2:'Ops'!$O$13=K64),VLOOKUP(K64,Ops!$O$2:'Ops'!$P$13,2,FALSE),"000")&amp;IF(E64&lt;&gt;"",IF(LEN(_xlfn.XLOOKUP($E64,$C$5:$C$681,$B$5:$B$681,0))=3,HEX2BIN(LEFT(_xlfn.XLOOKUP($E64,$C$5:$C$681,$B$5:$B$681,0),1),3),IF(OR(Ops!$L$2:'Ops'!$L$11=J64),VLOOKUP(J64,Ops!$L$2:'Ops'!$M$11,2,FALSE),"000")),IF(OR(Ops!$L$2:'Ops'!$L$11=J64),VLOOKUP(J64,Ops!$L$2:'Ops'!$M$11,2,FALSE),"000")),2)</f>
        <v>00</v>
      </c>
      <c r="R64" s="27"/>
      <c r="Z64" s="74" t="str">
        <f t="shared" si="5"/>
        <v>0x06,</v>
      </c>
      <c r="AA64" s="75" t="str">
        <f t="shared" si="6"/>
        <v>0x00,</v>
      </c>
      <c r="AB64" s="75" t="str">
        <f t="shared" si="7"/>
        <v>0x00,</v>
      </c>
      <c r="AC64" s="76"/>
    </row>
    <row r="65" spans="1:29" x14ac:dyDescent="0.3">
      <c r="A65" s="79">
        <f t="shared" si="8"/>
        <v>201</v>
      </c>
      <c r="B65" s="80" t="str">
        <f t="shared" si="9"/>
        <v>C9</v>
      </c>
      <c r="D65" s="29"/>
      <c r="F65" s="28">
        <v>6</v>
      </c>
      <c r="G65" s="24"/>
      <c r="H65" s="29" t="s">
        <v>53</v>
      </c>
      <c r="I65" s="4" t="s">
        <v>478</v>
      </c>
      <c r="J65" s="4" t="s">
        <v>475</v>
      </c>
      <c r="M65" s="14"/>
      <c r="O65" s="25" t="str" cm="1">
        <f t="array" ref="O65">BIN2HEX(IF(I65&lt;&gt;"",VLOOKUP(I65,Ops!$I$2:'Ops'!$J$13,2,FALSE),IF(ISNUMBER(SEARCH("BR",D65)),"001","000"))&amp;IF(D65&lt;&gt;"",VLOOKUP(D65,Ops!$B$2:'Ops'!$C$23,2,FALSE),"0")&amp;_xlfn.IFS(ISNUMBER(SEARCH("BR",D65)),VLOOKUP(D65,Ops!$B$3:'Ops'!$D$22,3,FALSE),F65&lt;&gt;"",VLOOKUP(F65,Ops!$R$2:'Ops'!$S$11,2),L65&lt;&gt;"",VLOOKUP(L65,Ops!$R$2:'Ops'!$S$25,2,FALSE),TRUE,"0000"),2)</f>
        <v>26</v>
      </c>
      <c r="P65" s="26" t="str">
        <f>RIGHT(IF($E65&lt;&gt;"",_xlfn.XLOOKUP($E65,$C$4:$C$681,$B$4:$B$681,"NO LABEL"),BIN2HEX(IF(N65="CarryEn","1","0")&amp;IF(M65="SubXY","1","0")&amp;IF(H65&lt;&gt;"",VLOOKUP(H65,Ops!$F$2:'Ops'!$G$20,2,FALSE),"000000"),2)),2)</f>
        <v>01</v>
      </c>
      <c r="Q65" s="26" t="str" cm="1">
        <f t="array" ref="Q65">BIN2HEX(_xlfn.IFS(D65="HWINTEN","10",G65="KeyAck","01",G65="InitLp8","01",TRUE,"00")&amp;IF(OR(Ops!$O$2:'Ops'!$O$13=K65),VLOOKUP(K65,Ops!$O$2:'Ops'!$P$13,2,FALSE),"000")&amp;IF(E65&lt;&gt;"",IF(LEN(_xlfn.XLOOKUP($E65,$C$5:$C$681,$B$5:$B$681,0))=3,HEX2BIN(LEFT(_xlfn.XLOOKUP($E65,$C$5:$C$681,$B$5:$B$681,0),1),3),IF(OR(Ops!$L$2:'Ops'!$L$11=J65),VLOOKUP(J65,Ops!$L$2:'Ops'!$M$11,2,FALSE),"000")),IF(OR(Ops!$L$2:'Ops'!$L$11=J65),VLOOKUP(J65,Ops!$L$2:'Ops'!$M$11,2,FALSE),"000")),2)</f>
        <v>00</v>
      </c>
      <c r="R65" s="27"/>
      <c r="Z65" s="74" t="str">
        <f t="shared" si="5"/>
        <v>0x26,</v>
      </c>
      <c r="AA65" s="75" t="str">
        <f t="shared" si="6"/>
        <v>0x01,</v>
      </c>
      <c r="AB65" s="75" t="str">
        <f t="shared" si="7"/>
        <v>0x00,</v>
      </c>
      <c r="AC65" s="76"/>
    </row>
    <row r="66" spans="1:29" x14ac:dyDescent="0.3">
      <c r="A66" s="79">
        <f t="shared" si="8"/>
        <v>204</v>
      </c>
      <c r="B66" s="80" t="str">
        <f t="shared" si="9"/>
        <v>CC</v>
      </c>
      <c r="D66" s="29"/>
      <c r="F66" s="28">
        <v>7</v>
      </c>
      <c r="G66" s="24"/>
      <c r="H66" s="29"/>
      <c r="M66" s="14"/>
      <c r="O66" s="25" t="str" cm="1">
        <f t="array" ref="O66">BIN2HEX(IF(I66&lt;&gt;"",VLOOKUP(I66,Ops!$I$2:'Ops'!$J$13,2,FALSE),IF(ISNUMBER(SEARCH("BR",D66)),"001","000"))&amp;IF(D66&lt;&gt;"",VLOOKUP(D66,Ops!$B$2:'Ops'!$C$23,2,FALSE),"0")&amp;_xlfn.IFS(ISNUMBER(SEARCH("BR",D66)),VLOOKUP(D66,Ops!$B$3:'Ops'!$D$22,3,FALSE),F66&lt;&gt;"",VLOOKUP(F66,Ops!$R$2:'Ops'!$S$11,2),L66&lt;&gt;"",VLOOKUP(L66,Ops!$R$2:'Ops'!$S$25,2,FALSE),TRUE,"0000"),2)</f>
        <v>07</v>
      </c>
      <c r="P66" s="26" t="str">
        <f>RIGHT(IF($E66&lt;&gt;"",_xlfn.XLOOKUP($E66,$C$4:$C$681,$B$4:$B$681,"NO LABEL"),BIN2HEX(IF(N66="CarryEn","1","0")&amp;IF(M66="SubXY","1","0")&amp;IF(H66&lt;&gt;"",VLOOKUP(H66,Ops!$F$2:'Ops'!$G$20,2,FALSE),"000000"),2)),2)</f>
        <v>00</v>
      </c>
      <c r="Q66" s="26" t="str" cm="1">
        <f t="array" ref="Q66">BIN2HEX(_xlfn.IFS(D66="HWINTEN","10",G66="KeyAck","01",G66="InitLp8","01",TRUE,"00")&amp;IF(OR(Ops!$O$2:'Ops'!$O$13=K66),VLOOKUP(K66,Ops!$O$2:'Ops'!$P$13,2,FALSE),"000")&amp;IF(E66&lt;&gt;"",IF(LEN(_xlfn.XLOOKUP($E66,$C$5:$C$681,$B$5:$B$681,0))=3,HEX2BIN(LEFT(_xlfn.XLOOKUP($E66,$C$5:$C$681,$B$5:$B$681,0),1),3),IF(OR(Ops!$L$2:'Ops'!$L$11=J66),VLOOKUP(J66,Ops!$L$2:'Ops'!$M$11,2,FALSE),"000")),IF(OR(Ops!$L$2:'Ops'!$L$11=J66),VLOOKUP(J66,Ops!$L$2:'Ops'!$M$11,2,FALSE),"000")),2)</f>
        <v>00</v>
      </c>
      <c r="R66" s="27"/>
      <c r="S66" s="4" t="s">
        <v>596</v>
      </c>
      <c r="Z66" s="74" t="str">
        <f t="shared" si="5"/>
        <v>0x07,</v>
      </c>
      <c r="AA66" s="75" t="str">
        <f t="shared" si="6"/>
        <v>0x00,</v>
      </c>
      <c r="AB66" s="75" t="str">
        <f t="shared" si="7"/>
        <v>0x00,</v>
      </c>
      <c r="AC66" s="76"/>
    </row>
    <row r="67" spans="1:29" x14ac:dyDescent="0.3">
      <c r="A67" s="79">
        <f t="shared" si="8"/>
        <v>207</v>
      </c>
      <c r="B67" s="80" t="str">
        <f t="shared" si="9"/>
        <v>CF</v>
      </c>
      <c r="D67" s="29"/>
      <c r="F67" s="28">
        <v>7</v>
      </c>
      <c r="G67" s="24"/>
      <c r="H67" s="29"/>
      <c r="M67" s="14"/>
      <c r="O67" s="25" t="str" cm="1">
        <f t="array" ref="O67">BIN2HEX(IF(I67&lt;&gt;"",VLOOKUP(I67,Ops!$I$2:'Ops'!$J$13,2,FALSE),IF(ISNUMBER(SEARCH("BR",D67)),"001","000"))&amp;IF(D67&lt;&gt;"",VLOOKUP(D67,Ops!$B$2:'Ops'!$C$23,2,FALSE),"0")&amp;_xlfn.IFS(ISNUMBER(SEARCH("BR",D67)),VLOOKUP(D67,Ops!$B$3:'Ops'!$D$22,3,FALSE),F67&lt;&gt;"",VLOOKUP(F67,Ops!$R$2:'Ops'!$S$11,2),L67&lt;&gt;"",VLOOKUP(L67,Ops!$R$2:'Ops'!$S$25,2,FALSE),TRUE,"0000"),2)</f>
        <v>07</v>
      </c>
      <c r="P67" s="26" t="str">
        <f>RIGHT(IF($E67&lt;&gt;"",_xlfn.XLOOKUP($E67,$C$4:$C$681,$B$4:$B$681,"NO LABEL"),BIN2HEX(IF(N67="CarryEn","1","0")&amp;IF(M67="SubXY","1","0")&amp;IF(H67&lt;&gt;"",VLOOKUP(H67,Ops!$F$2:'Ops'!$G$20,2,FALSE),"000000"),2)),2)</f>
        <v>00</v>
      </c>
      <c r="Q67" s="26" t="str" cm="1">
        <f t="array" ref="Q67">BIN2HEX(_xlfn.IFS(D67="HWINTEN","10",G67="KeyAck","01",G67="InitLp8","01",TRUE,"00")&amp;IF(OR(Ops!$O$2:'Ops'!$O$13=K67),VLOOKUP(K67,Ops!$O$2:'Ops'!$P$13,2,FALSE),"000")&amp;IF(E67&lt;&gt;"",IF(LEN(_xlfn.XLOOKUP($E67,$C$5:$C$681,$B$5:$B$681,0))=3,HEX2BIN(LEFT(_xlfn.XLOOKUP($E67,$C$5:$C$681,$B$5:$B$681,0),1),3),IF(OR(Ops!$L$2:'Ops'!$L$11=J67),VLOOKUP(J67,Ops!$L$2:'Ops'!$M$11,2,FALSE),"000")),IF(OR(Ops!$L$2:'Ops'!$L$11=J67),VLOOKUP(J67,Ops!$L$2:'Ops'!$M$11,2,FALSE),"000")),2)</f>
        <v>00</v>
      </c>
      <c r="R67" s="27"/>
      <c r="Z67" s="74" t="str">
        <f t="shared" si="5"/>
        <v>0x07,</v>
      </c>
      <c r="AA67" s="75" t="str">
        <f t="shared" si="6"/>
        <v>0x00,</v>
      </c>
      <c r="AB67" s="75" t="str">
        <f t="shared" si="7"/>
        <v>0x00,</v>
      </c>
      <c r="AC67" s="76"/>
    </row>
    <row r="68" spans="1:29" x14ac:dyDescent="0.3">
      <c r="A68" s="79">
        <f t="shared" si="8"/>
        <v>210</v>
      </c>
      <c r="B68" s="80" t="str">
        <f t="shared" si="9"/>
        <v>D2</v>
      </c>
      <c r="D68" s="29"/>
      <c r="F68" s="28">
        <v>7</v>
      </c>
      <c r="G68" s="24"/>
      <c r="H68" s="29"/>
      <c r="M68" s="14"/>
      <c r="O68" s="25" t="str" cm="1">
        <f t="array" ref="O68">BIN2HEX(IF(I68&lt;&gt;"",VLOOKUP(I68,Ops!$I$2:'Ops'!$J$13,2,FALSE),IF(ISNUMBER(SEARCH("BR",D68)),"001","000"))&amp;IF(D68&lt;&gt;"",VLOOKUP(D68,Ops!$B$2:'Ops'!$C$23,2,FALSE),"0")&amp;_xlfn.IFS(ISNUMBER(SEARCH("BR",D68)),VLOOKUP(D68,Ops!$B$3:'Ops'!$D$22,3,FALSE),F68&lt;&gt;"",VLOOKUP(F68,Ops!$R$2:'Ops'!$S$11,2),L68&lt;&gt;"",VLOOKUP(L68,Ops!$R$2:'Ops'!$S$25,2,FALSE),TRUE,"0000"),2)</f>
        <v>07</v>
      </c>
      <c r="P68" s="26" t="str">
        <f>RIGHT(IF($E68&lt;&gt;"",_xlfn.XLOOKUP($E68,$C$4:$C$681,$B$4:$B$681,"NO LABEL"),BIN2HEX(IF(N68="CarryEn","1","0")&amp;IF(M68="SubXY","1","0")&amp;IF(H68&lt;&gt;"",VLOOKUP(H68,Ops!$F$2:'Ops'!$G$20,2,FALSE),"000000"),2)),2)</f>
        <v>00</v>
      </c>
      <c r="Q68" s="26" t="str" cm="1">
        <f t="array" ref="Q68">BIN2HEX(_xlfn.IFS(D68="HWINTEN","10",G68="KeyAck","01",G68="InitLp8","01",TRUE,"00")&amp;IF(OR(Ops!$O$2:'Ops'!$O$13=K68),VLOOKUP(K68,Ops!$O$2:'Ops'!$P$13,2,FALSE),"000")&amp;IF(E68&lt;&gt;"",IF(LEN(_xlfn.XLOOKUP($E68,$C$5:$C$681,$B$5:$B$681,0))=3,HEX2BIN(LEFT(_xlfn.XLOOKUP($E68,$C$5:$C$681,$B$5:$B$681,0),1),3),IF(OR(Ops!$L$2:'Ops'!$L$11=J68),VLOOKUP(J68,Ops!$L$2:'Ops'!$M$11,2,FALSE),"000")),IF(OR(Ops!$L$2:'Ops'!$L$11=J68),VLOOKUP(J68,Ops!$L$2:'Ops'!$M$11,2,FALSE),"000")),2)</f>
        <v>00</v>
      </c>
      <c r="R68" s="27"/>
      <c r="Z68" s="74" t="str">
        <f t="shared" si="5"/>
        <v>0x07,</v>
      </c>
      <c r="AA68" s="75" t="str">
        <f t="shared" si="6"/>
        <v>0x00,</v>
      </c>
      <c r="AB68" s="75" t="str">
        <f t="shared" si="7"/>
        <v>0x00,</v>
      </c>
      <c r="AC68" s="76"/>
    </row>
    <row r="69" spans="1:29" x14ac:dyDescent="0.3">
      <c r="A69" s="79">
        <f t="shared" si="8"/>
        <v>213</v>
      </c>
      <c r="B69" s="80" t="str">
        <f t="shared" si="9"/>
        <v>D5</v>
      </c>
      <c r="D69" s="29"/>
      <c r="F69" s="28">
        <v>7</v>
      </c>
      <c r="G69" s="24"/>
      <c r="H69" s="29"/>
      <c r="M69" s="14"/>
      <c r="O69" s="25" t="str" cm="1">
        <f t="array" ref="O69">BIN2HEX(IF(I69&lt;&gt;"",VLOOKUP(I69,Ops!$I$2:'Ops'!$J$13,2,FALSE),IF(ISNUMBER(SEARCH("BR",D69)),"001","000"))&amp;IF(D69&lt;&gt;"",VLOOKUP(D69,Ops!$B$2:'Ops'!$C$23,2,FALSE),"0")&amp;_xlfn.IFS(ISNUMBER(SEARCH("BR",D69)),VLOOKUP(D69,Ops!$B$3:'Ops'!$D$22,3,FALSE),F69&lt;&gt;"",VLOOKUP(F69,Ops!$R$2:'Ops'!$S$11,2),L69&lt;&gt;"",VLOOKUP(L69,Ops!$R$2:'Ops'!$S$25,2,FALSE),TRUE,"0000"),2)</f>
        <v>07</v>
      </c>
      <c r="P69" s="26" t="str">
        <f>RIGHT(IF($E69&lt;&gt;"",_xlfn.XLOOKUP($E69,$C$4:$C$681,$B$4:$B$681,"NO LABEL"),BIN2HEX(IF(N69="CarryEn","1","0")&amp;IF(M69="SubXY","1","0")&amp;IF(H69&lt;&gt;"",VLOOKUP(H69,Ops!$F$2:'Ops'!$G$20,2,FALSE),"000000"),2)),2)</f>
        <v>00</v>
      </c>
      <c r="Q69" s="26" t="str" cm="1">
        <f t="array" ref="Q69">BIN2HEX(_xlfn.IFS(D69="HWINTEN","10",G69="KeyAck","01",G69="InitLp8","01",TRUE,"00")&amp;IF(OR(Ops!$O$2:'Ops'!$O$13=K69),VLOOKUP(K69,Ops!$O$2:'Ops'!$P$13,2,FALSE),"000")&amp;IF(E69&lt;&gt;"",IF(LEN(_xlfn.XLOOKUP($E69,$C$5:$C$681,$B$5:$B$681,0))=3,HEX2BIN(LEFT(_xlfn.XLOOKUP($E69,$C$5:$C$681,$B$5:$B$681,0),1),3),IF(OR(Ops!$L$2:'Ops'!$L$11=J69),VLOOKUP(J69,Ops!$L$2:'Ops'!$M$11,2,FALSE),"000")),IF(OR(Ops!$L$2:'Ops'!$L$11=J69),VLOOKUP(J69,Ops!$L$2:'Ops'!$M$11,2,FALSE),"000")),2)</f>
        <v>00</v>
      </c>
      <c r="R69" s="27"/>
      <c r="Z69" s="74" t="str">
        <f t="shared" si="5"/>
        <v>0x07,</v>
      </c>
      <c r="AA69" s="75" t="str">
        <f t="shared" si="6"/>
        <v>0x00,</v>
      </c>
      <c r="AB69" s="75" t="str">
        <f t="shared" si="7"/>
        <v>0x00,</v>
      </c>
      <c r="AC69" s="76"/>
    </row>
    <row r="70" spans="1:29" x14ac:dyDescent="0.3">
      <c r="A70" s="79">
        <f t="shared" si="8"/>
        <v>216</v>
      </c>
      <c r="B70" s="80" t="str">
        <f t="shared" si="9"/>
        <v>D8</v>
      </c>
      <c r="D70" s="29"/>
      <c r="F70" s="28">
        <v>7</v>
      </c>
      <c r="G70" s="24"/>
      <c r="H70" s="29" t="s">
        <v>53</v>
      </c>
      <c r="I70" s="4" t="s">
        <v>478</v>
      </c>
      <c r="J70" s="4" t="s">
        <v>475</v>
      </c>
      <c r="M70" s="14"/>
      <c r="O70" s="25" t="str" cm="1">
        <f t="array" ref="O70">BIN2HEX(IF(I70&lt;&gt;"",VLOOKUP(I70,Ops!$I$2:'Ops'!$J$13,2,FALSE),IF(ISNUMBER(SEARCH("BR",D70)),"001","000"))&amp;IF(D70&lt;&gt;"",VLOOKUP(D70,Ops!$B$2:'Ops'!$C$23,2,FALSE),"0")&amp;_xlfn.IFS(ISNUMBER(SEARCH("BR",D70)),VLOOKUP(D70,Ops!$B$3:'Ops'!$D$22,3,FALSE),F70&lt;&gt;"",VLOOKUP(F70,Ops!$R$2:'Ops'!$S$11,2),L70&lt;&gt;"",VLOOKUP(L70,Ops!$R$2:'Ops'!$S$25,2,FALSE),TRUE,"0000"),2)</f>
        <v>27</v>
      </c>
      <c r="P70" s="26" t="str">
        <f>RIGHT(IF($E70&lt;&gt;"",_xlfn.XLOOKUP($E70,$C$4:$C$681,$B$4:$B$681,"NO LABEL"),BIN2HEX(IF(N70="CarryEn","1","0")&amp;IF(M70="SubXY","1","0")&amp;IF(H70&lt;&gt;"",VLOOKUP(H70,Ops!$F$2:'Ops'!$G$20,2,FALSE),"000000"),2)),2)</f>
        <v>01</v>
      </c>
      <c r="Q70" s="26" t="str" cm="1">
        <f t="array" ref="Q70">BIN2HEX(_xlfn.IFS(D70="HWINTEN","10",G70="KeyAck","01",G70="InitLp8","01",TRUE,"00")&amp;IF(OR(Ops!$O$2:'Ops'!$O$13=K70),VLOOKUP(K70,Ops!$O$2:'Ops'!$P$13,2,FALSE),"000")&amp;IF(E70&lt;&gt;"",IF(LEN(_xlfn.XLOOKUP($E70,$C$5:$C$681,$B$5:$B$681,0))=3,HEX2BIN(LEFT(_xlfn.XLOOKUP($E70,$C$5:$C$681,$B$5:$B$681,0),1),3),IF(OR(Ops!$L$2:'Ops'!$L$11=J70),VLOOKUP(J70,Ops!$L$2:'Ops'!$M$11,2,FALSE),"000")),IF(OR(Ops!$L$2:'Ops'!$L$11=J70),VLOOKUP(J70,Ops!$L$2:'Ops'!$M$11,2,FALSE),"000")),2)</f>
        <v>00</v>
      </c>
      <c r="R70" s="27"/>
      <c r="Z70" s="74" t="str">
        <f t="shared" si="5"/>
        <v>0x27,</v>
      </c>
      <c r="AA70" s="75" t="str">
        <f t="shared" si="6"/>
        <v>0x01,</v>
      </c>
      <c r="AB70" s="75" t="str">
        <f t="shared" si="7"/>
        <v>0x00,</v>
      </c>
      <c r="AC70" s="76"/>
    </row>
    <row r="71" spans="1:29" x14ac:dyDescent="0.3">
      <c r="A71" s="79">
        <f t="shared" si="8"/>
        <v>219</v>
      </c>
      <c r="B71" s="80" t="str">
        <f t="shared" si="9"/>
        <v>DB</v>
      </c>
      <c r="D71" s="29"/>
      <c r="F71" s="28">
        <v>8</v>
      </c>
      <c r="G71" s="24"/>
      <c r="H71" s="29"/>
      <c r="M71" s="14"/>
      <c r="O71" s="25" t="str" cm="1">
        <f t="array" ref="O71">BIN2HEX(IF(I71&lt;&gt;"",VLOOKUP(I71,Ops!$I$2:'Ops'!$J$13,2,FALSE),IF(ISNUMBER(SEARCH("BR",D71)),"001","000"))&amp;IF(D71&lt;&gt;"",VLOOKUP(D71,Ops!$B$2:'Ops'!$C$23,2,FALSE),"0")&amp;_xlfn.IFS(ISNUMBER(SEARCH("BR",D71)),VLOOKUP(D71,Ops!$B$3:'Ops'!$D$22,3,FALSE),F71&lt;&gt;"",VLOOKUP(F71,Ops!$R$2:'Ops'!$S$11,2),L71&lt;&gt;"",VLOOKUP(L71,Ops!$R$2:'Ops'!$S$25,2,FALSE),TRUE,"0000"),2)</f>
        <v>08</v>
      </c>
      <c r="P71" s="26" t="str">
        <f>RIGHT(IF($E71&lt;&gt;"",_xlfn.XLOOKUP($E71,$C$4:$C$681,$B$4:$B$681,"NO LABEL"),BIN2HEX(IF(N71="CarryEn","1","0")&amp;IF(M71="SubXY","1","0")&amp;IF(H71&lt;&gt;"",VLOOKUP(H71,Ops!$F$2:'Ops'!$G$20,2,FALSE),"000000"),2)),2)</f>
        <v>00</v>
      </c>
      <c r="Q71" s="26" t="str" cm="1">
        <f t="array" ref="Q71">BIN2HEX(_xlfn.IFS(D71="HWINTEN","10",G71="KeyAck","01",G71="InitLp8","01",TRUE,"00")&amp;IF(OR(Ops!$O$2:'Ops'!$O$13=K71),VLOOKUP(K71,Ops!$O$2:'Ops'!$P$13,2,FALSE),"000")&amp;IF(E71&lt;&gt;"",IF(LEN(_xlfn.XLOOKUP($E71,$C$5:$C$681,$B$5:$B$681,0))=3,HEX2BIN(LEFT(_xlfn.XLOOKUP($E71,$C$5:$C$681,$B$5:$B$681,0),1),3),IF(OR(Ops!$L$2:'Ops'!$L$11=J71),VLOOKUP(J71,Ops!$L$2:'Ops'!$M$11,2,FALSE),"000")),IF(OR(Ops!$L$2:'Ops'!$L$11=J71),VLOOKUP(J71,Ops!$L$2:'Ops'!$M$11,2,FALSE),"000")),2)</f>
        <v>00</v>
      </c>
      <c r="R71" s="27"/>
      <c r="S71" s="4" t="s">
        <v>495</v>
      </c>
      <c r="Z71" s="74" t="str">
        <f t="shared" si="5"/>
        <v>0x08,</v>
      </c>
      <c r="AA71" s="75" t="str">
        <f t="shared" si="6"/>
        <v>0x00,</v>
      </c>
      <c r="AB71" s="75" t="str">
        <f t="shared" si="7"/>
        <v>0x00,</v>
      </c>
      <c r="AC71" s="76"/>
    </row>
    <row r="72" spans="1:29" x14ac:dyDescent="0.3">
      <c r="A72" s="79">
        <f t="shared" si="8"/>
        <v>222</v>
      </c>
      <c r="B72" s="80" t="str">
        <f t="shared" si="9"/>
        <v>DE</v>
      </c>
      <c r="D72" s="29"/>
      <c r="F72" s="28">
        <v>8</v>
      </c>
      <c r="G72" s="24"/>
      <c r="H72" s="29"/>
      <c r="M72" s="14"/>
      <c r="O72" s="25" t="str" cm="1">
        <f t="array" ref="O72">BIN2HEX(IF(I72&lt;&gt;"",VLOOKUP(I72,Ops!$I$2:'Ops'!$J$13,2,FALSE),IF(ISNUMBER(SEARCH("BR",D72)),"001","000"))&amp;IF(D72&lt;&gt;"",VLOOKUP(D72,Ops!$B$2:'Ops'!$C$23,2,FALSE),"0")&amp;_xlfn.IFS(ISNUMBER(SEARCH("BR",D72)),VLOOKUP(D72,Ops!$B$3:'Ops'!$D$22,3,FALSE),F72&lt;&gt;"",VLOOKUP(F72,Ops!$R$2:'Ops'!$S$11,2),L72&lt;&gt;"",VLOOKUP(L72,Ops!$R$2:'Ops'!$S$25,2,FALSE),TRUE,"0000"),2)</f>
        <v>08</v>
      </c>
      <c r="P72" s="26" t="str">
        <f>RIGHT(IF($E72&lt;&gt;"",_xlfn.XLOOKUP($E72,$C$4:$C$681,$B$4:$B$681,"NO LABEL"),BIN2HEX(IF(N72="CarryEn","1","0")&amp;IF(M72="SubXY","1","0")&amp;IF(H72&lt;&gt;"",VLOOKUP(H72,Ops!$F$2:'Ops'!$G$20,2,FALSE),"000000"),2)),2)</f>
        <v>00</v>
      </c>
      <c r="Q72" s="26" t="str" cm="1">
        <f t="array" ref="Q72">BIN2HEX(_xlfn.IFS(D72="HWINTEN","10",G72="KeyAck","01",G72="InitLp8","01",TRUE,"00")&amp;IF(OR(Ops!$O$2:'Ops'!$O$13=K72),VLOOKUP(K72,Ops!$O$2:'Ops'!$P$13,2,FALSE),"000")&amp;IF(E72&lt;&gt;"",IF(LEN(_xlfn.XLOOKUP($E72,$C$5:$C$681,$B$5:$B$681,0))=3,HEX2BIN(LEFT(_xlfn.XLOOKUP($E72,$C$5:$C$681,$B$5:$B$681,0),1),3),IF(OR(Ops!$L$2:'Ops'!$L$11=J72),VLOOKUP(J72,Ops!$L$2:'Ops'!$M$11,2,FALSE),"000")),IF(OR(Ops!$L$2:'Ops'!$L$11=J72),VLOOKUP(J72,Ops!$L$2:'Ops'!$M$11,2,FALSE),"000")),2)</f>
        <v>00</v>
      </c>
      <c r="R72" s="27"/>
      <c r="Z72" s="74" t="str">
        <f t="shared" si="5"/>
        <v>0x08,</v>
      </c>
      <c r="AA72" s="75" t="str">
        <f t="shared" si="6"/>
        <v>0x00,</v>
      </c>
      <c r="AB72" s="75" t="str">
        <f t="shared" si="7"/>
        <v>0x00,</v>
      </c>
      <c r="AC72" s="76"/>
    </row>
    <row r="73" spans="1:29" x14ac:dyDescent="0.3">
      <c r="A73" s="79">
        <f t="shared" si="8"/>
        <v>225</v>
      </c>
      <c r="B73" s="80" t="str">
        <f t="shared" si="9"/>
        <v>E1</v>
      </c>
      <c r="D73" s="29"/>
      <c r="F73" s="28">
        <v>8</v>
      </c>
      <c r="G73" s="24"/>
      <c r="H73" s="29"/>
      <c r="M73" s="14"/>
      <c r="O73" s="25" t="str" cm="1">
        <f t="array" ref="O73">BIN2HEX(IF(I73&lt;&gt;"",VLOOKUP(I73,Ops!$I$2:'Ops'!$J$13,2,FALSE),IF(ISNUMBER(SEARCH("BR",D73)),"001","000"))&amp;IF(D73&lt;&gt;"",VLOOKUP(D73,Ops!$B$2:'Ops'!$C$23,2,FALSE),"0")&amp;_xlfn.IFS(ISNUMBER(SEARCH("BR",D73)),VLOOKUP(D73,Ops!$B$3:'Ops'!$D$22,3,FALSE),F73&lt;&gt;"",VLOOKUP(F73,Ops!$R$2:'Ops'!$S$11,2),L73&lt;&gt;"",VLOOKUP(L73,Ops!$R$2:'Ops'!$S$25,2,FALSE),TRUE,"0000"),2)</f>
        <v>08</v>
      </c>
      <c r="P73" s="26" t="str">
        <f>RIGHT(IF($E73&lt;&gt;"",_xlfn.XLOOKUP($E73,$C$4:$C$681,$B$4:$B$681,"NO LABEL"),BIN2HEX(IF(N73="CarryEn","1","0")&amp;IF(M73="SubXY","1","0")&amp;IF(H73&lt;&gt;"",VLOOKUP(H73,Ops!$F$2:'Ops'!$G$20,2,FALSE),"000000"),2)),2)</f>
        <v>00</v>
      </c>
      <c r="Q73" s="26" t="str" cm="1">
        <f t="array" ref="Q73">BIN2HEX(_xlfn.IFS(D73="HWINTEN","10",G73="KeyAck","01",G73="InitLp8","01",TRUE,"00")&amp;IF(OR(Ops!$O$2:'Ops'!$O$13=K73),VLOOKUP(K73,Ops!$O$2:'Ops'!$P$13,2,FALSE),"000")&amp;IF(E73&lt;&gt;"",IF(LEN(_xlfn.XLOOKUP($E73,$C$5:$C$681,$B$5:$B$681,0))=3,HEX2BIN(LEFT(_xlfn.XLOOKUP($E73,$C$5:$C$681,$B$5:$B$681,0),1),3),IF(OR(Ops!$L$2:'Ops'!$L$11=J73),VLOOKUP(J73,Ops!$L$2:'Ops'!$M$11,2,FALSE),"000")),IF(OR(Ops!$L$2:'Ops'!$L$11=J73),VLOOKUP(J73,Ops!$L$2:'Ops'!$M$11,2,FALSE),"000")),2)</f>
        <v>00</v>
      </c>
      <c r="R73" s="27"/>
      <c r="Z73" s="74" t="str">
        <f t="shared" si="5"/>
        <v>0x08,</v>
      </c>
      <c r="AA73" s="75" t="str">
        <f t="shared" si="6"/>
        <v>0x00,</v>
      </c>
      <c r="AB73" s="75" t="str">
        <f t="shared" si="7"/>
        <v>0x00,</v>
      </c>
      <c r="AC73" s="76"/>
    </row>
    <row r="74" spans="1:29" x14ac:dyDescent="0.3">
      <c r="A74" s="79">
        <f t="shared" si="8"/>
        <v>228</v>
      </c>
      <c r="B74" s="80" t="str">
        <f t="shared" si="9"/>
        <v>E4</v>
      </c>
      <c r="D74" s="29"/>
      <c r="F74" s="28">
        <v>8</v>
      </c>
      <c r="G74" s="24"/>
      <c r="H74" s="29"/>
      <c r="M74" s="14"/>
      <c r="O74" s="25" t="str" cm="1">
        <f t="array" ref="O74">BIN2HEX(IF(I74&lt;&gt;"",VLOOKUP(I74,Ops!$I$2:'Ops'!$J$13,2,FALSE),IF(ISNUMBER(SEARCH("BR",D74)),"001","000"))&amp;IF(D74&lt;&gt;"",VLOOKUP(D74,Ops!$B$2:'Ops'!$C$23,2,FALSE),"0")&amp;_xlfn.IFS(ISNUMBER(SEARCH("BR",D74)),VLOOKUP(D74,Ops!$B$3:'Ops'!$D$22,3,FALSE),F74&lt;&gt;"",VLOOKUP(F74,Ops!$R$2:'Ops'!$S$11,2),L74&lt;&gt;"",VLOOKUP(L74,Ops!$R$2:'Ops'!$S$25,2,FALSE),TRUE,"0000"),2)</f>
        <v>08</v>
      </c>
      <c r="P74" s="26" t="str">
        <f>RIGHT(IF($E74&lt;&gt;"",_xlfn.XLOOKUP($E74,$C$4:$C$681,$B$4:$B$681,"NO LABEL"),BIN2HEX(IF(N74="CarryEn","1","0")&amp;IF(M74="SubXY","1","0")&amp;IF(H74&lt;&gt;"",VLOOKUP(H74,Ops!$F$2:'Ops'!$G$20,2,FALSE),"000000"),2)),2)</f>
        <v>00</v>
      </c>
      <c r="Q74" s="26" t="str" cm="1">
        <f t="array" ref="Q74">BIN2HEX(_xlfn.IFS(D74="HWINTEN","10",G74="KeyAck","01",G74="InitLp8","01",TRUE,"00")&amp;IF(OR(Ops!$O$2:'Ops'!$O$13=K74),VLOOKUP(K74,Ops!$O$2:'Ops'!$P$13,2,FALSE),"000")&amp;IF(E74&lt;&gt;"",IF(LEN(_xlfn.XLOOKUP($E74,$C$5:$C$681,$B$5:$B$681,0))=3,HEX2BIN(LEFT(_xlfn.XLOOKUP($E74,$C$5:$C$681,$B$5:$B$681,0),1),3),IF(OR(Ops!$L$2:'Ops'!$L$11=J74),VLOOKUP(J74,Ops!$L$2:'Ops'!$M$11,2,FALSE),"000")),IF(OR(Ops!$L$2:'Ops'!$L$11=J74),VLOOKUP(J74,Ops!$L$2:'Ops'!$M$11,2,FALSE),"000")),2)</f>
        <v>00</v>
      </c>
      <c r="R74" s="27"/>
      <c r="Z74" s="74" t="str">
        <f t="shared" si="5"/>
        <v>0x08,</v>
      </c>
      <c r="AA74" s="75" t="str">
        <f t="shared" si="6"/>
        <v>0x00,</v>
      </c>
      <c r="AB74" s="75" t="str">
        <f t="shared" si="7"/>
        <v>0x00,</v>
      </c>
      <c r="AC74" s="76"/>
    </row>
    <row r="75" spans="1:29" x14ac:dyDescent="0.3">
      <c r="A75" s="79">
        <f t="shared" si="8"/>
        <v>231</v>
      </c>
      <c r="B75" s="80" t="str">
        <f t="shared" si="9"/>
        <v>E7</v>
      </c>
      <c r="D75" s="29"/>
      <c r="F75" s="28">
        <v>8</v>
      </c>
      <c r="G75" s="24"/>
      <c r="H75" s="29"/>
      <c r="M75" s="14"/>
      <c r="O75" s="25" t="str" cm="1">
        <f t="array" ref="O75">BIN2HEX(IF(I75&lt;&gt;"",VLOOKUP(I75,Ops!$I$2:'Ops'!$J$13,2,FALSE),IF(ISNUMBER(SEARCH("BR",D75)),"001","000"))&amp;IF(D75&lt;&gt;"",VLOOKUP(D75,Ops!$B$2:'Ops'!$C$23,2,FALSE),"0")&amp;_xlfn.IFS(ISNUMBER(SEARCH("BR",D75)),VLOOKUP(D75,Ops!$B$3:'Ops'!$D$22,3,FALSE),F75&lt;&gt;"",VLOOKUP(F75,Ops!$R$2:'Ops'!$S$11,2),L75&lt;&gt;"",VLOOKUP(L75,Ops!$R$2:'Ops'!$S$25,2,FALSE),TRUE,"0000"),2)</f>
        <v>08</v>
      </c>
      <c r="P75" s="26" t="str">
        <f>RIGHT(IF($E75&lt;&gt;"",_xlfn.XLOOKUP($E75,$C$4:$C$681,$B$4:$B$681,"NO LABEL"),BIN2HEX(IF(N75="CarryEn","1","0")&amp;IF(M75="SubXY","1","0")&amp;IF(H75&lt;&gt;"",VLOOKUP(H75,Ops!$F$2:'Ops'!$G$20,2,FALSE),"000000"),2)),2)</f>
        <v>00</v>
      </c>
      <c r="Q75" s="26" t="str" cm="1">
        <f t="array" ref="Q75">BIN2HEX(_xlfn.IFS(D75="HWINTEN","10",G75="KeyAck","01",G75="InitLp8","01",TRUE,"00")&amp;IF(OR(Ops!$O$2:'Ops'!$O$13=K75),VLOOKUP(K75,Ops!$O$2:'Ops'!$P$13,2,FALSE),"000")&amp;IF(E75&lt;&gt;"",IF(LEN(_xlfn.XLOOKUP($E75,$C$5:$C$681,$B$5:$B$681,0))=3,HEX2BIN(LEFT(_xlfn.XLOOKUP($E75,$C$5:$C$681,$B$5:$B$681,0),1),3),IF(OR(Ops!$L$2:'Ops'!$L$11=J75),VLOOKUP(J75,Ops!$L$2:'Ops'!$M$11,2,FALSE),"000")),IF(OR(Ops!$L$2:'Ops'!$L$11=J75),VLOOKUP(J75,Ops!$L$2:'Ops'!$M$11,2,FALSE),"000")),2)</f>
        <v>00</v>
      </c>
      <c r="R75" s="27"/>
      <c r="S75" s="3"/>
      <c r="Z75" s="74" t="str">
        <f t="shared" si="5"/>
        <v>0x08,</v>
      </c>
      <c r="AA75" s="75" t="str">
        <f t="shared" si="6"/>
        <v>0x00,</v>
      </c>
      <c r="AB75" s="75" t="str">
        <f t="shared" si="7"/>
        <v>0x00,</v>
      </c>
      <c r="AC75" s="76"/>
    </row>
    <row r="76" spans="1:29" x14ac:dyDescent="0.3">
      <c r="A76" s="79">
        <f t="shared" si="8"/>
        <v>234</v>
      </c>
      <c r="B76" s="80" t="str">
        <f t="shared" si="9"/>
        <v>EA</v>
      </c>
      <c r="C76" s="4" t="s">
        <v>563</v>
      </c>
      <c r="D76" s="29"/>
      <c r="F76" s="28">
        <v>0</v>
      </c>
      <c r="G76" s="24" t="s">
        <v>39</v>
      </c>
      <c r="H76" s="29"/>
      <c r="K76" s="4" t="s">
        <v>213</v>
      </c>
      <c r="M76" s="58"/>
      <c r="N76" s="3"/>
      <c r="O76" s="25" t="str" cm="1">
        <f t="array" ref="O76">BIN2HEX(IF(I76&lt;&gt;"",VLOOKUP(I76,Ops!$I$2:'Ops'!$J$13,2,FALSE),IF(ISNUMBER(SEARCH("BR",D76)),"001","000"))&amp;IF(D76&lt;&gt;"",VLOOKUP(D76,Ops!$B$2:'Ops'!$C$23,2,FALSE),"0")&amp;_xlfn.IFS(ISNUMBER(SEARCH("BR",D76)),VLOOKUP(D76,Ops!$B$3:'Ops'!$D$22,3,FALSE),F76&lt;&gt;"",VLOOKUP(F76,Ops!$R$2:'Ops'!$S$11,2),L76&lt;&gt;"",VLOOKUP(L76,Ops!$R$2:'Ops'!$S$25,2,FALSE),TRUE,"0000"),2)</f>
        <v>00</v>
      </c>
      <c r="P76" s="26" t="str">
        <f>RIGHT(IF($E76&lt;&gt;"",_xlfn.XLOOKUP($E76,$C$4:$C$681,$B$4:$B$681,"NO LABEL"),BIN2HEX(IF(N76="CarryEn","1","0")&amp;IF(M76="SubXY","1","0")&amp;IF(H76&lt;&gt;"",VLOOKUP(H76,Ops!$F$2:'Ops'!$G$20,2,FALSE),"000000"),2)),2)</f>
        <v>00</v>
      </c>
      <c r="Q76" s="26" t="str" cm="1">
        <f t="array" ref="Q76">BIN2HEX(_xlfn.IFS(D76="HWINTEN","10",G76="KeyAck","01",G76="InitLp8","01",TRUE,"00")&amp;IF(OR(Ops!$O$2:'Ops'!$O$13=K76),VLOOKUP(K76,Ops!$O$2:'Ops'!$P$13,2,FALSE),"000")&amp;IF(E76&lt;&gt;"",IF(LEN(_xlfn.XLOOKUP($E76,$C$5:$C$681,$B$5:$B$681,0))=3,HEX2BIN(LEFT(_xlfn.XLOOKUP($E76,$C$5:$C$681,$B$5:$B$681,0),1),3),IF(OR(Ops!$L$2:'Ops'!$L$11=J76),VLOOKUP(J76,Ops!$L$2:'Ops'!$M$11,2,FALSE),"000")),IF(OR(Ops!$L$2:'Ops'!$L$11=J76),VLOOKUP(J76,Ops!$L$2:'Ops'!$M$11,2,FALSE),"000")),2)</f>
        <v>78</v>
      </c>
      <c r="R76" s="27"/>
      <c r="S76" s="4" t="s">
        <v>546</v>
      </c>
      <c r="Z76" s="74" t="str">
        <f t="shared" si="5"/>
        <v>0x00,</v>
      </c>
      <c r="AA76" s="75" t="str">
        <f t="shared" si="6"/>
        <v>0x00,</v>
      </c>
      <c r="AB76" s="75" t="str">
        <f t="shared" si="7"/>
        <v>0x78,</v>
      </c>
      <c r="AC76" s="76"/>
    </row>
    <row r="77" spans="1:29" x14ac:dyDescent="0.3">
      <c r="A77" s="79">
        <f t="shared" si="8"/>
        <v>237</v>
      </c>
      <c r="B77" s="80" t="str">
        <f t="shared" si="9"/>
        <v>ED</v>
      </c>
      <c r="D77" s="29" t="s">
        <v>211</v>
      </c>
      <c r="E77" s="4" t="s">
        <v>205</v>
      </c>
      <c r="F77" s="28"/>
      <c r="G77" s="24"/>
      <c r="H77" s="29"/>
      <c r="K77" s="4" t="s">
        <v>213</v>
      </c>
      <c r="M77" s="58"/>
      <c r="N77" s="3"/>
      <c r="O77" s="25" t="str" cm="1">
        <f t="array" ref="O77">BIN2HEX(IF(I77&lt;&gt;"",VLOOKUP(I77,Ops!$I$2:'Ops'!$J$15,2,FALSE),IF(ISNUMBER(SEARCH("BR",D77)),"001","000"))&amp;IF(D77&lt;&gt;"",VLOOKUP(D77,Ops!$B$2:'Ops'!$C$23,2,FALSE),"0")&amp;_xlfn.IFS(ISNUMBER(SEARCH("BR",D77)),VLOOKUP(D77,Ops!$B$3:'Ops'!$D$22,3,FALSE),F77&lt;&gt;"",VLOOKUP(F77,Ops!$R$2:'Ops'!$S$11,2),L77&lt;&gt;"",VLOOKUP(L77,Ops!$R$2:'Ops'!$S$25,2,FALSE),TRUE,"0000"),2)</f>
        <v>3B</v>
      </c>
      <c r="P77" s="26" t="str">
        <f>RIGHT(IF($E77&lt;&gt;"",_xlfn.XLOOKUP($E77,$C$4:$C$681,$B$4:$B$681,"NO LABEL"),BIN2HEX(IF(N77="CarryEn","1","0")&amp;IF(M77="SubXY","1","0")&amp;IF(H77&lt;&gt;"",VLOOKUP(H77,Ops!$F$2:'Ops'!$G$20,2,FALSE),"000000"),2)),2)</f>
        <v>F3</v>
      </c>
      <c r="Q77" s="26" t="str" cm="1">
        <f t="array" ref="Q77">BIN2HEX(_xlfn.IFS(D77="HWINTEN","10",G77="KeyAck","01",G77="InitLp8","01",TRUE,"00")&amp;IF(OR(Ops!$O$2:'Ops'!$O$13=K77),VLOOKUP(K77,Ops!$O$2:'Ops'!$P$13,2,FALSE),"000")&amp;IF(E77&lt;&gt;"",IF(LEN(_xlfn.XLOOKUP($E77,$C$5:$C$681,$B$5:$B$681,0))=3,HEX2BIN(LEFT(_xlfn.XLOOKUP($E77,$C$5:$C$681,$B$5:$B$681,0),1),3),IF(OR(Ops!$L$2:'Ops'!$L$11=J77),VLOOKUP(J77,Ops!$L$2:'Ops'!$M$11,2,FALSE),"000")),IF(OR(Ops!$L$2:'Ops'!$L$11=J77),VLOOKUP(J77,Ops!$L$2:'Ops'!$M$11,2,FALSE),"000")),2)</f>
        <v>38</v>
      </c>
      <c r="R77" s="27"/>
      <c r="S77" s="4" t="s">
        <v>214</v>
      </c>
      <c r="Z77" s="74" t="str">
        <f t="shared" si="5"/>
        <v>0x3B,</v>
      </c>
      <c r="AA77" s="75" t="str">
        <f t="shared" si="6"/>
        <v>0xF3,</v>
      </c>
      <c r="AB77" s="75" t="str">
        <f t="shared" si="7"/>
        <v>0x38,</v>
      </c>
      <c r="AC77" s="76"/>
    </row>
    <row r="78" spans="1:29" x14ac:dyDescent="0.3">
      <c r="A78" s="79">
        <f t="shared" si="8"/>
        <v>240</v>
      </c>
      <c r="B78" s="80" t="str">
        <f t="shared" si="9"/>
        <v>F0</v>
      </c>
      <c r="D78" s="29" t="s">
        <v>0</v>
      </c>
      <c r="E78" s="4" t="s">
        <v>206</v>
      </c>
      <c r="F78" s="28"/>
      <c r="G78" s="24"/>
      <c r="H78" s="29"/>
      <c r="K78" s="4" t="s">
        <v>213</v>
      </c>
      <c r="M78" s="58"/>
      <c r="N78" s="3"/>
      <c r="O78" s="25" t="str" cm="1">
        <f t="array" ref="O78">BIN2HEX(IF(I78&lt;&gt;"",VLOOKUP(I78,Ops!$I$2:'Ops'!$J$15,2,FALSE),IF(ISNUMBER(SEARCH("BR",D78)),"001","000"))&amp;IF(D78&lt;&gt;"",VLOOKUP(D78,Ops!$B$2:'Ops'!$C$23,2,FALSE),"0")&amp;_xlfn.IFS(ISNUMBER(SEARCH("BR",D78)),VLOOKUP(D78,Ops!$B$3:'Ops'!$D$22,3,FALSE),F78&lt;&gt;"",VLOOKUP(F78,Ops!$R$2:'Ops'!$S$11,2),L78&lt;&gt;"",VLOOKUP(L78,Ops!$R$2:'Ops'!$S$25,2,FALSE),TRUE,"0000"),2)</f>
        <v>10</v>
      </c>
      <c r="P78" s="26" t="str">
        <f>RIGHT(IF($E78&lt;&gt;"",_xlfn.XLOOKUP($E78,$C$4:$C$681,$B$4:$B$681,"NO LABEL"),BIN2HEX(IF(N78="CarryEn","1","0")&amp;IF(M78="SubXY","1","0")&amp;IF(H78&lt;&gt;"",VLOOKUP(H78,Ops!$F$2:'Ops'!$G$20,2,FALSE),"000000"),2)),2)</f>
        <v>17</v>
      </c>
      <c r="Q78" s="26" t="str" cm="1">
        <f t="array" ref="Q78">BIN2HEX(_xlfn.IFS(D78="HWINTEN","10",G78="KeyAck","01",G78="InitLp8","01",TRUE,"00")&amp;IF(OR(Ops!$O$2:'Ops'!$O$13=K78),VLOOKUP(K78,Ops!$O$2:'Ops'!$P$13,2,FALSE),"000")&amp;IF(E78&lt;&gt;"",IF(LEN(_xlfn.XLOOKUP($E78,$C$5:$C$681,$B$5:$B$681,0))=3,HEX2BIN(LEFT(_xlfn.XLOOKUP($E78,$C$5:$C$681,$B$5:$B$681,0),1),3),IF(OR(Ops!$L$2:'Ops'!$L$11=J78),VLOOKUP(J78,Ops!$L$2:'Ops'!$M$11,2,FALSE),"000")),IF(OR(Ops!$L$2:'Ops'!$L$11=J78),VLOOKUP(J78,Ops!$L$2:'Ops'!$M$11,2,FALSE),"000")),2)</f>
        <v>39</v>
      </c>
      <c r="R78" s="27"/>
      <c r="S78" s="4" t="s">
        <v>219</v>
      </c>
      <c r="Z78" s="74" t="str">
        <f t="shared" si="5"/>
        <v>0x10,</v>
      </c>
      <c r="AA78" s="75" t="str">
        <f t="shared" si="6"/>
        <v>0x17,</v>
      </c>
      <c r="AB78" s="75" t="str">
        <f t="shared" si="7"/>
        <v>0x39,</v>
      </c>
      <c r="AC78" s="76"/>
    </row>
    <row r="79" spans="1:29" x14ac:dyDescent="0.3">
      <c r="A79" s="79">
        <f t="shared" si="8"/>
        <v>243</v>
      </c>
      <c r="B79" s="80" t="str">
        <f t="shared" si="9"/>
        <v>F3</v>
      </c>
      <c r="C79" s="4" t="s">
        <v>205</v>
      </c>
      <c r="D79" s="29"/>
      <c r="F79" s="28">
        <v>0</v>
      </c>
      <c r="G79" s="24"/>
      <c r="H79" s="29"/>
      <c r="M79" s="58"/>
      <c r="N79" s="3"/>
      <c r="O79" s="25" t="str" cm="1">
        <f t="array" ref="O79">BIN2HEX(IF(I79&lt;&gt;"",VLOOKUP(I79,Ops!$I$2:'Ops'!$J$15,2,FALSE),IF(ISNUMBER(SEARCH("BR",D79)),"001","000"))&amp;IF(D79&lt;&gt;"",VLOOKUP(D79,Ops!$B$2:'Ops'!$C$23,2,FALSE),"0")&amp;_xlfn.IFS(ISNUMBER(SEARCH("BR",D79)),VLOOKUP(D79,Ops!$B$3:'Ops'!$D$22,3,FALSE),F79&lt;&gt;"",VLOOKUP(F79,Ops!$R$2:'Ops'!$S$11,2),L79&lt;&gt;"",VLOOKUP(L79,Ops!$R$2:'Ops'!$S$25,2,FALSE),TRUE,"0000"),2)</f>
        <v>00</v>
      </c>
      <c r="P79" s="26" t="str">
        <f>RIGHT(IF($E79&lt;&gt;"",_xlfn.XLOOKUP($E79,$C$4:$C$681,$B$4:$B$681,"NO LABEL"),BIN2HEX(IF(N79="CarryEn","1","0")&amp;IF(M79="SubXY","1","0")&amp;IF(H79&lt;&gt;"",VLOOKUP(H79,Ops!$F$2:'Ops'!$G$20,2,FALSE),"000000"),2)),2)</f>
        <v>00</v>
      </c>
      <c r="Q79" s="26" t="str" cm="1">
        <f t="array" ref="Q79">BIN2HEX(_xlfn.IFS(D79="HWINTEN","10",G79="KeyAck","01",G79="InitLp8","01",TRUE,"00")&amp;IF(OR(Ops!$O$2:'Ops'!$O$13=K79),VLOOKUP(K79,Ops!$O$2:'Ops'!$P$13,2,FALSE),"000")&amp;IF(E79&lt;&gt;"",IF(LEN(_xlfn.XLOOKUP($E79,$C$5:$C$681,$B$5:$B$681,0))=3,HEX2BIN(LEFT(_xlfn.XLOOKUP($E79,$C$5:$C$681,$B$5:$B$681,0),1),3),IF(OR(Ops!$L$2:'Ops'!$L$11=J79),VLOOKUP(J79,Ops!$L$2:'Ops'!$M$11,2,FALSE),"000")),IF(OR(Ops!$L$2:'Ops'!$L$11=J79),VLOOKUP(J79,Ops!$L$2:'Ops'!$M$11,2,FALSE),"000")),2)</f>
        <v>00</v>
      </c>
      <c r="R79" s="27"/>
      <c r="S79" s="4" t="s">
        <v>220</v>
      </c>
      <c r="Z79" s="74" t="str">
        <f t="shared" si="5"/>
        <v>0x00,</v>
      </c>
      <c r="AA79" s="75" t="str">
        <f t="shared" si="6"/>
        <v>0x00,</v>
      </c>
      <c r="AB79" s="75" t="str">
        <f t="shared" si="7"/>
        <v>0x00,</v>
      </c>
      <c r="AC79" s="76"/>
    </row>
    <row r="80" spans="1:29" x14ac:dyDescent="0.3">
      <c r="A80" s="79">
        <f t="shared" si="8"/>
        <v>246</v>
      </c>
      <c r="B80" s="80" t="str">
        <f t="shared" si="9"/>
        <v>F6</v>
      </c>
      <c r="D80" s="29"/>
      <c r="F80" s="28">
        <v>2</v>
      </c>
      <c r="G80" s="24" t="s">
        <v>39</v>
      </c>
      <c r="H80" s="29"/>
      <c r="K80" s="4" t="s">
        <v>213</v>
      </c>
      <c r="M80" s="58"/>
      <c r="N80" s="3"/>
      <c r="O80" s="25" t="str" cm="1">
        <f t="array" ref="O80">BIN2HEX(IF(I80&lt;&gt;"",VLOOKUP(I80,Ops!$I$2:'Ops'!$J$15,2,FALSE),IF(ISNUMBER(SEARCH("BR",D80)),"001","000"))&amp;IF(D80&lt;&gt;"",VLOOKUP(D80,Ops!$B$2:'Ops'!$C$23,2,FALSE),"0")&amp;_xlfn.IFS(ISNUMBER(SEARCH("BR",D80)),VLOOKUP(D80,Ops!$B$3:'Ops'!$D$22,3,FALSE),F80&lt;&gt;"",VLOOKUP(F80,Ops!$R$2:'Ops'!$S$11,2),L80&lt;&gt;"",VLOOKUP(L80,Ops!$R$2:'Ops'!$S$25,2,FALSE),TRUE,"0000"),2)</f>
        <v>02</v>
      </c>
      <c r="P80" s="26" t="str">
        <f>RIGHT(IF($E80&lt;&gt;"",_xlfn.XLOOKUP($E80,$C$4:$C$681,$B$4:$B$681,"NO LABEL"),BIN2HEX(IF(N80="CarryEn","1","0")&amp;IF(M80="SubXY","1","0")&amp;IF(H80&lt;&gt;"",VLOOKUP(H80,Ops!$F$2:'Ops'!$G$20,2,FALSE),"000000"),2)),2)</f>
        <v>00</v>
      </c>
      <c r="Q80" s="26" t="str" cm="1">
        <f t="array" ref="Q80">BIN2HEX(_xlfn.IFS(D80="HWINTEN","10",G80="KeyAck","01",G80="InitLp8","01",TRUE,"00")&amp;IF(OR(Ops!$O$2:'Ops'!$O$13=K80),VLOOKUP(K80,Ops!$O$2:'Ops'!$P$13,2,FALSE),"000")&amp;IF(E80&lt;&gt;"",IF(LEN(_xlfn.XLOOKUP($E80,$C$5:$C$681,$B$5:$B$681,0))=3,HEX2BIN(LEFT(_xlfn.XLOOKUP($E80,$C$5:$C$681,$B$5:$B$681,0),1),3),IF(OR(Ops!$L$2:'Ops'!$L$11=J80),VLOOKUP(J80,Ops!$L$2:'Ops'!$M$11,2,FALSE),"000")),IF(OR(Ops!$L$2:'Ops'!$L$11=J80),VLOOKUP(J80,Ops!$L$2:'Ops'!$M$11,2,FALSE),"000")),2)</f>
        <v>78</v>
      </c>
      <c r="R80" s="27"/>
      <c r="S80" s="4" t="s">
        <v>215</v>
      </c>
      <c r="Z80" s="74" t="str">
        <f t="shared" ref="Z80:Z93" si="10">IF(O80="", "};", "0x"&amp;O80&amp;",")</f>
        <v>0x02,</v>
      </c>
      <c r="AA80" s="75" t="str">
        <f t="shared" ref="AA80:AA93" si="11">"0x"&amp;P80&amp;","</f>
        <v>0x00,</v>
      </c>
      <c r="AB80" s="75" t="str">
        <f t="shared" ref="AB80:AB93" si="12">"0x"&amp;Q80&amp;","</f>
        <v>0x78,</v>
      </c>
      <c r="AC80" s="76"/>
    </row>
    <row r="81" spans="1:29" x14ac:dyDescent="0.3">
      <c r="A81" s="79">
        <f t="shared" si="8"/>
        <v>249</v>
      </c>
      <c r="B81" s="80" t="str">
        <f t="shared" si="9"/>
        <v>F9</v>
      </c>
      <c r="D81" s="29" t="s">
        <v>211</v>
      </c>
      <c r="E81" s="4" t="s">
        <v>207</v>
      </c>
      <c r="F81" s="28"/>
      <c r="G81" s="24"/>
      <c r="H81" s="29"/>
      <c r="K81" s="4" t="s">
        <v>213</v>
      </c>
      <c r="M81" s="58"/>
      <c r="N81" s="3"/>
      <c r="O81" s="25" t="str" cm="1">
        <f t="array" ref="O81">BIN2HEX(IF(I81&lt;&gt;"",VLOOKUP(I81,Ops!$I$2:'Ops'!$J$15,2,FALSE),IF(ISNUMBER(SEARCH("BR",D81)),"001","000"))&amp;IF(D81&lt;&gt;"",VLOOKUP(D81,Ops!$B$2:'Ops'!$C$23,2,FALSE),"0")&amp;_xlfn.IFS(ISNUMBER(SEARCH("BR",D81)),VLOOKUP(D81,Ops!$B$3:'Ops'!$D$22,3,FALSE),F81&lt;&gt;"",VLOOKUP(F81,Ops!$R$2:'Ops'!$S$11,2),L81&lt;&gt;"",VLOOKUP(L81,Ops!$R$2:'Ops'!$S$25,2,FALSE),TRUE,"0000"),2)</f>
        <v>3B</v>
      </c>
      <c r="P81" s="26" t="str">
        <f>RIGHT(IF($E81&lt;&gt;"",_xlfn.XLOOKUP($E81,$C$4:$C$681,$B$4:$B$681,"NO LABEL"),BIN2HEX(IF(N81="CarryEn","1","0")&amp;IF(M81="SubXY","1","0")&amp;IF(H81&lt;&gt;"",VLOOKUP(H81,Ops!$F$2:'Ops'!$G$20,2,FALSE),"000000"),2)),2)</f>
        <v>FF</v>
      </c>
      <c r="Q81" s="26" t="str" cm="1">
        <f t="array" ref="Q81">BIN2HEX(_xlfn.IFS(D81="HWINTEN","10",G81="KeyAck","01",G81="InitLp8","01",TRUE,"00")&amp;IF(OR(Ops!$O$2:'Ops'!$O$13=K81),VLOOKUP(K81,Ops!$O$2:'Ops'!$P$13,2,FALSE),"000")&amp;IF(E81&lt;&gt;"",IF(LEN(_xlfn.XLOOKUP($E81,$C$5:$C$681,$B$5:$B$681,0))=3,HEX2BIN(LEFT(_xlfn.XLOOKUP($E81,$C$5:$C$681,$B$5:$B$681,0),1),3),IF(OR(Ops!$L$2:'Ops'!$L$11=J81),VLOOKUP(J81,Ops!$L$2:'Ops'!$M$11,2,FALSE),"000")),IF(OR(Ops!$L$2:'Ops'!$L$11=J81),VLOOKUP(J81,Ops!$L$2:'Ops'!$M$11,2,FALSE),"000")),2)</f>
        <v>38</v>
      </c>
      <c r="R81" s="27"/>
      <c r="Z81" s="74" t="str">
        <f t="shared" si="10"/>
        <v>0x3B,</v>
      </c>
      <c r="AA81" s="75" t="str">
        <f t="shared" si="11"/>
        <v>0xFF,</v>
      </c>
      <c r="AB81" s="75" t="str">
        <f t="shared" si="12"/>
        <v>0x38,</v>
      </c>
      <c r="AC81" s="76"/>
    </row>
    <row r="82" spans="1:29" x14ac:dyDescent="0.3">
      <c r="A82" s="79">
        <f t="shared" si="8"/>
        <v>252</v>
      </c>
      <c r="B82" s="80" t="str">
        <f t="shared" si="9"/>
        <v>FC</v>
      </c>
      <c r="D82" s="29" t="s">
        <v>0</v>
      </c>
      <c r="E82" s="4" t="s">
        <v>206</v>
      </c>
      <c r="F82" s="28"/>
      <c r="G82" s="24"/>
      <c r="H82" s="29"/>
      <c r="K82" s="4" t="s">
        <v>213</v>
      </c>
      <c r="M82" s="58"/>
      <c r="N82" s="3"/>
      <c r="O82" s="25" t="str" cm="1">
        <f t="array" ref="O82">BIN2HEX(IF(I82&lt;&gt;"",VLOOKUP(I82,Ops!$I$2:'Ops'!$J$15,2,FALSE),IF(ISNUMBER(SEARCH("BR",D82)),"001","000"))&amp;IF(D82&lt;&gt;"",VLOOKUP(D82,Ops!$B$2:'Ops'!$C$23,2,FALSE),"0")&amp;_xlfn.IFS(ISNUMBER(SEARCH("BR",D82)),VLOOKUP(D82,Ops!$B$3:'Ops'!$D$22,3,FALSE),F82&lt;&gt;"",VLOOKUP(F82,Ops!$R$2:'Ops'!$S$11,2),L82&lt;&gt;"",VLOOKUP(L82,Ops!$R$2:'Ops'!$S$25,2,FALSE),TRUE,"0000"),2)</f>
        <v>10</v>
      </c>
      <c r="P82" s="26" t="str">
        <f>RIGHT(IF($E82&lt;&gt;"",_xlfn.XLOOKUP($E82,$C$4:$C$681,$B$4:$B$681,"NO LABEL"),BIN2HEX(IF(N82="CarryEn","1","0")&amp;IF(M82="SubXY","1","0")&amp;IF(H82&lt;&gt;"",VLOOKUP(H82,Ops!$F$2:'Ops'!$G$20,2,FALSE),"000000"),2)),2)</f>
        <v>17</v>
      </c>
      <c r="Q82" s="26" t="str" cm="1">
        <f t="array" ref="Q82">BIN2HEX(_xlfn.IFS(D82="HWINTEN","10",G82="KeyAck","01",G82="InitLp8","01",TRUE,"00")&amp;IF(OR(Ops!$O$2:'Ops'!$O$13=K82),VLOOKUP(K82,Ops!$O$2:'Ops'!$P$13,2,FALSE),"000")&amp;IF(E82&lt;&gt;"",IF(LEN(_xlfn.XLOOKUP($E82,$C$5:$C$681,$B$5:$B$681,0))=3,HEX2BIN(LEFT(_xlfn.XLOOKUP($E82,$C$5:$C$681,$B$5:$B$681,0),1),3),IF(OR(Ops!$L$2:'Ops'!$L$11=J82),VLOOKUP(J82,Ops!$L$2:'Ops'!$M$11,2,FALSE),"000")),IF(OR(Ops!$L$2:'Ops'!$L$11=J82),VLOOKUP(J82,Ops!$L$2:'Ops'!$M$11,2,FALSE),"000")),2)</f>
        <v>39</v>
      </c>
      <c r="R82" s="27"/>
      <c r="Z82" s="74" t="str">
        <f t="shared" si="10"/>
        <v>0x10,</v>
      </c>
      <c r="AA82" s="75" t="str">
        <f t="shared" si="11"/>
        <v>0x17,</v>
      </c>
      <c r="AB82" s="75" t="str">
        <f t="shared" si="12"/>
        <v>0x39,</v>
      </c>
      <c r="AC82" s="76"/>
    </row>
    <row r="83" spans="1:29" x14ac:dyDescent="0.3">
      <c r="A83" s="79">
        <f t="shared" ref="A83:A299" si="13">A82+3</f>
        <v>255</v>
      </c>
      <c r="B83" s="80" t="str">
        <f t="shared" ref="B83:B93" si="14">DEC2HEX(A83)</f>
        <v>FF</v>
      </c>
      <c r="C83" s="4" t="s">
        <v>207</v>
      </c>
      <c r="D83" s="29"/>
      <c r="F83" s="28">
        <v>0</v>
      </c>
      <c r="G83" s="24"/>
      <c r="H83" s="29"/>
      <c r="M83" s="58"/>
      <c r="N83" s="3"/>
      <c r="O83" s="25" t="str" cm="1">
        <f t="array" ref="O83">BIN2HEX(IF(I83&lt;&gt;"",VLOOKUP(I83,Ops!$I$2:'Ops'!$J$15,2,FALSE),IF(ISNUMBER(SEARCH("BR",D83)),"001","000"))&amp;IF(D83&lt;&gt;"",VLOOKUP(D83,Ops!$B$2:'Ops'!$C$23,2,FALSE),"0")&amp;_xlfn.IFS(ISNUMBER(SEARCH("BR",D83)),VLOOKUP(D83,Ops!$B$3:'Ops'!$D$22,3,FALSE),F83&lt;&gt;"",VLOOKUP(F83,Ops!$R$2:'Ops'!$S$11,2),L83&lt;&gt;"",VLOOKUP(L83,Ops!$R$2:'Ops'!$S$25,2,FALSE),TRUE,"0000"),2)</f>
        <v>00</v>
      </c>
      <c r="P83" s="26" t="str">
        <f>RIGHT(IF($E83&lt;&gt;"",_xlfn.XLOOKUP($E83,$C$4:$C$681,$B$4:$B$681,"NO LABEL"),BIN2HEX(IF(N83="CarryEn","1","0")&amp;IF(M83="SubXY","1","0")&amp;IF(H83&lt;&gt;"",VLOOKUP(H83,Ops!$F$2:'Ops'!$G$20,2,FALSE),"000000"),2)),2)</f>
        <v>00</v>
      </c>
      <c r="Q83" s="26" t="str" cm="1">
        <f t="array" ref="Q83">BIN2HEX(_xlfn.IFS(D83="HWINTEN","10",G83="KeyAck","01",G83="InitLp8","01",TRUE,"00")&amp;IF(OR(Ops!$O$2:'Ops'!$O$13=K83),VLOOKUP(K83,Ops!$O$2:'Ops'!$P$13,2,FALSE),"000")&amp;IF(E83&lt;&gt;"",IF(LEN(_xlfn.XLOOKUP($E83,$C$5:$C$681,$B$5:$B$681,0))=3,HEX2BIN(LEFT(_xlfn.XLOOKUP($E83,$C$5:$C$681,$B$5:$B$681,0),1),3),IF(OR(Ops!$L$2:'Ops'!$L$11=J83),VLOOKUP(J83,Ops!$L$2:'Ops'!$M$11,2,FALSE),"000")),IF(OR(Ops!$L$2:'Ops'!$L$11=J83),VLOOKUP(J83,Ops!$L$2:'Ops'!$M$11,2,FALSE),"000")),2)</f>
        <v>00</v>
      </c>
      <c r="R83" s="27"/>
      <c r="Z83" s="74" t="str">
        <f t="shared" si="10"/>
        <v>0x00,</v>
      </c>
      <c r="AA83" s="75" t="str">
        <f t="shared" si="11"/>
        <v>0x00,</v>
      </c>
      <c r="AB83" s="75" t="str">
        <f t="shared" si="12"/>
        <v>0x00,</v>
      </c>
      <c r="AC83" s="76"/>
    </row>
    <row r="84" spans="1:29" x14ac:dyDescent="0.3">
      <c r="A84" s="79">
        <f t="shared" si="13"/>
        <v>258</v>
      </c>
      <c r="B84" s="80" t="str">
        <f t="shared" si="14"/>
        <v>102</v>
      </c>
      <c r="D84" s="29"/>
      <c r="F84" s="28">
        <v>4</v>
      </c>
      <c r="G84" s="24" t="s">
        <v>39</v>
      </c>
      <c r="H84" s="29"/>
      <c r="K84" s="4" t="s">
        <v>213</v>
      </c>
      <c r="M84" s="58"/>
      <c r="N84" s="3"/>
      <c r="O84" s="25" t="str" cm="1">
        <f t="array" ref="O84">BIN2HEX(IF(I84&lt;&gt;"",VLOOKUP(I84,Ops!$I$2:'Ops'!$J$15,2,FALSE),IF(ISNUMBER(SEARCH("BR",D84)),"001","000"))&amp;IF(D84&lt;&gt;"",VLOOKUP(D84,Ops!$B$2:'Ops'!$C$23,2,FALSE),"0")&amp;_xlfn.IFS(ISNUMBER(SEARCH("BR",D84)),VLOOKUP(D84,Ops!$B$3:'Ops'!$D$22,3,FALSE),F84&lt;&gt;"",VLOOKUP(F84,Ops!$R$2:'Ops'!$S$11,2),L84&lt;&gt;"",VLOOKUP(L84,Ops!$R$2:'Ops'!$S$25,2,FALSE),TRUE,"0000"),2)</f>
        <v>04</v>
      </c>
      <c r="P84" s="26" t="str">
        <f>RIGHT(IF($E84&lt;&gt;"",_xlfn.XLOOKUP($E84,$C$4:$C$681,$B$4:$B$681,"NO LABEL"),BIN2HEX(IF(N84="CarryEn","1","0")&amp;IF(M84="SubXY","1","0")&amp;IF(H84&lt;&gt;"",VLOOKUP(H84,Ops!$F$2:'Ops'!$G$20,2,FALSE),"000000"),2)),2)</f>
        <v>00</v>
      </c>
      <c r="Q84" s="26" t="str" cm="1">
        <f t="array" ref="Q84">BIN2HEX(_xlfn.IFS(D84="HWINTEN","10",G84="KeyAck","01",G84="InitLp8","01",TRUE,"00")&amp;IF(OR(Ops!$O$2:'Ops'!$O$13=K84),VLOOKUP(K84,Ops!$O$2:'Ops'!$P$13,2,FALSE),"000")&amp;IF(E84&lt;&gt;"",IF(LEN(_xlfn.XLOOKUP($E84,$C$5:$C$681,$B$5:$B$681,0))=3,HEX2BIN(LEFT(_xlfn.XLOOKUP($E84,$C$5:$C$681,$B$5:$B$681,0),1),3),IF(OR(Ops!$L$2:'Ops'!$L$11=J84),VLOOKUP(J84,Ops!$L$2:'Ops'!$M$11,2,FALSE),"000")),IF(OR(Ops!$L$2:'Ops'!$L$11=J84),VLOOKUP(J84,Ops!$L$2:'Ops'!$M$11,2,FALSE),"000")),2)</f>
        <v>78</v>
      </c>
      <c r="R84" s="27"/>
      <c r="S84" s="4" t="s">
        <v>217</v>
      </c>
      <c r="Z84" s="74" t="str">
        <f t="shared" si="10"/>
        <v>0x04,</v>
      </c>
      <c r="AA84" s="75" t="str">
        <f t="shared" si="11"/>
        <v>0x00,</v>
      </c>
      <c r="AB84" s="75" t="str">
        <f t="shared" si="12"/>
        <v>0x78,</v>
      </c>
      <c r="AC84" s="76"/>
    </row>
    <row r="85" spans="1:29" x14ac:dyDescent="0.3">
      <c r="A85" s="79">
        <f t="shared" si="13"/>
        <v>261</v>
      </c>
      <c r="B85" s="80" t="str">
        <f t="shared" si="14"/>
        <v>105</v>
      </c>
      <c r="D85" s="29" t="s">
        <v>211</v>
      </c>
      <c r="E85" s="4" t="s">
        <v>208</v>
      </c>
      <c r="F85" s="28"/>
      <c r="G85" s="24"/>
      <c r="H85" s="29"/>
      <c r="K85" s="4" t="s">
        <v>213</v>
      </c>
      <c r="M85" s="58"/>
      <c r="N85" s="3"/>
      <c r="O85" s="25" t="str" cm="1">
        <f t="array" ref="O85">BIN2HEX(IF(I85&lt;&gt;"",VLOOKUP(I85,Ops!$I$2:'Ops'!$J$15,2,FALSE),IF(ISNUMBER(SEARCH("BR",D85)),"001","000"))&amp;IF(D85&lt;&gt;"",VLOOKUP(D85,Ops!$B$2:'Ops'!$C$23,2,FALSE),"0")&amp;_xlfn.IFS(ISNUMBER(SEARCH("BR",D85)),VLOOKUP(D85,Ops!$B$3:'Ops'!$D$22,3,FALSE),F85&lt;&gt;"",VLOOKUP(F85,Ops!$R$2:'Ops'!$S$11,2),L85&lt;&gt;"",VLOOKUP(L85,Ops!$R$2:'Ops'!$S$25,2,FALSE),TRUE,"0000"),2)</f>
        <v>3B</v>
      </c>
      <c r="P85" s="26" t="str">
        <f>RIGHT(IF($E85&lt;&gt;"",_xlfn.XLOOKUP($E85,$C$4:$C$681,$B$4:$B$681,"NO LABEL"),BIN2HEX(IF(N85="CarryEn","1","0")&amp;IF(M85="SubXY","1","0")&amp;IF(H85&lt;&gt;"",VLOOKUP(H85,Ops!$F$2:'Ops'!$G$20,2,FALSE),"000000"),2)),2)</f>
        <v>0B</v>
      </c>
      <c r="Q85" s="26" t="str" cm="1">
        <f t="array" ref="Q85">BIN2HEX(_xlfn.IFS(D85="HWINTEN","10",G85="KeyAck","01",G85="InitLp8","01",TRUE,"00")&amp;IF(OR(Ops!$O$2:'Ops'!$O$13=K85),VLOOKUP(K85,Ops!$O$2:'Ops'!$P$13,2,FALSE),"000")&amp;IF(E85&lt;&gt;"",IF(LEN(_xlfn.XLOOKUP($E85,$C$5:$C$681,$B$5:$B$681,0))=3,HEX2BIN(LEFT(_xlfn.XLOOKUP($E85,$C$5:$C$681,$B$5:$B$681,0),1),3),IF(OR(Ops!$L$2:'Ops'!$L$11=J85),VLOOKUP(J85,Ops!$L$2:'Ops'!$M$11,2,FALSE),"000")),IF(OR(Ops!$L$2:'Ops'!$L$11=J85),VLOOKUP(J85,Ops!$L$2:'Ops'!$M$11,2,FALSE),"000")),2)</f>
        <v>39</v>
      </c>
      <c r="R85" s="27"/>
      <c r="Z85" s="74" t="str">
        <f t="shared" si="10"/>
        <v>0x3B,</v>
      </c>
      <c r="AA85" s="75" t="str">
        <f t="shared" si="11"/>
        <v>0x0B,</v>
      </c>
      <c r="AB85" s="75" t="str">
        <f t="shared" si="12"/>
        <v>0x39,</v>
      </c>
      <c r="AC85" s="76"/>
    </row>
    <row r="86" spans="1:29" x14ac:dyDescent="0.3">
      <c r="A86" s="79">
        <f t="shared" si="13"/>
        <v>264</v>
      </c>
      <c r="B86" s="80" t="str">
        <f t="shared" si="14"/>
        <v>108</v>
      </c>
      <c r="D86" s="29" t="s">
        <v>0</v>
      </c>
      <c r="E86" s="4" t="s">
        <v>206</v>
      </c>
      <c r="F86" s="28"/>
      <c r="G86" s="24"/>
      <c r="H86" s="29"/>
      <c r="K86" s="4" t="s">
        <v>213</v>
      </c>
      <c r="M86" s="58"/>
      <c r="N86" s="3"/>
      <c r="O86" s="25" t="str" cm="1">
        <f t="array" ref="O86">BIN2HEX(IF(I86&lt;&gt;"",VLOOKUP(I86,Ops!$I$2:'Ops'!$J$15,2,FALSE),IF(ISNUMBER(SEARCH("BR",D86)),"001","000"))&amp;IF(D86&lt;&gt;"",VLOOKUP(D86,Ops!$B$2:'Ops'!$C$23,2,FALSE),"0")&amp;_xlfn.IFS(ISNUMBER(SEARCH("BR",D86)),VLOOKUP(D86,Ops!$B$3:'Ops'!$D$22,3,FALSE),F86&lt;&gt;"",VLOOKUP(F86,Ops!$R$2:'Ops'!$S$11,2),L86&lt;&gt;"",VLOOKUP(L86,Ops!$R$2:'Ops'!$S$25,2,FALSE),TRUE,"0000"),2)</f>
        <v>10</v>
      </c>
      <c r="P86" s="26" t="str">
        <f>RIGHT(IF($E86&lt;&gt;"",_xlfn.XLOOKUP($E86,$C$4:$C$681,$B$4:$B$681,"NO LABEL"),BIN2HEX(IF(N86="CarryEn","1","0")&amp;IF(M86="SubXY","1","0")&amp;IF(H86&lt;&gt;"",VLOOKUP(H86,Ops!$F$2:'Ops'!$G$20,2,FALSE),"000000"),2)),2)</f>
        <v>17</v>
      </c>
      <c r="Q86" s="26" t="str" cm="1">
        <f t="array" ref="Q86">BIN2HEX(_xlfn.IFS(D86="HWINTEN","10",G86="KeyAck","01",G86="InitLp8","01",TRUE,"00")&amp;IF(OR(Ops!$O$2:'Ops'!$O$13=K86),VLOOKUP(K86,Ops!$O$2:'Ops'!$P$13,2,FALSE),"000")&amp;IF(E86&lt;&gt;"",IF(LEN(_xlfn.XLOOKUP($E86,$C$5:$C$681,$B$5:$B$681,0))=3,HEX2BIN(LEFT(_xlfn.XLOOKUP($E86,$C$5:$C$681,$B$5:$B$681,0),1),3),IF(OR(Ops!$L$2:'Ops'!$L$11=J86),VLOOKUP(J86,Ops!$L$2:'Ops'!$M$11,2,FALSE),"000")),IF(OR(Ops!$L$2:'Ops'!$L$11=J86),VLOOKUP(J86,Ops!$L$2:'Ops'!$M$11,2,FALSE),"000")),2)</f>
        <v>39</v>
      </c>
      <c r="R86" s="27"/>
      <c r="Z86" s="74" t="str">
        <f t="shared" si="10"/>
        <v>0x10,</v>
      </c>
      <c r="AA86" s="75" t="str">
        <f t="shared" si="11"/>
        <v>0x17,</v>
      </c>
      <c r="AB86" s="75" t="str">
        <f t="shared" si="12"/>
        <v>0x39,</v>
      </c>
      <c r="AC86" s="76"/>
    </row>
    <row r="87" spans="1:29" x14ac:dyDescent="0.3">
      <c r="A87" s="79">
        <f t="shared" si="13"/>
        <v>267</v>
      </c>
      <c r="B87" s="80" t="str">
        <f t="shared" si="14"/>
        <v>10B</v>
      </c>
      <c r="C87" s="4" t="s">
        <v>208</v>
      </c>
      <c r="D87" s="29"/>
      <c r="F87" s="28">
        <v>0</v>
      </c>
      <c r="G87" s="24"/>
      <c r="H87" s="29"/>
      <c r="M87" s="58"/>
      <c r="N87" s="3"/>
      <c r="O87" s="25" t="str" cm="1">
        <f t="array" ref="O87">BIN2HEX(IF(I87&lt;&gt;"",VLOOKUP(I87,Ops!$I$2:'Ops'!$J$15,2,FALSE),IF(ISNUMBER(SEARCH("BR",D87)),"001","000"))&amp;IF(D87&lt;&gt;"",VLOOKUP(D87,Ops!$B$2:'Ops'!$C$23,2,FALSE),"0")&amp;_xlfn.IFS(ISNUMBER(SEARCH("BR",D87)),VLOOKUP(D87,Ops!$B$3:'Ops'!$D$22,3,FALSE),F87&lt;&gt;"",VLOOKUP(F87,Ops!$R$2:'Ops'!$S$11,2),L87&lt;&gt;"",VLOOKUP(L87,Ops!$R$2:'Ops'!$S$25,2,FALSE),TRUE,"0000"),2)</f>
        <v>00</v>
      </c>
      <c r="P87" s="26" t="str">
        <f>RIGHT(IF($E87&lt;&gt;"",_xlfn.XLOOKUP($E87,$C$4:$C$681,$B$4:$B$681,"NO LABEL"),BIN2HEX(IF(N87="CarryEn","1","0")&amp;IF(M87="SubXY","1","0")&amp;IF(H87&lt;&gt;"",VLOOKUP(H87,Ops!$F$2:'Ops'!$G$20,2,FALSE),"000000"),2)),2)</f>
        <v>00</v>
      </c>
      <c r="Q87" s="26" t="str" cm="1">
        <f t="array" ref="Q87">BIN2HEX(_xlfn.IFS(D87="HWINTEN","10",G87="KeyAck","01",G87="InitLp8","01",TRUE,"00")&amp;IF(OR(Ops!$O$2:'Ops'!$O$13=K87),VLOOKUP(K87,Ops!$O$2:'Ops'!$P$13,2,FALSE),"000")&amp;IF(E87&lt;&gt;"",IF(LEN(_xlfn.XLOOKUP($E87,$C$5:$C$681,$B$5:$B$681,0))=3,HEX2BIN(LEFT(_xlfn.XLOOKUP($E87,$C$5:$C$681,$B$5:$B$681,0),1),3),IF(OR(Ops!$L$2:'Ops'!$L$11=J87),VLOOKUP(J87,Ops!$L$2:'Ops'!$M$11,2,FALSE),"000")),IF(OR(Ops!$L$2:'Ops'!$L$11=J87),VLOOKUP(J87,Ops!$L$2:'Ops'!$M$11,2,FALSE),"000")),2)</f>
        <v>00</v>
      </c>
      <c r="R87" s="27"/>
      <c r="Z87" s="74" t="str">
        <f t="shared" si="10"/>
        <v>0x00,</v>
      </c>
      <c r="AA87" s="75" t="str">
        <f t="shared" si="11"/>
        <v>0x00,</v>
      </c>
      <c r="AB87" s="75" t="str">
        <f t="shared" si="12"/>
        <v>0x00,</v>
      </c>
      <c r="AC87" s="76"/>
    </row>
    <row r="88" spans="1:29" x14ac:dyDescent="0.3">
      <c r="A88" s="79">
        <f t="shared" si="13"/>
        <v>270</v>
      </c>
      <c r="B88" s="80" t="str">
        <f t="shared" si="14"/>
        <v>10E</v>
      </c>
      <c r="D88" s="29"/>
      <c r="F88" s="28">
        <v>6</v>
      </c>
      <c r="G88" s="24" t="s">
        <v>39</v>
      </c>
      <c r="H88" s="29"/>
      <c r="K88" s="4" t="s">
        <v>213</v>
      </c>
      <c r="M88" s="58"/>
      <c r="N88" s="3"/>
      <c r="O88" s="25" t="str" cm="1">
        <f t="array" ref="O88">BIN2HEX(IF(I88&lt;&gt;"",VLOOKUP(I88,Ops!$I$2:'Ops'!$J$15,2,FALSE),IF(ISNUMBER(SEARCH("BR",D88)),"001","000"))&amp;IF(D88&lt;&gt;"",VLOOKUP(D88,Ops!$B$2:'Ops'!$C$23,2,FALSE),"0")&amp;_xlfn.IFS(ISNUMBER(SEARCH("BR",D88)),VLOOKUP(D88,Ops!$B$3:'Ops'!$D$22,3,FALSE),F88&lt;&gt;"",VLOOKUP(F88,Ops!$R$2:'Ops'!$S$11,2),L88&lt;&gt;"",VLOOKUP(L88,Ops!$R$2:'Ops'!$S$25,2,FALSE),TRUE,"0000"),2)</f>
        <v>06</v>
      </c>
      <c r="P88" s="26" t="str">
        <f>RIGHT(IF($E88&lt;&gt;"",_xlfn.XLOOKUP($E88,$C$4:$C$681,$B$4:$B$681,"NO LABEL"),BIN2HEX(IF(N88="CarryEn","1","0")&amp;IF(M88="SubXY","1","0")&amp;IF(H88&lt;&gt;"",VLOOKUP(H88,Ops!$F$2:'Ops'!$G$20,2,FALSE),"000000"),2)),2)</f>
        <v>00</v>
      </c>
      <c r="Q88" s="26" t="str" cm="1">
        <f t="array" ref="Q88">BIN2HEX(_xlfn.IFS(D88="HWINTEN","10",G88="KeyAck","01",G88="InitLp8","01",TRUE,"00")&amp;IF(OR(Ops!$O$2:'Ops'!$O$13=K88),VLOOKUP(K88,Ops!$O$2:'Ops'!$P$13,2,FALSE),"000")&amp;IF(E88&lt;&gt;"",IF(LEN(_xlfn.XLOOKUP($E88,$C$5:$C$681,$B$5:$B$681,0))=3,HEX2BIN(LEFT(_xlfn.XLOOKUP($E88,$C$5:$C$681,$B$5:$B$681,0),1),3),IF(OR(Ops!$L$2:'Ops'!$L$11=J88),VLOOKUP(J88,Ops!$L$2:'Ops'!$M$11,2,FALSE),"000")),IF(OR(Ops!$L$2:'Ops'!$L$11=J88),VLOOKUP(J88,Ops!$L$2:'Ops'!$M$11,2,FALSE),"000")),2)</f>
        <v>78</v>
      </c>
      <c r="R88" s="27"/>
      <c r="S88" s="4" t="s">
        <v>218</v>
      </c>
      <c r="Z88" s="74" t="str">
        <f t="shared" si="10"/>
        <v>0x06,</v>
      </c>
      <c r="AA88" s="75" t="str">
        <f t="shared" si="11"/>
        <v>0x00,</v>
      </c>
      <c r="AB88" s="75" t="str">
        <f t="shared" si="12"/>
        <v>0x78,</v>
      </c>
      <c r="AC88" s="76"/>
    </row>
    <row r="89" spans="1:29" x14ac:dyDescent="0.3">
      <c r="A89" s="79">
        <f t="shared" si="13"/>
        <v>273</v>
      </c>
      <c r="B89" s="80" t="str">
        <f t="shared" si="14"/>
        <v>111</v>
      </c>
      <c r="D89" s="29" t="s">
        <v>211</v>
      </c>
      <c r="E89" s="4" t="s">
        <v>1</v>
      </c>
      <c r="F89" s="29"/>
      <c r="G89" s="24"/>
      <c r="H89" s="29"/>
      <c r="K89" s="4" t="s">
        <v>213</v>
      </c>
      <c r="M89" s="58"/>
      <c r="N89" s="3"/>
      <c r="O89" s="25" t="str" cm="1">
        <f t="array" ref="O89">BIN2HEX(IF(I89&lt;&gt;"",VLOOKUP(I89,Ops!$I$2:'Ops'!$J$15,2,FALSE),IF(ISNUMBER(SEARCH("BR",D89)),"001","000"))&amp;IF(D89&lt;&gt;"",VLOOKUP(D89,Ops!$B$2:'Ops'!$C$23,2,FALSE),"0")&amp;_xlfn.IFS(ISNUMBER(SEARCH("BR",D89)),VLOOKUP(D89,Ops!$B$3:'Ops'!$D$22,3,FALSE),F89&lt;&gt;"",VLOOKUP(F89,Ops!$R$2:'Ops'!$S$11,2),L89&lt;&gt;"",VLOOKUP(L89,Ops!$R$2:'Ops'!$S$25,2,FALSE),TRUE,"0000"),2)</f>
        <v>3B</v>
      </c>
      <c r="P89" s="26" t="str">
        <f>RIGHT(IF($E89&lt;&gt;"",_xlfn.XLOOKUP($E89,$C$4:$C$681,$B$4:$B$681,"NO LABEL"),BIN2HEX(IF(N89="CarryEn","1","0")&amp;IF(M89="SubXY","1","0")&amp;IF(H89&lt;&gt;"",VLOOKUP(H89,Ops!$F$2:'Ops'!$G$20,2,FALSE),"000000"),2)),2)</f>
        <v>60</v>
      </c>
      <c r="Q89" s="26" t="str" cm="1">
        <f t="array" ref="Q89">BIN2HEX(_xlfn.IFS(D89="HWINTEN","10",G89="KeyAck","01",G89="InitLp8","01",TRUE,"00")&amp;IF(OR(Ops!$O$2:'Ops'!$O$13=K89),VLOOKUP(K89,Ops!$O$2:'Ops'!$P$13,2,FALSE),"000")&amp;IF(E89&lt;&gt;"",IF(LEN(_xlfn.XLOOKUP($E89,$C$5:$C$681,$B$5:$B$681,0))=3,HEX2BIN(LEFT(_xlfn.XLOOKUP($E89,$C$5:$C$681,$B$5:$B$681,0),1),3),IF(OR(Ops!$L$2:'Ops'!$L$11=J89),VLOOKUP(J89,Ops!$L$2:'Ops'!$M$11,2,FALSE),"000")),IF(OR(Ops!$L$2:'Ops'!$L$11=J89),VLOOKUP(J89,Ops!$L$2:'Ops'!$M$11,2,FALSE),"000")),2)</f>
        <v>38</v>
      </c>
      <c r="R89" s="27"/>
      <c r="S89" s="4" t="s">
        <v>216</v>
      </c>
      <c r="Z89" s="74" t="str">
        <f t="shared" si="10"/>
        <v>0x3B,</v>
      </c>
      <c r="AA89" s="75" t="str">
        <f t="shared" si="11"/>
        <v>0x60,</v>
      </c>
      <c r="AB89" s="75" t="str">
        <f t="shared" si="12"/>
        <v>0x38,</v>
      </c>
      <c r="AC89" s="76"/>
    </row>
    <row r="90" spans="1:29" x14ac:dyDescent="0.3">
      <c r="A90" s="79">
        <f t="shared" si="13"/>
        <v>276</v>
      </c>
      <c r="B90" s="80" t="str">
        <f t="shared" si="14"/>
        <v>114</v>
      </c>
      <c r="D90" s="29" t="s">
        <v>0</v>
      </c>
      <c r="E90" s="4" t="s">
        <v>206</v>
      </c>
      <c r="F90" s="29"/>
      <c r="G90" s="24"/>
      <c r="H90" s="29"/>
      <c r="K90" s="4" t="s">
        <v>213</v>
      </c>
      <c r="M90" s="58"/>
      <c r="N90" s="3"/>
      <c r="O90" s="25" t="str" cm="1">
        <f t="array" ref="O90">BIN2HEX(IF(I90&lt;&gt;"",VLOOKUP(I90,Ops!$I$2:'Ops'!$J$15,2,FALSE),IF(ISNUMBER(SEARCH("BR",D90)),"001","000"))&amp;IF(D90&lt;&gt;"",VLOOKUP(D90,Ops!$B$2:'Ops'!$C$23,2,FALSE),"0")&amp;_xlfn.IFS(ISNUMBER(SEARCH("BR",D90)),VLOOKUP(D90,Ops!$B$3:'Ops'!$D$22,3,FALSE),F90&lt;&gt;"",VLOOKUP(F90,Ops!$R$2:'Ops'!$S$11,2),L90&lt;&gt;"",VLOOKUP(L90,Ops!$R$2:'Ops'!$S$25,2,FALSE),TRUE,"0000"),2)</f>
        <v>10</v>
      </c>
      <c r="P90" s="26" t="str">
        <f>RIGHT(IF($E90&lt;&gt;"",_xlfn.XLOOKUP($E90,$C$4:$C$681,$B$4:$B$681,"NO LABEL"),BIN2HEX(IF(N90="CarryEn","1","0")&amp;IF(M90="SubXY","1","0")&amp;IF(H90&lt;&gt;"",VLOOKUP(H90,Ops!$F$2:'Ops'!$G$20,2,FALSE),"000000"),2)),2)</f>
        <v>17</v>
      </c>
      <c r="Q90" s="26" t="str" cm="1">
        <f t="array" ref="Q90">BIN2HEX(_xlfn.IFS(D90="HWINTEN","10",G90="KeyAck","01",G90="InitLp8","01",TRUE,"00")&amp;IF(OR(Ops!$O$2:'Ops'!$O$13=K90),VLOOKUP(K90,Ops!$O$2:'Ops'!$P$13,2,FALSE),"000")&amp;IF(E90&lt;&gt;"",IF(LEN(_xlfn.XLOOKUP($E90,$C$5:$C$681,$B$5:$B$681,0))=3,HEX2BIN(LEFT(_xlfn.XLOOKUP($E90,$C$5:$C$681,$B$5:$B$681,0),1),3),IF(OR(Ops!$L$2:'Ops'!$L$11=J90),VLOOKUP(J90,Ops!$L$2:'Ops'!$M$11,2,FALSE),"000")),IF(OR(Ops!$L$2:'Ops'!$L$11=J90),VLOOKUP(J90,Ops!$L$2:'Ops'!$M$11,2,FALSE),"000")),2)</f>
        <v>39</v>
      </c>
      <c r="R90" s="27"/>
      <c r="Z90" s="74" t="str">
        <f t="shared" si="10"/>
        <v>0x10,</v>
      </c>
      <c r="AA90" s="75" t="str">
        <f t="shared" si="11"/>
        <v>0x17,</v>
      </c>
      <c r="AB90" s="75" t="str">
        <f t="shared" si="12"/>
        <v>0x39,</v>
      </c>
      <c r="AC90" s="76"/>
    </row>
    <row r="91" spans="1:29" x14ac:dyDescent="0.3">
      <c r="A91" s="79">
        <f t="shared" si="13"/>
        <v>279</v>
      </c>
      <c r="B91" s="80" t="str">
        <f t="shared" si="14"/>
        <v>117</v>
      </c>
      <c r="C91" s="4" t="s">
        <v>206</v>
      </c>
      <c r="D91" s="29" t="s">
        <v>211</v>
      </c>
      <c r="E91" s="4" t="s">
        <v>1</v>
      </c>
      <c r="F91" s="29"/>
      <c r="G91" s="24"/>
      <c r="H91" s="29"/>
      <c r="K91" s="4" t="s">
        <v>213</v>
      </c>
      <c r="M91" s="58"/>
      <c r="N91" s="3"/>
      <c r="O91" s="25" t="str" cm="1">
        <f t="array" ref="O91">BIN2HEX(IF(I91&lt;&gt;"",VLOOKUP(I91,Ops!$I$2:'Ops'!$J$15,2,FALSE),IF(ISNUMBER(SEARCH("BR",D91)),"001","000"))&amp;IF(D91&lt;&gt;"",VLOOKUP(D91,Ops!$B$2:'Ops'!$C$23,2,FALSE),"0")&amp;_xlfn.IFS(ISNUMBER(SEARCH("BR",D91)),VLOOKUP(D91,Ops!$B$3:'Ops'!$D$22,3,FALSE),F91&lt;&gt;"",VLOOKUP(F91,Ops!$R$2:'Ops'!$S$11,2),L91&lt;&gt;"",VLOOKUP(L91,Ops!$R$2:'Ops'!$S$25,2,FALSE),TRUE,"0000"),2)</f>
        <v>3B</v>
      </c>
      <c r="P91" s="26" t="str">
        <f>RIGHT(IF($E91&lt;&gt;"",_xlfn.XLOOKUP($E91,$C$4:$C$681,$B$4:$B$681,"NO LABEL"),BIN2HEX(IF(N91="CarryEn","1","0")&amp;IF(M91="SubXY","1","0")&amp;IF(H91&lt;&gt;"",VLOOKUP(H91,Ops!$F$2:'Ops'!$G$20,2,FALSE),"000000"),2)),2)</f>
        <v>60</v>
      </c>
      <c r="Q91" s="26" t="str" cm="1">
        <f t="array" ref="Q91">BIN2HEX(_xlfn.IFS(D91="HWINTEN","10",G91="KeyAck","01",G91="InitLp8","01",TRUE,"00")&amp;IF(OR(Ops!$O$2:'Ops'!$O$13=K91),VLOOKUP(K91,Ops!$O$2:'Ops'!$P$13,2,FALSE),"000")&amp;IF(E91&lt;&gt;"",IF(LEN(_xlfn.XLOOKUP($E91,$C$5:$C$681,$B$5:$B$681,0))=3,HEX2BIN(LEFT(_xlfn.XLOOKUP($E91,$C$5:$C$681,$B$5:$B$681,0),1),3),IF(OR(Ops!$L$2:'Ops'!$L$11=J91),VLOOKUP(J91,Ops!$L$2:'Ops'!$M$11,2,FALSE),"000")),IF(OR(Ops!$L$2:'Ops'!$L$11=J91),VLOOKUP(J91,Ops!$L$2:'Ops'!$M$11,2,FALSE),"000")),2)</f>
        <v>38</v>
      </c>
      <c r="R91" s="27"/>
      <c r="S91" s="4" t="s">
        <v>209</v>
      </c>
      <c r="Z91" s="74" t="str">
        <f t="shared" si="10"/>
        <v>0x3B,</v>
      </c>
      <c r="AA91" s="75" t="str">
        <f t="shared" si="11"/>
        <v>0x60,</v>
      </c>
      <c r="AB91" s="75" t="str">
        <f t="shared" si="12"/>
        <v>0x38,</v>
      </c>
      <c r="AC91" s="76"/>
    </row>
    <row r="92" spans="1:29" x14ac:dyDescent="0.3">
      <c r="A92" s="79">
        <f t="shared" si="13"/>
        <v>282</v>
      </c>
      <c r="B92" s="80" t="str">
        <f t="shared" si="14"/>
        <v>11A</v>
      </c>
      <c r="D92" s="29" t="s">
        <v>0</v>
      </c>
      <c r="E92" s="4" t="s">
        <v>206</v>
      </c>
      <c r="F92" s="29"/>
      <c r="G92" s="24"/>
      <c r="H92" s="29"/>
      <c r="K92" s="4" t="s">
        <v>213</v>
      </c>
      <c r="M92" s="58"/>
      <c r="N92" s="3"/>
      <c r="O92" s="25" t="str" cm="1">
        <f t="array" ref="O92">BIN2HEX(IF(I92&lt;&gt;"",VLOOKUP(I92,Ops!$I$2:'Ops'!$J$15,2,FALSE),IF(ISNUMBER(SEARCH("BR",D92)),"001","000"))&amp;IF(D92&lt;&gt;"",VLOOKUP(D92,Ops!$B$2:'Ops'!$C$23,2,FALSE),"0")&amp;_xlfn.IFS(ISNUMBER(SEARCH("BR",D92)),VLOOKUP(D92,Ops!$B$3:'Ops'!$D$22,3,FALSE),F92&lt;&gt;"",VLOOKUP(F92,Ops!$R$2:'Ops'!$S$11,2),L92&lt;&gt;"",VLOOKUP(L92,Ops!$R$2:'Ops'!$S$25,2,FALSE),TRUE,"0000"),2)</f>
        <v>10</v>
      </c>
      <c r="P92" s="26" t="str">
        <f>RIGHT(IF($E92&lt;&gt;"",_xlfn.XLOOKUP($E92,$C$4:$C$681,$B$4:$B$681,"NO LABEL"),BIN2HEX(IF(N92="CarryEn","1","0")&amp;IF(M92="SubXY","1","0")&amp;IF(H92&lt;&gt;"",VLOOKUP(H92,Ops!$F$2:'Ops'!$G$20,2,FALSE),"000000"),2)),2)</f>
        <v>17</v>
      </c>
      <c r="Q92" s="26" t="str" cm="1">
        <f t="array" ref="Q92">BIN2HEX(_xlfn.IFS(D92="HWINTEN","10",G92="KeyAck","01",G92="InitLp8","01",TRUE,"00")&amp;IF(OR(Ops!$O$2:'Ops'!$O$13=K92),VLOOKUP(K92,Ops!$O$2:'Ops'!$P$13,2,FALSE),"000")&amp;IF(E92&lt;&gt;"",IF(LEN(_xlfn.XLOOKUP($E92,$C$5:$C$681,$B$5:$B$681,0))=3,HEX2BIN(LEFT(_xlfn.XLOOKUP($E92,$C$5:$C$681,$B$5:$B$681,0),1),3),IF(OR(Ops!$L$2:'Ops'!$L$11=J92),VLOOKUP(J92,Ops!$L$2:'Ops'!$M$11,2,FALSE),"000")),IF(OR(Ops!$L$2:'Ops'!$L$11=J92),VLOOKUP(J92,Ops!$L$2:'Ops'!$M$11,2,FALSE),"000")),2)</f>
        <v>39</v>
      </c>
      <c r="R92" s="27"/>
      <c r="S92" s="15" t="s">
        <v>210</v>
      </c>
      <c r="Z92" s="74" t="str">
        <f t="shared" si="10"/>
        <v>0x10,</v>
      </c>
      <c r="AA92" s="75" t="str">
        <f t="shared" si="11"/>
        <v>0x17,</v>
      </c>
      <c r="AB92" s="75" t="str">
        <f t="shared" si="12"/>
        <v>0x39,</v>
      </c>
      <c r="AC92" s="76"/>
    </row>
    <row r="93" spans="1:29" x14ac:dyDescent="0.3">
      <c r="A93" s="79">
        <f t="shared" si="13"/>
        <v>285</v>
      </c>
      <c r="B93" s="80" t="str">
        <f t="shared" si="14"/>
        <v>11D</v>
      </c>
      <c r="C93" s="12" t="s">
        <v>2</v>
      </c>
      <c r="D93" s="29" t="s">
        <v>30</v>
      </c>
      <c r="E93" s="4" t="s">
        <v>572</v>
      </c>
      <c r="F93" s="29"/>
      <c r="G93" s="24"/>
      <c r="H93" s="29"/>
      <c r="M93" s="58"/>
      <c r="N93" s="3"/>
      <c r="O93" s="25" t="str" cm="1">
        <f t="array" ref="O93">BIN2HEX(IF(I93&lt;&gt;"",VLOOKUP(I93,Ops!$I$2:'Ops'!$J$15,2,FALSE),IF(ISNUMBER(SEARCH("BR",D93)),"001","000"))&amp;IF(D93&lt;&gt;"",VLOOKUP(D93,Ops!$B$2:'Ops'!$C$23,2,FALSE),"0")&amp;_xlfn.IFS(ISNUMBER(SEARCH("BR",D93)),VLOOKUP(D93,Ops!$B$3:'Ops'!$D$22,3,FALSE),F93&lt;&gt;"",VLOOKUP(F93,Ops!$R$2:'Ops'!$S$11,2),L93&lt;&gt;"",VLOOKUP(L93,Ops!$R$2:'Ops'!$S$25,2,FALSE),TRUE,"0000"),2)</f>
        <v>32</v>
      </c>
      <c r="P93" s="26" t="str">
        <f>RIGHT(IF($E93&lt;&gt;"",_xlfn.XLOOKUP($E93,$C$4:$C$681,$B$4:$B$681,"NO LABEL"),BIN2HEX(IF(N93="CarryEn","1","0")&amp;IF(M93="SubXY","1","0")&amp;IF(H93&lt;&gt;"",VLOOKUP(H93,Ops!$F$2:'Ops'!$G$20,2,FALSE),"000000"),2)),2)</f>
        <v>26</v>
      </c>
      <c r="Q93" s="26" t="str" cm="1">
        <f t="array" ref="Q93">BIN2HEX(_xlfn.IFS(D93="HWINTEN","10",G93="KeyAck","01",G93="InitLp8","01",TRUE,"00")&amp;IF(OR(Ops!$O$2:'Ops'!$O$13=K93),VLOOKUP(K93,Ops!$O$2:'Ops'!$P$13,2,FALSE),"000")&amp;IF(E93&lt;&gt;"",IF(LEN(_xlfn.XLOOKUP($E93,$C$5:$C$681,$B$5:$B$681,0))=3,HEX2BIN(LEFT(_xlfn.XLOOKUP($E93,$C$5:$C$681,$B$5:$B$681,0),1),3),IF(OR(Ops!$L$2:'Ops'!$L$11=J93),VLOOKUP(J93,Ops!$L$2:'Ops'!$M$11,2,FALSE),"000")),IF(OR(Ops!$L$2:'Ops'!$L$11=J93),VLOOKUP(J93,Ops!$L$2:'Ops'!$M$11,2,FALSE),"000")),2)</f>
        <v>01</v>
      </c>
      <c r="S93" s="19" t="s">
        <v>573</v>
      </c>
      <c r="Z93" s="74" t="str">
        <f t="shared" si="10"/>
        <v>0x32,</v>
      </c>
      <c r="AA93" s="75" t="str">
        <f t="shared" si="11"/>
        <v>0x26,</v>
      </c>
      <c r="AB93" s="75" t="str">
        <f t="shared" si="12"/>
        <v>0x01,</v>
      </c>
      <c r="AC93" s="76"/>
    </row>
    <row r="94" spans="1:29" x14ac:dyDescent="0.3">
      <c r="A94" s="79">
        <f t="shared" si="13"/>
        <v>288</v>
      </c>
      <c r="B94" s="80" t="str">
        <f t="shared" ref="B94:B106" si="15">DEC2HEX(A94)</f>
        <v>120</v>
      </c>
      <c r="C94" s="12"/>
      <c r="D94" s="29" t="s">
        <v>28</v>
      </c>
      <c r="E94" s="4" t="s">
        <v>550</v>
      </c>
      <c r="F94" s="29"/>
      <c r="G94" s="24"/>
      <c r="H94" s="29"/>
      <c r="M94" s="58"/>
      <c r="N94" s="3"/>
      <c r="O94" s="25" t="str" cm="1">
        <f t="array" ref="O94">BIN2HEX(IF(I94&lt;&gt;"",VLOOKUP(I94,Ops!$I$2:'Ops'!$J$15,2,FALSE),IF(ISNUMBER(SEARCH("BR",D94)),"001","000"))&amp;IF(D94&lt;&gt;"",VLOOKUP(D94,Ops!$B$2:'Ops'!$C$23,2,FALSE),"0")&amp;_xlfn.IFS(ISNUMBER(SEARCH("BR",D94)),VLOOKUP(D94,Ops!$B$3:'Ops'!$D$22,3,FALSE),F94&lt;&gt;"",VLOOKUP(F94,Ops!$R$2:'Ops'!$S$11,2),L94&lt;&gt;"",VLOOKUP(L94,Ops!$R$2:'Ops'!$S$25,2,FALSE),TRUE,"0000"),2)</f>
        <v>31</v>
      </c>
      <c r="P94" s="26" t="str">
        <f>RIGHT(IF($E94&lt;&gt;"",_xlfn.XLOOKUP($E94,$C$4:$C$681,$B$4:$B$681,"NO LABEL"),BIN2HEX(IF(N94="CarryEn","1","0")&amp;IF(M94="SubXY","1","0")&amp;IF(H94&lt;&gt;"",VLOOKUP(H94,Ops!$F$2:'Ops'!$G$20,2,FALSE),"000000"),2)),2)</f>
        <v>35</v>
      </c>
      <c r="Q94" s="26" t="str" cm="1">
        <f t="array" ref="Q94">BIN2HEX(_xlfn.IFS(D94="HWINTEN","10",G94="KeyAck","01",G94="InitLp8","01",TRUE,"00")&amp;IF(OR(Ops!$O$2:'Ops'!$O$13=K94),VLOOKUP(K94,Ops!$O$2:'Ops'!$P$13,2,FALSE),"000")&amp;IF(E94&lt;&gt;"",IF(LEN(_xlfn.XLOOKUP($E94,$C$5:$C$681,$B$5:$B$681,0))=3,HEX2BIN(LEFT(_xlfn.XLOOKUP($E94,$C$5:$C$681,$B$5:$B$681,0),1),3),IF(OR(Ops!$L$2:'Ops'!$L$11=J94),VLOOKUP(J94,Ops!$L$2:'Ops'!$M$11,2,FALSE),"000")),IF(OR(Ops!$L$2:'Ops'!$L$11=J94),VLOOKUP(J94,Ops!$L$2:'Ops'!$M$11,2,FALSE),"000")),2)</f>
        <v>01</v>
      </c>
      <c r="S94" s="19" t="s">
        <v>551</v>
      </c>
      <c r="Z94" s="74" t="str">
        <f t="shared" ref="Z94:Z103" si="16">IF(O94="", "};", "0x"&amp;O94&amp;",")</f>
        <v>0x31,</v>
      </c>
      <c r="AA94" s="75" t="str">
        <f t="shared" ref="AA94:AA103" si="17">"0x"&amp;P94&amp;","</f>
        <v>0x35,</v>
      </c>
      <c r="AB94" s="75" t="str">
        <f t="shared" ref="AB94:AB103" si="18">"0x"&amp;Q94&amp;","</f>
        <v>0x01,</v>
      </c>
      <c r="AC94" s="76"/>
    </row>
    <row r="95" spans="1:29" x14ac:dyDescent="0.3">
      <c r="A95" s="79">
        <f t="shared" si="13"/>
        <v>291</v>
      </c>
      <c r="B95" s="80" t="str">
        <f t="shared" si="15"/>
        <v>123</v>
      </c>
      <c r="C95" s="12"/>
      <c r="D95" s="29" t="s">
        <v>0</v>
      </c>
      <c r="E95" s="4" t="s">
        <v>549</v>
      </c>
      <c r="F95" s="29"/>
      <c r="G95" s="24"/>
      <c r="H95" s="29"/>
      <c r="M95" s="58"/>
      <c r="N95" s="3"/>
      <c r="O95" s="25" t="str" cm="1">
        <f t="array" ref="O95">BIN2HEX(IF(I95&lt;&gt;"",VLOOKUP(I95,Ops!$I$2:'Ops'!$J$15,2,FALSE),IF(ISNUMBER(SEARCH("BR",D95)),"001","000"))&amp;IF(D95&lt;&gt;"",VLOOKUP(D95,Ops!$B$2:'Ops'!$C$23,2,FALSE),"0")&amp;_xlfn.IFS(ISNUMBER(SEARCH("BR",D95)),VLOOKUP(D95,Ops!$B$3:'Ops'!$D$22,3,FALSE),F95&lt;&gt;"",VLOOKUP(F95,Ops!$R$2:'Ops'!$S$11,2),L95&lt;&gt;"",VLOOKUP(L95,Ops!$R$2:'Ops'!$S$25,2,FALSE),TRUE,"0000"),2)</f>
        <v>10</v>
      </c>
      <c r="P95" s="26" t="str">
        <f>RIGHT(IF($E95&lt;&gt;"",_xlfn.XLOOKUP($E95,$C$4:$C$681,$B$4:$B$681,"NO LABEL"),BIN2HEX(IF(N95="CarryEn","1","0")&amp;IF(M95="SubXY","1","0")&amp;IF(H95&lt;&gt;"",VLOOKUP(H95,Ops!$F$2:'Ops'!$G$20,2,FALSE),"000000"),2)),2)</f>
        <v>3B</v>
      </c>
      <c r="Q95" s="26" t="str" cm="1">
        <f t="array" ref="Q95">BIN2HEX(_xlfn.IFS(D95="HWINTEN","10",G95="KeyAck","01",G95="InitLp8","01",TRUE,"00")&amp;IF(OR(Ops!$O$2:'Ops'!$O$13=K95),VLOOKUP(K95,Ops!$O$2:'Ops'!$P$13,2,FALSE),"000")&amp;IF(E95&lt;&gt;"",IF(LEN(_xlfn.XLOOKUP($E95,$C$5:$C$681,$B$5:$B$681,0))=3,HEX2BIN(LEFT(_xlfn.XLOOKUP($E95,$C$5:$C$681,$B$5:$B$681,0),1),3),IF(OR(Ops!$L$2:'Ops'!$L$11=J95),VLOOKUP(J95,Ops!$L$2:'Ops'!$M$11,2,FALSE),"000")),IF(OR(Ops!$L$2:'Ops'!$L$11=J95),VLOOKUP(J95,Ops!$L$2:'Ops'!$M$11,2,FALSE),"000")),2)</f>
        <v>01</v>
      </c>
      <c r="S95" s="19" t="s">
        <v>574</v>
      </c>
      <c r="Z95" s="74" t="str">
        <f t="shared" si="16"/>
        <v>0x10,</v>
      </c>
      <c r="AA95" s="75" t="str">
        <f t="shared" si="17"/>
        <v>0x3B,</v>
      </c>
      <c r="AB95" s="75" t="str">
        <f t="shared" si="18"/>
        <v>0x01,</v>
      </c>
      <c r="AC95" s="76"/>
    </row>
    <row r="96" spans="1:29" x14ac:dyDescent="0.3">
      <c r="A96" s="79">
        <f>A95+3</f>
        <v>294</v>
      </c>
      <c r="B96" s="80" t="str">
        <f t="shared" si="15"/>
        <v>126</v>
      </c>
      <c r="C96" s="4" t="s">
        <v>572</v>
      </c>
      <c r="D96" s="29"/>
      <c r="F96" s="29"/>
      <c r="G96" s="24" t="s">
        <v>692</v>
      </c>
      <c r="H96" s="29"/>
      <c r="M96" s="58"/>
      <c r="N96" s="3"/>
      <c r="O96" s="25" t="str" cm="1">
        <f t="array" ref="O96">BIN2HEX(IF(I96&lt;&gt;"",VLOOKUP(I96,Ops!$I$2:'Ops'!$J$15,2,FALSE),IF(ISNUMBER(SEARCH("BR",D96)),"001","000"))&amp;IF(D96&lt;&gt;"",VLOOKUP(D96,Ops!$B$2:'Ops'!$C$23,2,FALSE),"0")&amp;_xlfn.IFS(ISNUMBER(SEARCH("BR",D96)),VLOOKUP(D96,Ops!$B$3:'Ops'!$D$22,3,FALSE),F96&lt;&gt;"",VLOOKUP(F96,Ops!$R$2:'Ops'!$S$11,2),L96&lt;&gt;"",VLOOKUP(L96,Ops!$R$2:'Ops'!$S$25,2,FALSE),TRUE,"0000"),2)</f>
        <v>00</v>
      </c>
      <c r="P96" s="26" t="str">
        <f>RIGHT(IF($E96&lt;&gt;"",_xlfn.XLOOKUP($E96,$C$4:$C$681,$B$4:$B$681,"NO LABEL"),BIN2HEX(IF(N96="CarryEn","1","0")&amp;IF(M96="SubXY","1","0")&amp;IF(H96&lt;&gt;"",VLOOKUP(H96,Ops!$F$2:'Ops'!$G$20,2,FALSE),"000000"),2)),2)</f>
        <v>00</v>
      </c>
      <c r="Q96" s="26" t="str" cm="1">
        <f t="array" ref="Q96">BIN2HEX(_xlfn.IFS(D96="HWINTEN","10",G96="KeyAck","01",G96="InitLp8","01",TRUE,"00")&amp;IF(OR(Ops!$O$2:'Ops'!$O$13=K96),VLOOKUP(K96,Ops!$O$2:'Ops'!$P$13,2,FALSE),"000")&amp;IF(E96&lt;&gt;"",IF(LEN(_xlfn.XLOOKUP($E96,$C$5:$C$681,$B$5:$B$681,0))=3,HEX2BIN(LEFT(_xlfn.XLOOKUP($E96,$C$5:$C$681,$B$5:$B$681,0),1),3),IF(OR(Ops!$L$2:'Ops'!$L$11=J96),VLOOKUP(J96,Ops!$L$2:'Ops'!$M$11,2,FALSE),"000")),IF(OR(Ops!$L$2:'Ops'!$L$11=J96),VLOOKUP(J96,Ops!$L$2:'Ops'!$M$11,2,FALSE),"000")),2)</f>
        <v>40</v>
      </c>
      <c r="S96" s="19" t="s">
        <v>575</v>
      </c>
      <c r="Z96" s="74" t="str">
        <f t="shared" si="16"/>
        <v>0x00,</v>
      </c>
      <c r="AA96" s="75" t="str">
        <f t="shared" si="17"/>
        <v>0x00,</v>
      </c>
      <c r="AB96" s="75" t="str">
        <f t="shared" si="18"/>
        <v>0x40,</v>
      </c>
      <c r="AC96" s="76"/>
    </row>
    <row r="97" spans="1:29" x14ac:dyDescent="0.3">
      <c r="A97" s="79">
        <f t="shared" ref="A97:A98" si="19">A96+3</f>
        <v>297</v>
      </c>
      <c r="B97" s="80" t="str">
        <f t="shared" ref="B97:B98" si="20">DEC2HEX(A97)</f>
        <v>129</v>
      </c>
      <c r="C97" s="4" t="s">
        <v>700</v>
      </c>
      <c r="D97" s="29"/>
      <c r="F97" s="29"/>
      <c r="G97" s="24"/>
      <c r="H97" s="29" t="s">
        <v>54</v>
      </c>
      <c r="I97" s="4" t="s">
        <v>481</v>
      </c>
      <c r="L97" s="4" t="s">
        <v>565</v>
      </c>
      <c r="M97" s="58"/>
      <c r="N97" s="3"/>
      <c r="O97" s="25" t="str" cm="1">
        <f t="array" ref="O97">BIN2HEX(IF(I97&lt;&gt;"",VLOOKUP(I97,Ops!$I$2:'Ops'!$J$15,2,FALSE),IF(ISNUMBER(SEARCH("BR",D97)),"001","000"))&amp;IF(D97&lt;&gt;"",VLOOKUP(D97,Ops!$B$2:'Ops'!$C$23,2,FALSE),"0")&amp;_xlfn.IFS(ISNUMBER(SEARCH("BR",D97)),VLOOKUP(D97,Ops!$B$3:'Ops'!$D$22,3,FALSE),F97&lt;&gt;"",VLOOKUP(F97,Ops!$R$2:'Ops'!$S$11,2),L97&lt;&gt;"",VLOOKUP(L97,Ops!$R$2:'Ops'!$S$25,2,FALSE),TRUE,"0000"),2)</f>
        <v>0F</v>
      </c>
      <c r="P97" s="26" t="str">
        <f>RIGHT(IF($E97&lt;&gt;"",_xlfn.XLOOKUP($E97,$C$4:$C$681,$B$4:$B$681,"NO LABEL"),BIN2HEX(IF(N97="CarryEn","1","0")&amp;IF(M97="SubXY","1","0")&amp;IF(H97&lt;&gt;"",VLOOKUP(H97,Ops!$F$2:'Ops'!$G$20,2,FALSE),"000000"),2)),2)</f>
        <v>02</v>
      </c>
      <c r="Q97" s="26" t="str" cm="1">
        <f t="array" ref="Q97">BIN2HEX(_xlfn.IFS(D97="HWINTEN","10",G97="KeyAck","01",G97="InitLp8","01",TRUE,"00")&amp;IF(OR(Ops!$O$2:'Ops'!$O$13=K97),VLOOKUP(K97,Ops!$O$2:'Ops'!$P$13,2,FALSE),"000")&amp;IF(E97&lt;&gt;"",IF(LEN(_xlfn.XLOOKUP($E97,$C$5:$C$681,$B$5:$B$681,0))=3,HEX2BIN(LEFT(_xlfn.XLOOKUP($E97,$C$5:$C$681,$B$5:$B$681,0),1),3),IF(OR(Ops!$L$2:'Ops'!$L$11=J97),VLOOKUP(J97,Ops!$L$2:'Ops'!$M$11,2,FALSE),"000")),IF(OR(Ops!$L$2:'Ops'!$L$11=J97),VLOOKUP(J97,Ops!$L$2:'Ops'!$M$11,2,FALSE),"000")),2)</f>
        <v>00</v>
      </c>
      <c r="S97" s="19"/>
      <c r="Z97" s="74" t="str">
        <f t="shared" ref="Z97:Z101" si="21">IF(O97="", "};", "0x"&amp;O97&amp;",")</f>
        <v>0x0F,</v>
      </c>
      <c r="AA97" s="75" t="str">
        <f t="shared" ref="AA97:AA101" si="22">"0x"&amp;P97&amp;","</f>
        <v>0x02,</v>
      </c>
      <c r="AB97" s="75" t="str">
        <f t="shared" ref="AB97:AB101" si="23">"0x"&amp;Q97&amp;","</f>
        <v>0x00,</v>
      </c>
      <c r="AC97" s="76"/>
    </row>
    <row r="98" spans="1:29" x14ac:dyDescent="0.3">
      <c r="A98" s="79">
        <f t="shared" si="19"/>
        <v>300</v>
      </c>
      <c r="B98" s="80" t="str">
        <f t="shared" si="20"/>
        <v>12C</v>
      </c>
      <c r="C98" s="12"/>
      <c r="D98" s="29" t="s">
        <v>251</v>
      </c>
      <c r="E98" s="4" t="s">
        <v>700</v>
      </c>
      <c r="F98" s="29"/>
      <c r="G98" s="24"/>
      <c r="H98" s="29"/>
      <c r="M98" s="58"/>
      <c r="N98" s="3"/>
      <c r="O98" s="25" t="str" cm="1">
        <f t="array" ref="O98">BIN2HEX(IF(I98&lt;&gt;"",VLOOKUP(I98,Ops!$I$2:'Ops'!$J$15,2,FALSE),IF(ISNUMBER(SEARCH("BR",D98)),"001","000"))&amp;IF(D98&lt;&gt;"",VLOOKUP(D98,Ops!$B$2:'Ops'!$C$23,2,FALSE),"0")&amp;_xlfn.IFS(ISNUMBER(SEARCH("BR",D98)),VLOOKUP(D98,Ops!$B$3:'Ops'!$D$22,3,FALSE),F98&lt;&gt;"",VLOOKUP(F98,Ops!$R$2:'Ops'!$S$11,2),L98&lt;&gt;"",VLOOKUP(L98,Ops!$R$2:'Ops'!$S$25,2,FALSE),TRUE,"0000"),2)</f>
        <v>3F</v>
      </c>
      <c r="P98" s="26" t="str">
        <f>RIGHT(IF($E98&lt;&gt;"",_xlfn.XLOOKUP($E98,$C$4:$C$681,$B$4:$B$681,"NO LABEL"),BIN2HEX(IF(N98="CarryEn","1","0")&amp;IF(M98="SubXY","1","0")&amp;IF(H98&lt;&gt;"",VLOOKUP(H98,Ops!$F$2:'Ops'!$G$20,2,FALSE),"000000"),2)),2)</f>
        <v>29</v>
      </c>
      <c r="Q98" s="26" t="str" cm="1">
        <f t="array" ref="Q98">BIN2HEX(_xlfn.IFS(D98="HWINTEN","10",G98="KeyAck","01",G98="InitLp8","01",TRUE,"00")&amp;IF(OR(Ops!$O$2:'Ops'!$O$13=K98),VLOOKUP(K98,Ops!$O$2:'Ops'!$P$13,2,FALSE),"000")&amp;IF(E98&lt;&gt;"",IF(LEN(_xlfn.XLOOKUP($E98,$C$5:$C$681,$B$5:$B$681,0))=3,HEX2BIN(LEFT(_xlfn.XLOOKUP($E98,$C$5:$C$681,$B$5:$B$681,0),1),3),IF(OR(Ops!$L$2:'Ops'!$L$11=J98),VLOOKUP(J98,Ops!$L$2:'Ops'!$M$11,2,FALSE),"000")),IF(OR(Ops!$L$2:'Ops'!$L$11=J98),VLOOKUP(J98,Ops!$L$2:'Ops'!$M$11,2,FALSE),"000")),2)</f>
        <v>01</v>
      </c>
      <c r="S98" s="19"/>
      <c r="Z98" s="74" t="str">
        <f t="shared" si="21"/>
        <v>0x3F,</v>
      </c>
      <c r="AA98" s="75" t="str">
        <f t="shared" si="22"/>
        <v>0x29,</v>
      </c>
      <c r="AB98" s="75" t="str">
        <f t="shared" si="23"/>
        <v>0x01,</v>
      </c>
      <c r="AC98" s="76"/>
    </row>
    <row r="99" spans="1:29" x14ac:dyDescent="0.3">
      <c r="A99" s="79">
        <f t="shared" ref="A99:A101" si="24">A98+3</f>
        <v>303</v>
      </c>
      <c r="B99" s="80" t="str">
        <f t="shared" ref="B99:B101" si="25">DEC2HEX(A99)</f>
        <v>12F</v>
      </c>
      <c r="D99" s="29"/>
      <c r="F99" s="29"/>
      <c r="G99" s="24"/>
      <c r="H99" s="29" t="s">
        <v>54</v>
      </c>
      <c r="I99" s="4" t="s">
        <v>481</v>
      </c>
      <c r="L99" s="4">
        <v>0</v>
      </c>
      <c r="M99" s="14"/>
      <c r="O99" s="25" t="str" cm="1">
        <f t="array" ref="O99">BIN2HEX(IF(I99&lt;&gt;"",VLOOKUP(I99,Ops!$I$2:'Ops'!$J$15,2,FALSE),IF(ISNUMBER(SEARCH("BR",D99)),"001","000"))&amp;IF(D99&lt;&gt;"",VLOOKUP(D99,Ops!$B$2:'Ops'!$C$23,2,FALSE),"0")&amp;_xlfn.IFS(ISNUMBER(SEARCH("BR",D99)),VLOOKUP(D99,Ops!$B$3:'Ops'!$D$22,3,FALSE),F99&lt;&gt;"",VLOOKUP(F99,Ops!$R$2:'Ops'!$S$11,2),L99&lt;&gt;"",VLOOKUP(L99,Ops!$R$2:'Ops'!$S$25,2,FALSE),TRUE,"0000"),2)</f>
        <v>00</v>
      </c>
      <c r="P99" s="26" t="str">
        <f>RIGHT(IF($E99&lt;&gt;"",_xlfn.XLOOKUP($E99,$C$4:$C$681,$B$4:$B$681,"NO LABEL"),BIN2HEX(IF(N99="CarryEn","1","0")&amp;IF(M99="SubXY","1","0")&amp;IF(H99&lt;&gt;"",VLOOKUP(H99,Ops!$F$2:'Ops'!$G$20,2,FALSE),"000000"),2)),2)</f>
        <v>02</v>
      </c>
      <c r="Q99" s="26" t="str" cm="1">
        <f t="array" ref="Q99">BIN2HEX(_xlfn.IFS(D99="HWINTEN","10",G99="KeyAck","01",G99="InitLp8","01",TRUE,"00")&amp;IF(OR(Ops!$O$2:'Ops'!$O$13=K99),VLOOKUP(K99,Ops!$O$2:'Ops'!$P$13,2,FALSE),"000")&amp;IF(E99&lt;&gt;"",IF(LEN(_xlfn.XLOOKUP($E99,$C$5:$C$681,$B$5:$B$681,0))=3,HEX2BIN(LEFT(_xlfn.XLOOKUP($E99,$C$5:$C$681,$B$5:$B$681,0),1),3),IF(OR(Ops!$L$2:'Ops'!$L$11=J99),VLOOKUP(J99,Ops!$L$2:'Ops'!$M$11,2,FALSE),"000")),IF(OR(Ops!$L$2:'Ops'!$L$11=J99),VLOOKUP(J99,Ops!$L$2:'Ops'!$M$11,2,FALSE),"000")),2)</f>
        <v>00</v>
      </c>
      <c r="S99" s="19"/>
      <c r="Z99" s="74" t="str">
        <f t="shared" si="21"/>
        <v>0x00,</v>
      </c>
      <c r="AA99" s="75" t="str">
        <f t="shared" si="22"/>
        <v>0x02,</v>
      </c>
      <c r="AB99" s="75" t="str">
        <f t="shared" si="23"/>
        <v>0x00,</v>
      </c>
      <c r="AC99" s="76"/>
    </row>
    <row r="100" spans="1:29" x14ac:dyDescent="0.3">
      <c r="A100" s="79">
        <f t="shared" si="24"/>
        <v>306</v>
      </c>
      <c r="B100" s="80" t="str">
        <f t="shared" si="25"/>
        <v>132</v>
      </c>
      <c r="D100" s="29" t="s">
        <v>0</v>
      </c>
      <c r="E100" s="4" t="s">
        <v>1</v>
      </c>
      <c r="F100" s="29"/>
      <c r="G100" s="24"/>
      <c r="H100" s="29"/>
      <c r="M100" s="14"/>
      <c r="O100" s="25" t="str" cm="1">
        <f t="array" ref="O100">BIN2HEX(IF(I100&lt;&gt;"",VLOOKUP(I100,Ops!$I$2:'Ops'!$J$15,2,FALSE),IF(ISNUMBER(SEARCH("BR",D100)),"001","000"))&amp;IF(D100&lt;&gt;"",VLOOKUP(D100,Ops!$B$2:'Ops'!$C$23,2,FALSE),"0")&amp;_xlfn.IFS(ISNUMBER(SEARCH("BR",D100)),VLOOKUP(D100,Ops!$B$3:'Ops'!$D$22,3,FALSE),F100&lt;&gt;"",VLOOKUP(F100,Ops!$R$2:'Ops'!$S$11,2),L100&lt;&gt;"",VLOOKUP(L100,Ops!$R$2:'Ops'!$S$25,2,FALSE),TRUE,"0000"),2)</f>
        <v>10</v>
      </c>
      <c r="P100" s="26" t="str">
        <f>RIGHT(IF($E100&lt;&gt;"",_xlfn.XLOOKUP($E100,$C$4:$C$681,$B$4:$B$681,"NO LABEL"),BIN2HEX(IF(N100="CarryEn","1","0")&amp;IF(M100="SubXY","1","0")&amp;IF(H100&lt;&gt;"",VLOOKUP(H100,Ops!$F$2:'Ops'!$G$20,2,FALSE),"000000"),2)),2)</f>
        <v>60</v>
      </c>
      <c r="Q100" s="26" t="str" cm="1">
        <f t="array" ref="Q100">BIN2HEX(_xlfn.IFS(D100="HWINTEN","10",G100="KeyAck","01",G100="InitLp8","01",TRUE,"00")&amp;IF(OR(Ops!$O$2:'Ops'!$O$13=K100),VLOOKUP(K100,Ops!$O$2:'Ops'!$P$13,2,FALSE),"000")&amp;IF(E100&lt;&gt;"",IF(LEN(_xlfn.XLOOKUP($E100,$C$5:$C$681,$B$5:$B$681,0))=3,HEX2BIN(LEFT(_xlfn.XLOOKUP($E100,$C$5:$C$681,$B$5:$B$681,0),1),3),IF(OR(Ops!$L$2:'Ops'!$L$11=J100),VLOOKUP(J100,Ops!$L$2:'Ops'!$M$11,2,FALSE),"000")),IF(OR(Ops!$L$2:'Ops'!$L$11=J100),VLOOKUP(J100,Ops!$L$2:'Ops'!$M$11,2,FALSE),"000")),2)</f>
        <v>00</v>
      </c>
      <c r="S100" s="19"/>
      <c r="Z100" s="74" t="str">
        <f t="shared" si="21"/>
        <v>0x10,</v>
      </c>
      <c r="AA100" s="75" t="str">
        <f t="shared" si="22"/>
        <v>0x60,</v>
      </c>
      <c r="AB100" s="75" t="str">
        <f t="shared" si="23"/>
        <v>0x00,</v>
      </c>
      <c r="AC100" s="76"/>
    </row>
    <row r="101" spans="1:29" x14ac:dyDescent="0.3">
      <c r="A101" s="79">
        <f t="shared" si="24"/>
        <v>309</v>
      </c>
      <c r="B101" s="80" t="str">
        <f t="shared" si="25"/>
        <v>135</v>
      </c>
      <c r="C101" s="4" t="s">
        <v>550</v>
      </c>
      <c r="D101" s="29"/>
      <c r="F101" s="29"/>
      <c r="G101" s="24"/>
      <c r="H101" s="29"/>
      <c r="I101"/>
      <c r="J101" t="s">
        <v>421</v>
      </c>
      <c r="K101" t="s">
        <v>422</v>
      </c>
      <c r="L101" s="121" t="s">
        <v>325</v>
      </c>
      <c r="M101" s="14"/>
      <c r="O101" s="25" t="str" cm="1">
        <f t="array" ref="O101">BIN2HEX(IF(I101&lt;&gt;"",VLOOKUP(I101,Ops!$I$2:'Ops'!$J$15,2,FALSE),IF(ISNUMBER(SEARCH("BR",D101)),"001","000"))&amp;IF(D101&lt;&gt;"",VLOOKUP(D101,Ops!$B$2:'Ops'!$C$23,2,FALSE),"0")&amp;_xlfn.IFS(ISNUMBER(SEARCH("BR",D101)),VLOOKUP(D101,Ops!$B$3:'Ops'!$D$22,3,FALSE),F101&lt;&gt;"",VLOOKUP(F101,Ops!$R$2:'Ops'!$S$11,2),L101&lt;&gt;"",VLOOKUP(L101,Ops!$R$2:'Ops'!$S$25,2,FALSE),TRUE,"0000"),2)</f>
        <v>06</v>
      </c>
      <c r="P101" s="26" t="str">
        <f>RIGHT(IF($E101&lt;&gt;"",_xlfn.XLOOKUP($E101,$C$4:$C$681,$B$4:$B$681,"NO LABEL"),BIN2HEX(IF(N101="CarryEn","1","0")&amp;IF(M101="SubXY","1","0")&amp;IF(H101&lt;&gt;"",VLOOKUP(H101,Ops!$F$2:'Ops'!$G$20,2,FALSE),"000000"),2)),2)</f>
        <v>00</v>
      </c>
      <c r="Q101" s="26" t="str" cm="1">
        <f t="array" ref="Q101">BIN2HEX(_xlfn.IFS(D101="HWINTEN","10",G101="KeyAck","01",G101="InitLp8","01",TRUE,"00")&amp;IF(OR(Ops!$O$2:'Ops'!$O$13=K101),VLOOKUP(K101,Ops!$O$2:'Ops'!$P$13,2,FALSE),"000")&amp;IF(E101&lt;&gt;"",IF(LEN(_xlfn.XLOOKUP($E101,$C$5:$C$681,$B$5:$B$681,0))=3,HEX2BIN(LEFT(_xlfn.XLOOKUP($E101,$C$5:$C$681,$B$5:$B$681,0),1),3),IF(OR(Ops!$L$2:'Ops'!$L$11=J101),VLOOKUP(J101,Ops!$L$2:'Ops'!$M$11,2,FALSE),"000")),IF(OR(Ops!$L$2:'Ops'!$L$11=J101),VLOOKUP(J101,Ops!$L$2:'Ops'!$M$11,2,FALSE),"000")),2)</f>
        <v>1B</v>
      </c>
      <c r="S101" s="19" t="s">
        <v>552</v>
      </c>
      <c r="Z101" s="74" t="str">
        <f t="shared" si="21"/>
        <v>0x06,</v>
      </c>
      <c r="AA101" s="75" t="str">
        <f t="shared" si="22"/>
        <v>0x00,</v>
      </c>
      <c r="AB101" s="75" t="str">
        <f t="shared" si="23"/>
        <v>0x1B,</v>
      </c>
      <c r="AC101" s="76"/>
    </row>
    <row r="102" spans="1:29" x14ac:dyDescent="0.3">
      <c r="A102" s="79">
        <f t="shared" si="13"/>
        <v>312</v>
      </c>
      <c r="B102" s="80" t="str">
        <f t="shared" si="15"/>
        <v>138</v>
      </c>
      <c r="D102" s="29" t="s">
        <v>0</v>
      </c>
      <c r="E102" s="4" t="s">
        <v>1</v>
      </c>
      <c r="F102" s="29"/>
      <c r="G102" s="24"/>
      <c r="H102" s="29"/>
      <c r="I102"/>
      <c r="J102"/>
      <c r="K102"/>
      <c r="L102" s="121"/>
      <c r="M102" s="14"/>
      <c r="O102" s="25" t="str" cm="1">
        <f t="array" ref="O102">BIN2HEX(IF(I102&lt;&gt;"",VLOOKUP(I102,Ops!$I$2:'Ops'!$J$15,2,FALSE),IF(ISNUMBER(SEARCH("BR",D102)),"001","000"))&amp;IF(D102&lt;&gt;"",VLOOKUP(D102,Ops!$B$2:'Ops'!$C$23,2,FALSE),"0")&amp;_xlfn.IFS(ISNUMBER(SEARCH("BR",D102)),VLOOKUP(D102,Ops!$B$3:'Ops'!$D$22,3,FALSE),F102&lt;&gt;"",VLOOKUP(F102,Ops!$R$2:'Ops'!$S$11,2),L102&lt;&gt;"",VLOOKUP(L102,Ops!$R$2:'Ops'!$S$25,2,FALSE),TRUE,"0000"),2)</f>
        <v>10</v>
      </c>
      <c r="P102" s="26" t="str">
        <f>RIGHT(IF($E102&lt;&gt;"",_xlfn.XLOOKUP($E102,$C$4:$C$681,$B$4:$B$681,"NO LABEL"),BIN2HEX(IF(N102="CarryEn","1","0")&amp;IF(M102="SubXY","1","0")&amp;IF(H102&lt;&gt;"",VLOOKUP(H102,Ops!$F$2:'Ops'!$G$20,2,FALSE),"000000"),2)),2)</f>
        <v>60</v>
      </c>
      <c r="Q102" s="26" t="str" cm="1">
        <f t="array" ref="Q102">BIN2HEX(_xlfn.IFS(D102="HWINTEN","10",G102="KeyAck","01",G102="InitLp8","01",TRUE,"00")&amp;IF(OR(Ops!$O$2:'Ops'!$O$13=K102),VLOOKUP(K102,Ops!$O$2:'Ops'!$P$13,2,FALSE),"000")&amp;IF(E102&lt;&gt;"",IF(LEN(_xlfn.XLOOKUP($E102,$C$5:$C$681,$B$5:$B$681,0))=3,HEX2BIN(LEFT(_xlfn.XLOOKUP($E102,$C$5:$C$681,$B$5:$B$681,0),1),3),IF(OR(Ops!$L$2:'Ops'!$L$11=J102),VLOOKUP(J102,Ops!$L$2:'Ops'!$M$11,2,FALSE),"000")),IF(OR(Ops!$L$2:'Ops'!$L$11=J102),VLOOKUP(J102,Ops!$L$2:'Ops'!$M$11,2,FALSE),"000")),2)</f>
        <v>00</v>
      </c>
      <c r="S102" s="19"/>
      <c r="Z102" s="74" t="str">
        <f t="shared" si="16"/>
        <v>0x10,</v>
      </c>
      <c r="AA102" s="75" t="str">
        <f t="shared" si="17"/>
        <v>0x60,</v>
      </c>
      <c r="AB102" s="75" t="str">
        <f t="shared" si="18"/>
        <v>0x00,</v>
      </c>
      <c r="AC102" s="76"/>
    </row>
    <row r="103" spans="1:29" x14ac:dyDescent="0.3">
      <c r="A103" s="79">
        <f t="shared" si="13"/>
        <v>315</v>
      </c>
      <c r="B103" s="80" t="str">
        <f t="shared" si="15"/>
        <v>13B</v>
      </c>
      <c r="C103" s="4" t="s">
        <v>549</v>
      </c>
      <c r="D103" s="29"/>
      <c r="F103" s="29"/>
      <c r="G103" s="24"/>
      <c r="H103" s="29" t="s">
        <v>54</v>
      </c>
      <c r="I103" t="s">
        <v>481</v>
      </c>
      <c r="J103" s="3"/>
      <c r="K103" s="3"/>
      <c r="L103" s="121">
        <v>0</v>
      </c>
      <c r="M103" s="14"/>
      <c r="O103" s="25" t="str" cm="1">
        <f t="array" ref="O103">BIN2HEX(IF(I103&lt;&gt;"",VLOOKUP(I103,Ops!$I$2:'Ops'!$J$15,2,FALSE),IF(ISNUMBER(SEARCH("BR",D103)),"001","000"))&amp;IF(D103&lt;&gt;"",VLOOKUP(D103,Ops!$B$2:'Ops'!$C$23,2,FALSE),"0")&amp;_xlfn.IFS(ISNUMBER(SEARCH("BR",D103)),VLOOKUP(D103,Ops!$B$3:'Ops'!$D$22,3,FALSE),F103&lt;&gt;"",VLOOKUP(F103,Ops!$R$2:'Ops'!$S$11,2),L103&lt;&gt;"",VLOOKUP(L103,Ops!$R$2:'Ops'!$S$25,2,FALSE),TRUE,"0000"),2)</f>
        <v>00</v>
      </c>
      <c r="P103" s="26" t="str">
        <f>RIGHT(IF($E103&lt;&gt;"",_xlfn.XLOOKUP($E103,$C$4:$C$681,$B$4:$B$681,"NO LABEL"),BIN2HEX(IF(N103="CarryEn","1","0")&amp;IF(M103="SubXY","1","0")&amp;IF(H103&lt;&gt;"",VLOOKUP(H103,Ops!$F$2:'Ops'!$G$20,2,FALSE),"000000"),2)),2)</f>
        <v>02</v>
      </c>
      <c r="Q103" s="26" t="str" cm="1">
        <f t="array" ref="Q103">BIN2HEX(_xlfn.IFS(D103="HWINTEN","10",G103="KeyAck","01",G103="InitLp8","01",TRUE,"00")&amp;IF(OR(Ops!$O$2:'Ops'!$O$13=K103),VLOOKUP(K103,Ops!$O$2:'Ops'!$P$13,2,FALSE),"000")&amp;IF(E103&lt;&gt;"",IF(LEN(_xlfn.XLOOKUP($E103,$C$5:$C$681,$B$5:$B$681,0))=3,HEX2BIN(LEFT(_xlfn.XLOOKUP($E103,$C$5:$C$681,$B$5:$B$681,0),1),3),IF(OR(Ops!$L$2:'Ops'!$L$11=J103),VLOOKUP(J103,Ops!$L$2:'Ops'!$M$11,2,FALSE),"000")),IF(OR(Ops!$L$2:'Ops'!$L$11=J103),VLOOKUP(J103,Ops!$L$2:'Ops'!$M$11,2,FALSE),"000")),2)</f>
        <v>00</v>
      </c>
      <c r="R103" s="27"/>
      <c r="S103" s="19" t="s">
        <v>591</v>
      </c>
      <c r="Z103" s="74" t="str">
        <f t="shared" si="16"/>
        <v>0x00,</v>
      </c>
      <c r="AA103" s="75" t="str">
        <f t="shared" si="17"/>
        <v>0x02,</v>
      </c>
      <c r="AB103" s="75" t="str">
        <f t="shared" si="18"/>
        <v>0x00,</v>
      </c>
      <c r="AC103" s="76"/>
    </row>
    <row r="104" spans="1:29" x14ac:dyDescent="0.3">
      <c r="A104" s="79">
        <f t="shared" si="13"/>
        <v>318</v>
      </c>
      <c r="B104" s="80" t="str">
        <f>DEC2HEX(A104)</f>
        <v>13E</v>
      </c>
      <c r="D104" s="29" t="s">
        <v>430</v>
      </c>
      <c r="E104" s="4" t="s">
        <v>386</v>
      </c>
      <c r="F104" s="29"/>
      <c r="G104" s="24"/>
      <c r="H104" s="29"/>
      <c r="I104"/>
      <c r="J104" s="3"/>
      <c r="K104" s="3"/>
      <c r="L104" s="121"/>
      <c r="M104" s="14"/>
      <c r="O104" s="25" t="str" cm="1">
        <f t="array" ref="O104">BIN2HEX(IF(I104&lt;&gt;"",VLOOKUP(I104,Ops!$I$2:'Ops'!$J$15,2,FALSE),IF(ISNUMBER(SEARCH("BR",D104)),"001","000"))&amp;IF(D104&lt;&gt;"",VLOOKUP(D104,Ops!$B$2:'Ops'!$C$23,2,FALSE),"0")&amp;_xlfn.IFS(ISNUMBER(SEARCH("BR",D104)),VLOOKUP(D104,Ops!$B$3:'Ops'!$D$22,3,FALSE),F104&lt;&gt;"",VLOOKUP(F104,Ops!$R$2:'Ops'!$S$11,2),L104&lt;&gt;"",VLOOKUP(L104,Ops!$R$2:'Ops'!$S$25,2,FALSE),TRUE,"0000"),2)</f>
        <v>3E</v>
      </c>
      <c r="P104" s="26" t="str">
        <f>RIGHT(IF($E104&lt;&gt;"",_xlfn.XLOOKUP($E104,$C$4:$C$681,$B$4:$B$681,"NO LABEL"),BIN2HEX(IF(N104="CarryEn","1","0")&amp;IF(M104="SubXY","1","0")&amp;IF(H104&lt;&gt;"",VLOOKUP(H104,Ops!$F$2:'Ops'!$G$20,2,FALSE),"000000"),2)),2)</f>
        <v>5F</v>
      </c>
      <c r="Q104" s="26" t="str" cm="1">
        <f t="array" ref="Q104">BIN2HEX(_xlfn.IFS(D104="HWINTEN","10",G104="KeyAck","01",G104="InitLp8","01",TRUE,"00")&amp;IF(OR(Ops!$O$2:'Ops'!$O$13=K104),VLOOKUP(K104,Ops!$O$2:'Ops'!$P$13,2,FALSE),"000")&amp;IF(E104&lt;&gt;"",IF(LEN(_xlfn.XLOOKUP($E104,$C$5:$C$681,$B$5:$B$681,0))=3,HEX2BIN(LEFT(_xlfn.XLOOKUP($E104,$C$5:$C$681,$B$5:$B$681,0),1),3),IF(OR(Ops!$L$2:'Ops'!$L$11=J104),VLOOKUP(J104,Ops!$L$2:'Ops'!$M$11,2,FALSE),"000")),IF(OR(Ops!$L$2:'Ops'!$L$11=J104),VLOOKUP(J104,Ops!$L$2:'Ops'!$M$11,2,FALSE),"000")),2)</f>
        <v>01</v>
      </c>
      <c r="R104" s="27"/>
      <c r="S104" s="19" t="s">
        <v>434</v>
      </c>
      <c r="Z104" s="74" t="str">
        <f t="shared" ref="Z104:Z115" si="26">IF(O104="", "};", "0x"&amp;O104&amp;",")</f>
        <v>0x3E,</v>
      </c>
      <c r="AA104" s="75" t="str">
        <f t="shared" ref="AA104:AA115" si="27">"0x"&amp;P104&amp;","</f>
        <v>0x5F,</v>
      </c>
      <c r="AB104" s="75" t="str">
        <f t="shared" ref="AB104:AB115" si="28">"0x"&amp;Q104&amp;","</f>
        <v>0x01,</v>
      </c>
      <c r="AC104" s="76"/>
    </row>
    <row r="105" spans="1:29" x14ac:dyDescent="0.3">
      <c r="A105" s="79">
        <f t="shared" si="13"/>
        <v>321</v>
      </c>
      <c r="B105" s="80" t="str">
        <f>DEC2HEX(A105)</f>
        <v>141</v>
      </c>
      <c r="C105" s="12"/>
      <c r="D105" s="29"/>
      <c r="F105" s="29"/>
      <c r="G105" s="24"/>
      <c r="H105" s="29"/>
      <c r="J105" s="4" t="s">
        <v>314</v>
      </c>
      <c r="K105" s="4" t="s">
        <v>313</v>
      </c>
      <c r="L105" s="4" t="s">
        <v>180</v>
      </c>
      <c r="M105" s="14"/>
      <c r="O105" s="25" t="str" cm="1">
        <f t="array" ref="O105">BIN2HEX(IF(I105&lt;&gt;"",VLOOKUP(I105,Ops!$I$2:'Ops'!$J$15,2,FALSE),IF(ISNUMBER(SEARCH("BR",D105)),"001","000"))&amp;IF(D105&lt;&gt;"",VLOOKUP(D105,Ops!$B$2:'Ops'!$C$23,2,FALSE),"0")&amp;_xlfn.IFS(ISNUMBER(SEARCH("BR",D105)),VLOOKUP(D105,Ops!$B$3:'Ops'!$D$22,3,FALSE),F105&lt;&gt;"",VLOOKUP(F105,Ops!$R$2:'Ops'!$S$11,2),L105&lt;&gt;"",VLOOKUP(L105,Ops!$R$2:'Ops'!$S$25,2,FALSE),TRUE,"0000"),2)</f>
        <v>01</v>
      </c>
      <c r="P105" s="26" t="str">
        <f>RIGHT(IF($E105&lt;&gt;"",_xlfn.XLOOKUP($E105,$C$4:$C$681,$B$4:$B$681,"NO LABEL"),BIN2HEX(IF(N105="CarryEn","1","0")&amp;IF(M105="SubXY","1","0")&amp;IF(H105&lt;&gt;"",VLOOKUP(H105,Ops!$F$2:'Ops'!$G$20,2,FALSE),"000000"),2)),2)</f>
        <v>00</v>
      </c>
      <c r="Q105" s="26" t="str" cm="1">
        <f t="array" ref="Q105">BIN2HEX(_xlfn.IFS(D105="HWINTEN","10",G105="KeyAck","01",G105="InitLp8","01",TRUE,"00")&amp;IF(OR(Ops!$O$2:'Ops'!$O$13=K105),VLOOKUP(K105,Ops!$O$2:'Ops'!$P$13,2,FALSE),"000")&amp;IF(E105&lt;&gt;"",IF(LEN(_xlfn.XLOOKUP($E105,$C$5:$C$681,$B$5:$B$681,0))=3,HEX2BIN(LEFT(_xlfn.XLOOKUP($E105,$C$5:$C$681,$B$5:$B$681,0),1),3),IF(OR(Ops!$L$2:'Ops'!$L$11=J105),VLOOKUP(J105,Ops!$L$2:'Ops'!$M$11,2,FALSE),"000")),IF(OR(Ops!$L$2:'Ops'!$L$11=J105),VLOOKUP(J105,Ops!$L$2:'Ops'!$M$11,2,FALSE),"000")),2)</f>
        <v>36</v>
      </c>
      <c r="R105" s="27"/>
      <c r="Z105" s="74" t="str">
        <f t="shared" si="26"/>
        <v>0x01,</v>
      </c>
      <c r="AA105" s="75" t="str">
        <f t="shared" si="27"/>
        <v>0x00,</v>
      </c>
      <c r="AB105" s="75" t="str">
        <f t="shared" si="28"/>
        <v>0x36,</v>
      </c>
      <c r="AC105" s="76"/>
    </row>
    <row r="106" spans="1:29" x14ac:dyDescent="0.3">
      <c r="A106" s="79">
        <f t="shared" si="13"/>
        <v>324</v>
      </c>
      <c r="B106" s="80" t="str">
        <f t="shared" si="15"/>
        <v>144</v>
      </c>
      <c r="C106" s="4" t="s">
        <v>387</v>
      </c>
      <c r="D106" s="29" t="s">
        <v>183</v>
      </c>
      <c r="E106" s="4" t="s">
        <v>388</v>
      </c>
      <c r="F106" s="29"/>
      <c r="G106" s="24"/>
      <c r="H106" s="29"/>
      <c r="M106" s="14"/>
      <c r="O106" s="25" t="str" cm="1">
        <f t="array" ref="O106">BIN2HEX(IF(I106&lt;&gt;"",VLOOKUP(I106,Ops!$I$2:'Ops'!$J$15,2,FALSE),IF(ISNUMBER(SEARCH("BR",D106)),"001","000"))&amp;IF(D106&lt;&gt;"",VLOOKUP(D106,Ops!$B$2:'Ops'!$C$23,2,FALSE),"0")&amp;_xlfn.IFS(ISNUMBER(SEARCH("BR",D106)),VLOOKUP(D106,Ops!$B$3:'Ops'!$D$22,3,FALSE),F106&lt;&gt;"",VLOOKUP(F106,Ops!$R$2:'Ops'!$S$11,2),L106&lt;&gt;"",VLOOKUP(L106,Ops!$R$2:'Ops'!$S$25,2,FALSE),TRUE,"0000"),2)</f>
        <v>37</v>
      </c>
      <c r="P106" s="26" t="str">
        <f>RIGHT(IF($E106&lt;&gt;"",_xlfn.XLOOKUP($E106,$C$4:$C$681,$B$4:$B$681,"NO LABEL"),BIN2HEX(IF(N106="CarryEn","1","0")&amp;IF(M106="SubXY","1","0")&amp;IF(H106&lt;&gt;"",VLOOKUP(H106,Ops!$F$2:'Ops'!$G$20,2,FALSE),"000000"),2)),2)</f>
        <v>4D</v>
      </c>
      <c r="Q106" s="26" t="str" cm="1">
        <f t="array" ref="Q106">BIN2HEX(_xlfn.IFS(D106="HWINTEN","10",G106="KeyAck","01",G106="InitLp8","01",TRUE,"00")&amp;IF(OR(Ops!$O$2:'Ops'!$O$13=K106),VLOOKUP(K106,Ops!$O$2:'Ops'!$P$13,2,FALSE),"000")&amp;IF(E106&lt;&gt;"",IF(LEN(_xlfn.XLOOKUP($E106,$C$5:$C$681,$B$5:$B$681,0))=3,HEX2BIN(LEFT(_xlfn.XLOOKUP($E106,$C$5:$C$681,$B$5:$B$681,0),1),3),IF(OR(Ops!$L$2:'Ops'!$L$11=J106),VLOOKUP(J106,Ops!$L$2:'Ops'!$M$11,2,FALSE),"000")),IF(OR(Ops!$L$2:'Ops'!$L$11=J106),VLOOKUP(J106,Ops!$L$2:'Ops'!$M$11,2,FALSE),"000")),2)</f>
        <v>01</v>
      </c>
      <c r="R106" s="27"/>
      <c r="S106" s="4" t="s">
        <v>392</v>
      </c>
      <c r="Z106" s="74" t="str">
        <f t="shared" si="26"/>
        <v>0x37,</v>
      </c>
      <c r="AA106" s="75" t="str">
        <f t="shared" si="27"/>
        <v>0x4D,</v>
      </c>
      <c r="AB106" s="75" t="str">
        <f t="shared" si="28"/>
        <v>0x01,</v>
      </c>
      <c r="AC106" s="76"/>
    </row>
    <row r="107" spans="1:29" x14ac:dyDescent="0.3">
      <c r="A107" s="79">
        <f t="shared" si="13"/>
        <v>327</v>
      </c>
      <c r="B107" s="80" t="str">
        <f t="shared" ref="B107:B130" si="29">DEC2HEX(A107)</f>
        <v>147</v>
      </c>
      <c r="C107" s="4" t="s">
        <v>389</v>
      </c>
      <c r="D107" s="29"/>
      <c r="F107" s="29"/>
      <c r="G107" s="24"/>
      <c r="H107" s="29"/>
      <c r="J107" s="4" t="s">
        <v>314</v>
      </c>
      <c r="K107" s="4" t="s">
        <v>313</v>
      </c>
      <c r="L107" s="4" t="s">
        <v>181</v>
      </c>
      <c r="M107" s="14"/>
      <c r="O107" s="25" t="str" cm="1">
        <f t="array" ref="O107">BIN2HEX(IF(I107&lt;&gt;"",VLOOKUP(I107,Ops!$I$2:'Ops'!$J$15,2,FALSE),IF(ISNUMBER(SEARCH("BR",D107)),"001","000"))&amp;IF(D107&lt;&gt;"",VLOOKUP(D107,Ops!$B$2:'Ops'!$C$23,2,FALSE),"0")&amp;_xlfn.IFS(ISNUMBER(SEARCH("BR",D107)),VLOOKUP(D107,Ops!$B$3:'Ops'!$D$22,3,FALSE),F107&lt;&gt;"",VLOOKUP(F107,Ops!$R$2:'Ops'!$S$11,2),L107&lt;&gt;"",VLOOKUP(L107,Ops!$R$2:'Ops'!$S$25,2,FALSE),TRUE,"0000"),2)</f>
        <v>02</v>
      </c>
      <c r="P107" s="26" t="str">
        <f>RIGHT(IF($E107&lt;&gt;"",_xlfn.XLOOKUP($E107,$C$4:$C$681,$B$4:$B$681,"NO LABEL"),BIN2HEX(IF(N107="CarryEn","1","0")&amp;IF(M107="SubXY","1","0")&amp;IF(H107&lt;&gt;"",VLOOKUP(H107,Ops!$F$2:'Ops'!$G$20,2,FALSE),"000000"),2)),2)</f>
        <v>00</v>
      </c>
      <c r="Q107" s="26" t="str" cm="1">
        <f t="array" ref="Q107">BIN2HEX(_xlfn.IFS(D107="HWINTEN","10",G107="KeyAck","01",G107="InitLp8","01",TRUE,"00")&amp;IF(OR(Ops!$O$2:'Ops'!$O$13=K107),VLOOKUP(K107,Ops!$O$2:'Ops'!$P$13,2,FALSE),"000")&amp;IF(E107&lt;&gt;"",IF(LEN(_xlfn.XLOOKUP($E107,$C$5:$C$681,$B$5:$B$681,0))=3,HEX2BIN(LEFT(_xlfn.XLOOKUP($E107,$C$5:$C$681,$B$5:$B$681,0),1),3),IF(OR(Ops!$L$2:'Ops'!$L$11=J107),VLOOKUP(J107,Ops!$L$2:'Ops'!$M$11,2,FALSE),"000")),IF(OR(Ops!$L$2:'Ops'!$L$11=J107),VLOOKUP(J107,Ops!$L$2:'Ops'!$M$11,2,FALSE),"000")),2)</f>
        <v>36</v>
      </c>
      <c r="R107" s="27"/>
      <c r="S107" s="4" t="s">
        <v>393</v>
      </c>
      <c r="Z107" s="74" t="str">
        <f t="shared" si="26"/>
        <v>0x02,</v>
      </c>
      <c r="AA107" s="75" t="str">
        <f t="shared" si="27"/>
        <v>0x00,</v>
      </c>
      <c r="AB107" s="75" t="str">
        <f t="shared" si="28"/>
        <v>0x36,</v>
      </c>
      <c r="AC107" s="76"/>
    </row>
    <row r="108" spans="1:29" x14ac:dyDescent="0.3">
      <c r="A108" s="79">
        <f t="shared" si="13"/>
        <v>330</v>
      </c>
      <c r="B108" s="80" t="str">
        <f t="shared" si="29"/>
        <v>14A</v>
      </c>
      <c r="D108" s="29" t="s">
        <v>0</v>
      </c>
      <c r="E108" s="4" t="s">
        <v>1</v>
      </c>
      <c r="F108" s="29"/>
      <c r="G108" s="24"/>
      <c r="H108" s="29"/>
      <c r="M108" s="14"/>
      <c r="O108" s="25" t="str" cm="1">
        <f t="array" ref="O108">BIN2HEX(IF(I108&lt;&gt;"",VLOOKUP(I108,Ops!$I$2:'Ops'!$J$15,2,FALSE),IF(ISNUMBER(SEARCH("BR",D108)),"001","000"))&amp;IF(D108&lt;&gt;"",VLOOKUP(D108,Ops!$B$2:'Ops'!$C$23,2,FALSE),"0")&amp;_xlfn.IFS(ISNUMBER(SEARCH("BR",D108)),VLOOKUP(D108,Ops!$B$3:'Ops'!$D$22,3,FALSE),F108&lt;&gt;"",VLOOKUP(F108,Ops!$R$2:'Ops'!$S$11,2),L108&lt;&gt;"",VLOOKUP(L108,Ops!$R$2:'Ops'!$S$25,2,FALSE),TRUE,"0000"),2)</f>
        <v>10</v>
      </c>
      <c r="P108" s="26" t="str">
        <f>RIGHT(IF($E108&lt;&gt;"",_xlfn.XLOOKUP($E108,$C$4:$C$681,$B$4:$B$681,"NO LABEL"),BIN2HEX(IF(N108="CarryEn","1","0")&amp;IF(M108="SubXY","1","0")&amp;IF(H108&lt;&gt;"",VLOOKUP(H108,Ops!$F$2:'Ops'!$G$20,2,FALSE),"000000"),2)),2)</f>
        <v>60</v>
      </c>
      <c r="Q108" s="26" t="str" cm="1">
        <f t="array" ref="Q108">BIN2HEX(_xlfn.IFS(D108="HWINTEN","10",G108="KeyAck","01",G108="InitLp8","01",TRUE,"00")&amp;IF(OR(Ops!$O$2:'Ops'!$O$13=K108),VLOOKUP(K108,Ops!$O$2:'Ops'!$P$13,2,FALSE),"000")&amp;IF(E108&lt;&gt;"",IF(LEN(_xlfn.XLOOKUP($E108,$C$5:$C$681,$B$5:$B$681,0))=3,HEX2BIN(LEFT(_xlfn.XLOOKUP($E108,$C$5:$C$681,$B$5:$B$681,0),1),3),IF(OR(Ops!$L$2:'Ops'!$L$11=J108),VLOOKUP(J108,Ops!$L$2:'Ops'!$M$11,2,FALSE),"000")),IF(OR(Ops!$L$2:'Ops'!$L$11=J108),VLOOKUP(J108,Ops!$L$2:'Ops'!$M$11,2,FALSE),"000")),2)</f>
        <v>00</v>
      </c>
      <c r="R108" s="27"/>
      <c r="S108" s="4" t="s">
        <v>394</v>
      </c>
      <c r="Z108" s="74" t="str">
        <f t="shared" si="26"/>
        <v>0x10,</v>
      </c>
      <c r="AA108" s="75" t="str">
        <f t="shared" si="27"/>
        <v>0x60,</v>
      </c>
      <c r="AB108" s="75" t="str">
        <f t="shared" si="28"/>
        <v>0x00,</v>
      </c>
      <c r="AC108" s="76"/>
    </row>
    <row r="109" spans="1:29" x14ac:dyDescent="0.3">
      <c r="A109" s="79">
        <f t="shared" si="13"/>
        <v>333</v>
      </c>
      <c r="B109" s="80" t="str">
        <f t="shared" si="29"/>
        <v>14D</v>
      </c>
      <c r="C109" s="4" t="s">
        <v>388</v>
      </c>
      <c r="D109" s="29"/>
      <c r="F109" s="29"/>
      <c r="G109" s="24"/>
      <c r="H109" s="29"/>
      <c r="J109" s="4" t="s">
        <v>314</v>
      </c>
      <c r="K109" s="4" t="s">
        <v>313</v>
      </c>
      <c r="L109" s="4" t="s">
        <v>311</v>
      </c>
      <c r="M109" s="14"/>
      <c r="O109" s="25" t="str" cm="1">
        <f t="array" ref="O109">BIN2HEX(IF(I109&lt;&gt;"",VLOOKUP(I109,Ops!$I$2:'Ops'!$J$15,2,FALSE),IF(ISNUMBER(SEARCH("BR",D109)),"001","000"))&amp;IF(D109&lt;&gt;"",VLOOKUP(D109,Ops!$B$2:'Ops'!$C$23,2,FALSE),"0")&amp;_xlfn.IFS(ISNUMBER(SEARCH("BR",D109)),VLOOKUP(D109,Ops!$B$3:'Ops'!$D$22,3,FALSE),F109&lt;&gt;"",VLOOKUP(F109,Ops!$R$2:'Ops'!$S$11,2),L109&lt;&gt;"",VLOOKUP(L109,Ops!$R$2:'Ops'!$S$25,2,FALSE),TRUE,"0000"),2)</f>
        <v>04</v>
      </c>
      <c r="P109" s="26" t="str">
        <f>RIGHT(IF($E109&lt;&gt;"",_xlfn.XLOOKUP($E109,$C$4:$C$681,$B$4:$B$681,"NO LABEL"),BIN2HEX(IF(N109="CarryEn","1","0")&amp;IF(M109="SubXY","1","0")&amp;IF(H109&lt;&gt;"",VLOOKUP(H109,Ops!$F$2:'Ops'!$G$20,2,FALSE),"000000"),2)),2)</f>
        <v>00</v>
      </c>
      <c r="Q109" s="26" t="str" cm="1">
        <f t="array" ref="Q109">BIN2HEX(_xlfn.IFS(D109="HWINTEN","10",G109="KeyAck","01",G109="InitLp8","01",TRUE,"00")&amp;IF(OR(Ops!$O$2:'Ops'!$O$13=K109),VLOOKUP(K109,Ops!$O$2:'Ops'!$P$13,2,FALSE),"000")&amp;IF(E109&lt;&gt;"",IF(LEN(_xlfn.XLOOKUP($E109,$C$5:$C$681,$B$5:$B$681,0))=3,HEX2BIN(LEFT(_xlfn.XLOOKUP($E109,$C$5:$C$681,$B$5:$B$681,0),1),3),IF(OR(Ops!$L$2:'Ops'!$L$11=J109),VLOOKUP(J109,Ops!$L$2:'Ops'!$M$11,2,FALSE),"000")),IF(OR(Ops!$L$2:'Ops'!$L$11=J109),VLOOKUP(J109,Ops!$L$2:'Ops'!$M$11,2,FALSE),"000")),2)</f>
        <v>36</v>
      </c>
      <c r="R109" s="27"/>
      <c r="S109" s="4" t="s">
        <v>395</v>
      </c>
      <c r="Z109" s="74" t="str">
        <f t="shared" si="26"/>
        <v>0x04,</v>
      </c>
      <c r="AA109" s="75" t="str">
        <f t="shared" si="27"/>
        <v>0x00,</v>
      </c>
      <c r="AB109" s="75" t="str">
        <f t="shared" si="28"/>
        <v>0x36,</v>
      </c>
      <c r="AC109" s="76"/>
    </row>
    <row r="110" spans="1:29" x14ac:dyDescent="0.3">
      <c r="A110" s="79">
        <f t="shared" si="13"/>
        <v>336</v>
      </c>
      <c r="B110" s="80" t="str">
        <f t="shared" si="29"/>
        <v>150</v>
      </c>
      <c r="D110" s="29" t="s">
        <v>221</v>
      </c>
      <c r="E110" s="4" t="s">
        <v>390</v>
      </c>
      <c r="F110" s="29"/>
      <c r="G110" s="24"/>
      <c r="H110" s="29"/>
      <c r="M110" s="14"/>
      <c r="O110" s="25" t="str" cm="1">
        <f t="array" ref="O110">BIN2HEX(IF(I110&lt;&gt;"",VLOOKUP(I110,Ops!$I$2:'Ops'!$J$15,2,FALSE),IF(ISNUMBER(SEARCH("BR",D110)),"001","000"))&amp;IF(D110&lt;&gt;"",VLOOKUP(D110,Ops!$B$2:'Ops'!$C$23,2,FALSE),"0")&amp;_xlfn.IFS(ISNUMBER(SEARCH("BR",D110)),VLOOKUP(D110,Ops!$B$3:'Ops'!$D$22,3,FALSE),F110&lt;&gt;"",VLOOKUP(F110,Ops!$R$2:'Ops'!$S$11,2),L110&lt;&gt;"",VLOOKUP(L110,Ops!$R$2:'Ops'!$S$25,2,FALSE),TRUE,"0000"),2)</f>
        <v>36</v>
      </c>
      <c r="P110" s="26" t="str">
        <f>RIGHT(IF($E110&lt;&gt;"",_xlfn.XLOOKUP($E110,$C$4:$C$681,$B$4:$B$681,"NO LABEL"),BIN2HEX(IF(N110="CarryEn","1","0")&amp;IF(M110="SubXY","1","0")&amp;IF(H110&lt;&gt;"",VLOOKUP(H110,Ops!$F$2:'Ops'!$G$20,2,FALSE),"000000"),2)),2)</f>
        <v>59</v>
      </c>
      <c r="Q110" s="26" t="str" cm="1">
        <f t="array" ref="Q110">BIN2HEX(_xlfn.IFS(D110="HWINTEN","10",G110="KeyAck","01",G110="InitLp8","01",TRUE,"00")&amp;IF(OR(Ops!$O$2:'Ops'!$O$13=K110),VLOOKUP(K110,Ops!$O$2:'Ops'!$P$13,2,FALSE),"000")&amp;IF(E110&lt;&gt;"",IF(LEN(_xlfn.XLOOKUP($E110,$C$5:$C$681,$B$5:$B$681,0))=3,HEX2BIN(LEFT(_xlfn.XLOOKUP($E110,$C$5:$C$681,$B$5:$B$681,0),1),3),IF(OR(Ops!$L$2:'Ops'!$L$11=J110),VLOOKUP(J110,Ops!$L$2:'Ops'!$M$11,2,FALSE),"000")),IF(OR(Ops!$L$2:'Ops'!$L$11=J110),VLOOKUP(J110,Ops!$L$2:'Ops'!$M$11,2,FALSE),"000")),2)</f>
        <v>01</v>
      </c>
      <c r="R110" s="27"/>
      <c r="S110" s="4" t="s">
        <v>42</v>
      </c>
      <c r="Z110" s="74" t="str">
        <f t="shared" si="26"/>
        <v>0x36,</v>
      </c>
      <c r="AA110" s="75" t="str">
        <f t="shared" si="27"/>
        <v>0x59,</v>
      </c>
      <c r="AB110" s="75" t="str">
        <f t="shared" si="28"/>
        <v>0x01,</v>
      </c>
      <c r="AC110" s="76"/>
    </row>
    <row r="111" spans="1:29" x14ac:dyDescent="0.3">
      <c r="A111" s="79">
        <f t="shared" si="13"/>
        <v>339</v>
      </c>
      <c r="B111" s="80" t="str">
        <f t="shared" si="29"/>
        <v>153</v>
      </c>
      <c r="D111" s="29"/>
      <c r="F111" s="29"/>
      <c r="G111" s="24"/>
      <c r="H111" s="29"/>
      <c r="J111" s="4" t="s">
        <v>314</v>
      </c>
      <c r="K111" s="4" t="s">
        <v>313</v>
      </c>
      <c r="L111" s="4" t="s">
        <v>312</v>
      </c>
      <c r="M111" s="14"/>
      <c r="O111" s="25" t="str" cm="1">
        <f t="array" ref="O111">BIN2HEX(IF(I111&lt;&gt;"",VLOOKUP(I111,Ops!$I$2:'Ops'!$J$15,2,FALSE),IF(ISNUMBER(SEARCH("BR",D111)),"001","000"))&amp;IF(D111&lt;&gt;"",VLOOKUP(D111,Ops!$B$2:'Ops'!$C$23,2,FALSE),"0")&amp;_xlfn.IFS(ISNUMBER(SEARCH("BR",D111)),VLOOKUP(D111,Ops!$B$3:'Ops'!$D$22,3,FALSE),F111&lt;&gt;"",VLOOKUP(F111,Ops!$R$2:'Ops'!$S$11,2),L111&lt;&gt;"",VLOOKUP(L111,Ops!$R$2:'Ops'!$S$25,2,FALSE),TRUE,"0000"),2)</f>
        <v>03</v>
      </c>
      <c r="P111" s="26" t="str">
        <f>RIGHT(IF($E111&lt;&gt;"",_xlfn.XLOOKUP($E111,$C$4:$C$681,$B$4:$B$681,"NO LABEL"),BIN2HEX(IF(N111="CarryEn","1","0")&amp;IF(M111="SubXY","1","0")&amp;IF(H111&lt;&gt;"",VLOOKUP(H111,Ops!$F$2:'Ops'!$G$20,2,FALSE),"000000"),2)),2)</f>
        <v>00</v>
      </c>
      <c r="Q111" s="26" t="str" cm="1">
        <f t="array" ref="Q111">BIN2HEX(_xlfn.IFS(D111="HWINTEN","10",G111="KeyAck","01",G111="InitLp8","01",TRUE,"00")&amp;IF(OR(Ops!$O$2:'Ops'!$O$13=K111),VLOOKUP(K111,Ops!$O$2:'Ops'!$P$13,2,FALSE),"000")&amp;IF(E111&lt;&gt;"",IF(LEN(_xlfn.XLOOKUP($E111,$C$5:$C$681,$B$5:$B$681,0))=3,HEX2BIN(LEFT(_xlfn.XLOOKUP($E111,$C$5:$C$681,$B$5:$B$681,0),1),3),IF(OR(Ops!$L$2:'Ops'!$L$11=J111),VLOOKUP(J111,Ops!$L$2:'Ops'!$M$11,2,FALSE),"000")),IF(OR(Ops!$L$2:'Ops'!$L$11=J111),VLOOKUP(J111,Ops!$L$2:'Ops'!$M$11,2,FALSE),"000")),2)</f>
        <v>36</v>
      </c>
      <c r="R111" s="27"/>
      <c r="S111" s="4" t="s">
        <v>406</v>
      </c>
      <c r="Z111" s="74" t="str">
        <f t="shared" si="26"/>
        <v>0x03,</v>
      </c>
      <c r="AA111" s="75" t="str">
        <f t="shared" si="27"/>
        <v>0x00,</v>
      </c>
      <c r="AB111" s="75" t="str">
        <f t="shared" si="28"/>
        <v>0x36,</v>
      </c>
      <c r="AC111" s="76"/>
    </row>
    <row r="112" spans="1:29" x14ac:dyDescent="0.3">
      <c r="A112" s="79">
        <f t="shared" si="13"/>
        <v>342</v>
      </c>
      <c r="B112" s="80" t="str">
        <f t="shared" si="29"/>
        <v>156</v>
      </c>
      <c r="D112" s="29" t="s">
        <v>0</v>
      </c>
      <c r="E112" s="4" t="s">
        <v>1</v>
      </c>
      <c r="F112" s="29"/>
      <c r="G112" s="24"/>
      <c r="H112" s="29"/>
      <c r="M112" s="14"/>
      <c r="O112" s="25" t="str" cm="1">
        <f t="array" ref="O112">BIN2HEX(IF(I112&lt;&gt;"",VLOOKUP(I112,Ops!$I$2:'Ops'!$J$15,2,FALSE),IF(ISNUMBER(SEARCH("BR",D112)),"001","000"))&amp;IF(D112&lt;&gt;"",VLOOKUP(D112,Ops!$B$2:'Ops'!$C$23,2,FALSE),"0")&amp;_xlfn.IFS(ISNUMBER(SEARCH("BR",D112)),VLOOKUP(D112,Ops!$B$3:'Ops'!$D$22,3,FALSE),F112&lt;&gt;"",VLOOKUP(F112,Ops!$R$2:'Ops'!$S$11,2),L112&lt;&gt;"",VLOOKUP(L112,Ops!$R$2:'Ops'!$S$25,2,FALSE),TRUE,"0000"),2)</f>
        <v>10</v>
      </c>
      <c r="P112" s="26" t="str">
        <f>RIGHT(IF($E112&lt;&gt;"",_xlfn.XLOOKUP($E112,$C$4:$C$681,$B$4:$B$681,"NO LABEL"),BIN2HEX(IF(N112="CarryEn","1","0")&amp;IF(M112="SubXY","1","0")&amp;IF(H112&lt;&gt;"",VLOOKUP(H112,Ops!$F$2:'Ops'!$G$20,2,FALSE),"000000"),2)),2)</f>
        <v>60</v>
      </c>
      <c r="Q112" s="26" t="str" cm="1">
        <f t="array" ref="Q112">BIN2HEX(_xlfn.IFS(D112="HWINTEN","10",G112="KeyAck","01",G112="InitLp8","01",TRUE,"00")&amp;IF(OR(Ops!$O$2:'Ops'!$O$13=K112),VLOOKUP(K112,Ops!$O$2:'Ops'!$P$13,2,FALSE),"000")&amp;IF(E112&lt;&gt;"",IF(LEN(_xlfn.XLOOKUP($E112,$C$5:$C$681,$B$5:$B$681,0))=3,HEX2BIN(LEFT(_xlfn.XLOOKUP($E112,$C$5:$C$681,$B$5:$B$681,0),1),3),IF(OR(Ops!$L$2:'Ops'!$L$11=J112),VLOOKUP(J112,Ops!$L$2:'Ops'!$M$11,2,FALSE),"000")),IF(OR(Ops!$L$2:'Ops'!$L$11=J112),VLOOKUP(J112,Ops!$L$2:'Ops'!$M$11,2,FALSE),"000")),2)</f>
        <v>00</v>
      </c>
      <c r="R112" s="27"/>
      <c r="Z112" s="74" t="str">
        <f t="shared" si="26"/>
        <v>0x10,</v>
      </c>
      <c r="AA112" s="75" t="str">
        <f t="shared" si="27"/>
        <v>0x60,</v>
      </c>
      <c r="AB112" s="75" t="str">
        <f t="shared" si="28"/>
        <v>0x00,</v>
      </c>
      <c r="AC112" s="76"/>
    </row>
    <row r="113" spans="1:29" x14ac:dyDescent="0.3">
      <c r="A113" s="79">
        <f t="shared" si="13"/>
        <v>345</v>
      </c>
      <c r="B113" s="80" t="str">
        <f t="shared" si="29"/>
        <v>159</v>
      </c>
      <c r="C113" s="4" t="s">
        <v>390</v>
      </c>
      <c r="D113" s="29"/>
      <c r="F113" s="29"/>
      <c r="G113" s="24"/>
      <c r="H113" s="29"/>
      <c r="J113" s="4" t="s">
        <v>314</v>
      </c>
      <c r="L113" s="4" t="s">
        <v>312</v>
      </c>
      <c r="M113" s="14"/>
      <c r="O113" s="25" t="str" cm="1">
        <f t="array" ref="O113">BIN2HEX(IF(I113&lt;&gt;"",VLOOKUP(I113,Ops!$I$2:'Ops'!$J$15,2,FALSE),IF(ISNUMBER(SEARCH("BR",D113)),"001","000"))&amp;IF(D113&lt;&gt;"",VLOOKUP(D113,Ops!$B$2:'Ops'!$C$23,2,FALSE),"0")&amp;_xlfn.IFS(ISNUMBER(SEARCH("BR",D113)),VLOOKUP(D113,Ops!$B$3:'Ops'!$D$22,3,FALSE),F113&lt;&gt;"",VLOOKUP(F113,Ops!$R$2:'Ops'!$S$11,2),L113&lt;&gt;"",VLOOKUP(L113,Ops!$R$2:'Ops'!$S$25,2,FALSE),TRUE,"0000"),2)</f>
        <v>03</v>
      </c>
      <c r="P113" s="26" t="str">
        <f>RIGHT(IF($E113&lt;&gt;"",_xlfn.XLOOKUP($E113,$C$4:$C$681,$B$4:$B$681,"NO LABEL"),BIN2HEX(IF(N113="CarryEn","1","0")&amp;IF(M113="SubXY","1","0")&amp;IF(H113&lt;&gt;"",VLOOKUP(H113,Ops!$F$2:'Ops'!$G$20,2,FALSE),"000000"),2)),2)</f>
        <v>00</v>
      </c>
      <c r="Q113" s="26" t="str" cm="1">
        <f t="array" ref="Q113">BIN2HEX(_xlfn.IFS(D113="HWINTEN","10",G113="KeyAck","01",G113="InitLp8","01",TRUE,"00")&amp;IF(OR(Ops!$O$2:'Ops'!$O$13=K113),VLOOKUP(K113,Ops!$O$2:'Ops'!$P$13,2,FALSE),"000")&amp;IF(E113&lt;&gt;"",IF(LEN(_xlfn.XLOOKUP($E113,$C$5:$C$681,$B$5:$B$681,0))=3,HEX2BIN(LEFT(_xlfn.XLOOKUP($E113,$C$5:$C$681,$B$5:$B$681,0),1),3),IF(OR(Ops!$L$2:'Ops'!$L$11=J113),VLOOKUP(J113,Ops!$L$2:'Ops'!$M$11,2,FALSE),"000")),IF(OR(Ops!$L$2:'Ops'!$L$11=J113),VLOOKUP(J113,Ops!$L$2:'Ops'!$M$11,2,FALSE),"000")),2)</f>
        <v>06</v>
      </c>
      <c r="R113" s="27"/>
      <c r="S113" s="4" t="s">
        <v>396</v>
      </c>
      <c r="Z113" s="74" t="str">
        <f t="shared" si="26"/>
        <v>0x03,</v>
      </c>
      <c r="AA113" s="75" t="str">
        <f t="shared" si="27"/>
        <v>0x00,</v>
      </c>
      <c r="AB113" s="75" t="str">
        <f t="shared" si="28"/>
        <v>0x06,</v>
      </c>
      <c r="AC113" s="76"/>
    </row>
    <row r="114" spans="1:29" x14ac:dyDescent="0.3">
      <c r="A114" s="79">
        <f t="shared" si="13"/>
        <v>348</v>
      </c>
      <c r="B114" s="80" t="str">
        <f t="shared" si="29"/>
        <v>15C</v>
      </c>
      <c r="D114" s="29" t="s">
        <v>0</v>
      </c>
      <c r="E114" s="4" t="s">
        <v>1</v>
      </c>
      <c r="F114" s="29"/>
      <c r="G114" s="24"/>
      <c r="H114" s="29"/>
      <c r="M114" s="14"/>
      <c r="O114" s="25" t="str" cm="1">
        <f t="array" ref="O114">BIN2HEX(IF(I114&lt;&gt;"",VLOOKUP(I114,Ops!$I$2:'Ops'!$J$15,2,FALSE),IF(ISNUMBER(SEARCH("BR",D114)),"001","000"))&amp;IF(D114&lt;&gt;"",VLOOKUP(D114,Ops!$B$2:'Ops'!$C$23,2,FALSE),"0")&amp;_xlfn.IFS(ISNUMBER(SEARCH("BR",D114)),VLOOKUP(D114,Ops!$B$3:'Ops'!$D$22,3,FALSE),F114&lt;&gt;"",VLOOKUP(F114,Ops!$R$2:'Ops'!$S$11,2),L114&lt;&gt;"",VLOOKUP(L114,Ops!$R$2:'Ops'!$S$25,2,FALSE),TRUE,"0000"),2)</f>
        <v>10</v>
      </c>
      <c r="P114" s="26" t="str">
        <f>RIGHT(IF($E114&lt;&gt;"",_xlfn.XLOOKUP($E114,$C$4:$C$681,$B$4:$B$681,"NO LABEL"),BIN2HEX(IF(N114="CarryEn","1","0")&amp;IF(M114="SubXY","1","0")&amp;IF(H114&lt;&gt;"",VLOOKUP(H114,Ops!$F$2:'Ops'!$G$20,2,FALSE),"000000"),2)),2)</f>
        <v>60</v>
      </c>
      <c r="Q114" s="26" t="str" cm="1">
        <f t="array" ref="Q114">BIN2HEX(_xlfn.IFS(D114="HWINTEN","10",G114="KeyAck","01",G114="InitLp8","01",TRUE,"00")&amp;IF(OR(Ops!$O$2:'Ops'!$O$13=K114),VLOOKUP(K114,Ops!$O$2:'Ops'!$P$13,2,FALSE),"000")&amp;IF(E114&lt;&gt;"",IF(LEN(_xlfn.XLOOKUP($E114,$C$5:$C$681,$B$5:$B$681,0))=3,HEX2BIN(LEFT(_xlfn.XLOOKUP($E114,$C$5:$C$681,$B$5:$B$681,0),1),3),IF(OR(Ops!$L$2:'Ops'!$L$11=J114),VLOOKUP(J114,Ops!$L$2:'Ops'!$M$11,2,FALSE),"000")),IF(OR(Ops!$L$2:'Ops'!$L$11=J114),VLOOKUP(J114,Ops!$L$2:'Ops'!$M$11,2,FALSE),"000")),2)</f>
        <v>00</v>
      </c>
      <c r="R114" s="27"/>
      <c r="Z114" s="74" t="str">
        <f t="shared" si="26"/>
        <v>0x10,</v>
      </c>
      <c r="AA114" s="75" t="str">
        <f t="shared" si="27"/>
        <v>0x60,</v>
      </c>
      <c r="AB114" s="75" t="str">
        <f t="shared" si="28"/>
        <v>0x00,</v>
      </c>
      <c r="AC114" s="76"/>
    </row>
    <row r="115" spans="1:29" x14ac:dyDescent="0.3">
      <c r="A115" s="79">
        <f t="shared" si="13"/>
        <v>351</v>
      </c>
      <c r="B115" s="80" t="str">
        <f t="shared" si="29"/>
        <v>15F</v>
      </c>
      <c r="C115" s="4" t="s">
        <v>386</v>
      </c>
      <c r="D115" s="29"/>
      <c r="F115" s="29"/>
      <c r="G115" s="24"/>
      <c r="H115" s="29"/>
      <c r="J115" s="4" t="s">
        <v>314</v>
      </c>
      <c r="K115" s="4" t="s">
        <v>313</v>
      </c>
      <c r="L115" s="4" t="s">
        <v>180</v>
      </c>
      <c r="M115" s="14"/>
      <c r="O115" s="25" t="str" cm="1">
        <f t="array" ref="O115">BIN2HEX(IF(I115&lt;&gt;"",VLOOKUP(I115,Ops!$I$2:'Ops'!$J$15,2,FALSE),IF(ISNUMBER(SEARCH("BR",D115)),"001","000"))&amp;IF(D115&lt;&gt;"",VLOOKUP(D115,Ops!$B$2:'Ops'!$C$23,2,FALSE),"0")&amp;_xlfn.IFS(ISNUMBER(SEARCH("BR",D115)),VLOOKUP(D115,Ops!$B$3:'Ops'!$D$22,3,FALSE),F115&lt;&gt;"",VLOOKUP(F115,Ops!$R$2:'Ops'!$S$11,2),L115&lt;&gt;"",VLOOKUP(L115,Ops!$R$2:'Ops'!$S$25,2,FALSE),TRUE,"0000"),2)</f>
        <v>01</v>
      </c>
      <c r="P115" s="26" t="str">
        <f>RIGHT(IF($E115&lt;&gt;"",_xlfn.XLOOKUP($E115,$C$4:$C$681,$B$4:$B$681,"NO LABEL"),BIN2HEX(IF(N115="CarryEn","1","0")&amp;IF(M115="SubXY","1","0")&amp;IF(H115&lt;&gt;"",VLOOKUP(H115,Ops!$F$2:'Ops'!$G$20,2,FALSE),"000000"),2)),2)</f>
        <v>00</v>
      </c>
      <c r="Q115" s="26" t="str" cm="1">
        <f t="array" ref="Q115">BIN2HEX(_xlfn.IFS(D115="HWINTEN","10",G115="KeyAck","01",G115="InitLp8","01",TRUE,"00")&amp;IF(OR(Ops!$O$2:'Ops'!$O$13=K115),VLOOKUP(K115,Ops!$O$2:'Ops'!$P$13,2,FALSE),"000")&amp;IF(E115&lt;&gt;"",IF(LEN(_xlfn.XLOOKUP($E115,$C$5:$C$681,$B$5:$B$681,0))=3,HEX2BIN(LEFT(_xlfn.XLOOKUP($E115,$C$5:$C$681,$B$5:$B$681,0),1),3),IF(OR(Ops!$L$2:'Ops'!$L$11=J115),VLOOKUP(J115,Ops!$L$2:'Ops'!$M$11,2,FALSE),"000")),IF(OR(Ops!$L$2:'Ops'!$L$11=J115),VLOOKUP(J115,Ops!$L$2:'Ops'!$M$11,2,FALSE),"000")),2)</f>
        <v>36</v>
      </c>
      <c r="R115" s="27"/>
      <c r="Z115" s="74" t="str">
        <f t="shared" si="26"/>
        <v>0x01,</v>
      </c>
      <c r="AA115" s="75" t="str">
        <f t="shared" si="27"/>
        <v>0x00,</v>
      </c>
      <c r="AB115" s="75" t="str">
        <f t="shared" si="28"/>
        <v>0x36,</v>
      </c>
      <c r="AC115" s="76"/>
    </row>
    <row r="116" spans="1:29" x14ac:dyDescent="0.3">
      <c r="A116" s="79">
        <f t="shared" si="13"/>
        <v>354</v>
      </c>
      <c r="B116" s="80" t="str">
        <f t="shared" si="29"/>
        <v>162</v>
      </c>
      <c r="D116" s="29"/>
      <c r="F116" s="29"/>
      <c r="G116" s="24"/>
      <c r="H116" s="29"/>
      <c r="J116" s="4" t="s">
        <v>314</v>
      </c>
      <c r="K116" s="4" t="s">
        <v>313</v>
      </c>
      <c r="L116" s="4" t="s">
        <v>181</v>
      </c>
      <c r="M116" s="14"/>
      <c r="O116" s="25" t="str" cm="1">
        <f t="array" ref="O116">BIN2HEX(IF(I116&lt;&gt;"",VLOOKUP(I116,Ops!$I$2:'Ops'!$J$15,2,FALSE),IF(ISNUMBER(SEARCH("BR",D116)),"001","000"))&amp;IF(D116&lt;&gt;"",VLOOKUP(D116,Ops!$B$2:'Ops'!$C$23,2,FALSE),"0")&amp;_xlfn.IFS(ISNUMBER(SEARCH("BR",D116)),VLOOKUP(D116,Ops!$B$3:'Ops'!$D$22,3,FALSE),F116&lt;&gt;"",VLOOKUP(F116,Ops!$R$2:'Ops'!$S$11,2),L116&lt;&gt;"",VLOOKUP(L116,Ops!$R$2:'Ops'!$S$25,2,FALSE),TRUE,"0000"),2)</f>
        <v>02</v>
      </c>
      <c r="P116" s="26" t="str">
        <f>RIGHT(IF($E116&lt;&gt;"",_xlfn.XLOOKUP($E116,$C$4:$C$681,$B$4:$B$681,"NO LABEL"),BIN2HEX(IF(N116="CarryEn","1","0")&amp;IF(M116="SubXY","1","0")&amp;IF(H116&lt;&gt;"",VLOOKUP(H116,Ops!$F$2:'Ops'!$G$20,2,FALSE),"000000"),2)),2)</f>
        <v>00</v>
      </c>
      <c r="Q116" s="26" t="str" cm="1">
        <f t="array" ref="Q116">BIN2HEX(_xlfn.IFS(D116="HWINTEN","10",G116="KeyAck","01",G116="InitLp8","01",TRUE,"00")&amp;IF(OR(Ops!$O$2:'Ops'!$O$13=K116),VLOOKUP(K116,Ops!$O$2:'Ops'!$P$13,2,FALSE),"000")&amp;IF(E116&lt;&gt;"",IF(LEN(_xlfn.XLOOKUP($E116,$C$5:$C$681,$B$5:$B$681,0))=3,HEX2BIN(LEFT(_xlfn.XLOOKUP($E116,$C$5:$C$681,$B$5:$B$681,0),1),3),IF(OR(Ops!$L$2:'Ops'!$L$11=J116),VLOOKUP(J116,Ops!$L$2:'Ops'!$M$11,2,FALSE),"000")),IF(OR(Ops!$L$2:'Ops'!$L$11=J116),VLOOKUP(J116,Ops!$L$2:'Ops'!$M$11,2,FALSE),"000")),2)</f>
        <v>36</v>
      </c>
      <c r="R116" s="27"/>
      <c r="Z116" s="74" t="str">
        <f t="shared" ref="Z116:Z130" si="30">IF(O116="", "};", "0x"&amp;O116&amp;",")</f>
        <v>0x02,</v>
      </c>
      <c r="AA116" s="75" t="str">
        <f t="shared" ref="AA116:AA130" si="31">"0x"&amp;P116&amp;","</f>
        <v>0x00,</v>
      </c>
      <c r="AB116" s="75" t="str">
        <f t="shared" ref="AB116:AB130" si="32">"0x"&amp;Q116&amp;","</f>
        <v>0x36,</v>
      </c>
      <c r="AC116" s="76"/>
    </row>
    <row r="117" spans="1:29" x14ac:dyDescent="0.3">
      <c r="A117" s="79">
        <f t="shared" si="13"/>
        <v>357</v>
      </c>
      <c r="B117" s="80" t="str">
        <f t="shared" si="29"/>
        <v>165</v>
      </c>
      <c r="D117" s="29" t="s">
        <v>433</v>
      </c>
      <c r="E117" s="4" t="s">
        <v>1</v>
      </c>
      <c r="F117" s="29"/>
      <c r="G117" s="24"/>
      <c r="H117" s="29"/>
      <c r="M117" s="14"/>
      <c r="O117" s="25" t="str" cm="1">
        <f t="array" ref="O117">BIN2HEX(IF(I117&lt;&gt;"",VLOOKUP(I117,Ops!$I$2:'Ops'!$J$15,2,FALSE),IF(ISNUMBER(SEARCH("BR",D117)),"001","000"))&amp;IF(D117&lt;&gt;"",VLOOKUP(D117,Ops!$B$2:'Ops'!$C$23,2,FALSE),"0")&amp;_xlfn.IFS(ISNUMBER(SEARCH("BR",D117)),VLOOKUP(D117,Ops!$B$3:'Ops'!$D$22,3,FALSE),F117&lt;&gt;"",VLOOKUP(F117,Ops!$R$2:'Ops'!$S$11,2),L117&lt;&gt;"",VLOOKUP(L117,Ops!$R$2:'Ops'!$S$25,2,FALSE),TRUE,"0000"),2)</f>
        <v>35</v>
      </c>
      <c r="P117" s="26" t="str">
        <f>RIGHT(IF($E117&lt;&gt;"",_xlfn.XLOOKUP($E117,$C$4:$C$681,$B$4:$B$681,"NO LABEL"),BIN2HEX(IF(N117="CarryEn","1","0")&amp;IF(M117="SubXY","1","0")&amp;IF(H117&lt;&gt;"",VLOOKUP(H117,Ops!$F$2:'Ops'!$G$20,2,FALSE),"000000"),2)),2)</f>
        <v>60</v>
      </c>
      <c r="Q117" s="26" t="str" cm="1">
        <f t="array" ref="Q117">BIN2HEX(_xlfn.IFS(D117="HWINTEN","10",G117="KeyAck","01",G117="InitLp8","01",TRUE,"00")&amp;IF(OR(Ops!$O$2:'Ops'!$O$13=K117),VLOOKUP(K117,Ops!$O$2:'Ops'!$P$13,2,FALSE),"000")&amp;IF(E117&lt;&gt;"",IF(LEN(_xlfn.XLOOKUP($E117,$C$5:$C$681,$B$5:$B$681,0))=3,HEX2BIN(LEFT(_xlfn.XLOOKUP($E117,$C$5:$C$681,$B$5:$B$681,0),1),3),IF(OR(Ops!$L$2:'Ops'!$L$11=J117),VLOOKUP(J117,Ops!$L$2:'Ops'!$M$11,2,FALSE),"000")),IF(OR(Ops!$L$2:'Ops'!$L$11=J117),VLOOKUP(J117,Ops!$L$2:'Ops'!$M$11,2,FALSE),"000")),2)</f>
        <v>00</v>
      </c>
      <c r="R117" s="27"/>
      <c r="S117" s="4" t="s">
        <v>397</v>
      </c>
      <c r="Z117" s="74" t="str">
        <f t="shared" si="30"/>
        <v>0x35,</v>
      </c>
      <c r="AA117" s="75" t="str">
        <f t="shared" si="31"/>
        <v>0x60,</v>
      </c>
      <c r="AB117" s="75" t="str">
        <f t="shared" si="32"/>
        <v>0x00,</v>
      </c>
      <c r="AC117" s="76"/>
    </row>
    <row r="118" spans="1:29" x14ac:dyDescent="0.3">
      <c r="A118" s="79">
        <f t="shared" si="13"/>
        <v>360</v>
      </c>
      <c r="B118" s="80" t="str">
        <f t="shared" si="29"/>
        <v>168</v>
      </c>
      <c r="D118" s="29"/>
      <c r="F118" s="29"/>
      <c r="G118" s="24"/>
      <c r="H118" s="29"/>
      <c r="J118" s="4" t="s">
        <v>314</v>
      </c>
      <c r="L118" s="4" t="s">
        <v>311</v>
      </c>
      <c r="M118" s="14"/>
      <c r="O118" s="25" t="str" cm="1">
        <f t="array" ref="O118">BIN2HEX(IF(I118&lt;&gt;"",VLOOKUP(I118,Ops!$I$2:'Ops'!$J$15,2,FALSE),IF(ISNUMBER(SEARCH("BR",D118)),"001","000"))&amp;IF(D118&lt;&gt;"",VLOOKUP(D118,Ops!$B$2:'Ops'!$C$23,2,FALSE),"0")&amp;_xlfn.IFS(ISNUMBER(SEARCH("BR",D118)),VLOOKUP(D118,Ops!$B$3:'Ops'!$D$22,3,FALSE),F118&lt;&gt;"",VLOOKUP(F118,Ops!$R$2:'Ops'!$S$11,2),L118&lt;&gt;"",VLOOKUP(L118,Ops!$R$2:'Ops'!$S$25,2,FALSE),TRUE,"0000"),2)</f>
        <v>04</v>
      </c>
      <c r="P118" s="26" t="str">
        <f>RIGHT(IF($E118&lt;&gt;"",_xlfn.XLOOKUP($E118,$C$4:$C$681,$B$4:$B$681,"NO LABEL"),BIN2HEX(IF(N118="CarryEn","1","0")&amp;IF(M118="SubXY","1","0")&amp;IF(H118&lt;&gt;"",VLOOKUP(H118,Ops!$F$2:'Ops'!$G$20,2,FALSE),"000000"),2)),2)</f>
        <v>00</v>
      </c>
      <c r="Q118" s="26" t="str" cm="1">
        <f t="array" ref="Q118">BIN2HEX(_xlfn.IFS(D118="HWINTEN","10",G118="KeyAck","01",G118="InitLp8","01",TRUE,"00")&amp;IF(OR(Ops!$O$2:'Ops'!$O$13=K118),VLOOKUP(K118,Ops!$O$2:'Ops'!$P$13,2,FALSE),"000")&amp;IF(E118&lt;&gt;"",IF(LEN(_xlfn.XLOOKUP($E118,$C$5:$C$681,$B$5:$B$681,0))=3,HEX2BIN(LEFT(_xlfn.XLOOKUP($E118,$C$5:$C$681,$B$5:$B$681,0),1),3),IF(OR(Ops!$L$2:'Ops'!$L$11=J118),VLOOKUP(J118,Ops!$L$2:'Ops'!$M$11,2,FALSE),"000")),IF(OR(Ops!$L$2:'Ops'!$L$11=J118),VLOOKUP(J118,Ops!$L$2:'Ops'!$M$11,2,FALSE),"000")),2)</f>
        <v>06</v>
      </c>
      <c r="R118" s="27"/>
      <c r="S118" s="4" t="s">
        <v>398</v>
      </c>
      <c r="Z118" s="74" t="str">
        <f t="shared" si="30"/>
        <v>0x04,</v>
      </c>
      <c r="AA118" s="75" t="str">
        <f t="shared" si="31"/>
        <v>0x00,</v>
      </c>
      <c r="AB118" s="75" t="str">
        <f t="shared" si="32"/>
        <v>0x06,</v>
      </c>
      <c r="AC118" s="76"/>
    </row>
    <row r="119" spans="1:29" x14ac:dyDescent="0.3">
      <c r="A119" s="79">
        <f t="shared" si="13"/>
        <v>363</v>
      </c>
      <c r="B119" s="80" t="str">
        <f t="shared" si="29"/>
        <v>16B</v>
      </c>
      <c r="D119" s="29" t="s">
        <v>221</v>
      </c>
      <c r="E119" s="4" t="s">
        <v>391</v>
      </c>
      <c r="F119" s="29"/>
      <c r="G119" s="24"/>
      <c r="H119" s="29"/>
      <c r="M119" s="14"/>
      <c r="O119" s="25" t="str" cm="1">
        <f t="array" ref="O119">BIN2HEX(IF(I119&lt;&gt;"",VLOOKUP(I119,Ops!$I$2:'Ops'!$J$15,2,FALSE),IF(ISNUMBER(SEARCH("BR",D119)),"001","000"))&amp;IF(D119&lt;&gt;"",VLOOKUP(D119,Ops!$B$2:'Ops'!$C$23,2,FALSE),"0")&amp;_xlfn.IFS(ISNUMBER(SEARCH("BR",D119)),VLOOKUP(D119,Ops!$B$3:'Ops'!$D$22,3,FALSE),F119&lt;&gt;"",VLOOKUP(F119,Ops!$R$2:'Ops'!$S$11,2),L119&lt;&gt;"",VLOOKUP(L119,Ops!$R$2:'Ops'!$S$25,2,FALSE),TRUE,"0000"),2)</f>
        <v>36</v>
      </c>
      <c r="P119" s="26" t="str">
        <f>RIGHT(IF($E119&lt;&gt;"",_xlfn.XLOOKUP($E119,$C$4:$C$681,$B$4:$B$681,"NO LABEL"),BIN2HEX(IF(N119="CarryEn","1","0")&amp;IF(M119="SubXY","1","0")&amp;IF(H119&lt;&gt;"",VLOOKUP(H119,Ops!$F$2:'Ops'!$G$20,2,FALSE),"000000"),2)),2)</f>
        <v>74</v>
      </c>
      <c r="Q119" s="26" t="str" cm="1">
        <f t="array" ref="Q119">BIN2HEX(_xlfn.IFS(D119="HWINTEN","10",G119="KeyAck","01",G119="InitLp8","01",TRUE,"00")&amp;IF(OR(Ops!$O$2:'Ops'!$O$13=K119),VLOOKUP(K119,Ops!$O$2:'Ops'!$P$13,2,FALSE),"000")&amp;IF(E119&lt;&gt;"",IF(LEN(_xlfn.XLOOKUP($E119,$C$5:$C$681,$B$5:$B$681,0))=3,HEX2BIN(LEFT(_xlfn.XLOOKUP($E119,$C$5:$C$681,$B$5:$B$681,0),1),3),IF(OR(Ops!$L$2:'Ops'!$L$11=J119),VLOOKUP(J119,Ops!$L$2:'Ops'!$M$11,2,FALSE),"000")),IF(OR(Ops!$L$2:'Ops'!$L$11=J119),VLOOKUP(J119,Ops!$L$2:'Ops'!$M$11,2,FALSE),"000")),2)</f>
        <v>01</v>
      </c>
      <c r="R119" s="27"/>
      <c r="Z119" s="74" t="str">
        <f t="shared" si="30"/>
        <v>0x36,</v>
      </c>
      <c r="AA119" s="75" t="str">
        <f t="shared" si="31"/>
        <v>0x74,</v>
      </c>
      <c r="AB119" s="75" t="str">
        <f t="shared" si="32"/>
        <v>0x01,</v>
      </c>
      <c r="AC119" s="76"/>
    </row>
    <row r="120" spans="1:29" x14ac:dyDescent="0.3">
      <c r="A120" s="79">
        <f t="shared" si="13"/>
        <v>366</v>
      </c>
      <c r="B120" s="80" t="str">
        <f t="shared" si="29"/>
        <v>16E</v>
      </c>
      <c r="D120" s="29"/>
      <c r="F120" s="29"/>
      <c r="G120" s="24"/>
      <c r="H120" s="29"/>
      <c r="J120" s="4" t="s">
        <v>314</v>
      </c>
      <c r="L120" s="4" t="s">
        <v>312</v>
      </c>
      <c r="M120" s="14"/>
      <c r="O120" s="25" t="str" cm="1">
        <f t="array" ref="O120">BIN2HEX(IF(I120&lt;&gt;"",VLOOKUP(I120,Ops!$I$2:'Ops'!$J$15,2,FALSE),IF(ISNUMBER(SEARCH("BR",D120)),"001","000"))&amp;IF(D120&lt;&gt;"",VLOOKUP(D120,Ops!$B$2:'Ops'!$C$23,2,FALSE),"0")&amp;_xlfn.IFS(ISNUMBER(SEARCH("BR",D120)),VLOOKUP(D120,Ops!$B$3:'Ops'!$D$22,3,FALSE),F120&lt;&gt;"",VLOOKUP(F120,Ops!$R$2:'Ops'!$S$11,2),L120&lt;&gt;"",VLOOKUP(L120,Ops!$R$2:'Ops'!$S$25,2,FALSE),TRUE,"0000"),2)</f>
        <v>03</v>
      </c>
      <c r="P120" s="26" t="str">
        <f>RIGHT(IF($E120&lt;&gt;"",_xlfn.XLOOKUP($E120,$C$4:$C$681,$B$4:$B$681,"NO LABEL"),BIN2HEX(IF(N120="CarryEn","1","0")&amp;IF(M120="SubXY","1","0")&amp;IF(H120&lt;&gt;"",VLOOKUP(H120,Ops!$F$2:'Ops'!$G$20,2,FALSE),"000000"),2)),2)</f>
        <v>00</v>
      </c>
      <c r="Q120" s="26" t="str" cm="1">
        <f t="array" ref="Q120">BIN2HEX(_xlfn.IFS(D120="HWINTEN","10",G120="KeyAck","01",G120="InitLp8","01",TRUE,"00")&amp;IF(OR(Ops!$O$2:'Ops'!$O$13=K120),VLOOKUP(K120,Ops!$O$2:'Ops'!$P$13,2,FALSE),"000")&amp;IF(E120&lt;&gt;"",IF(LEN(_xlfn.XLOOKUP($E120,$C$5:$C$681,$B$5:$B$681,0))=3,HEX2BIN(LEFT(_xlfn.XLOOKUP($E120,$C$5:$C$681,$B$5:$B$681,0),1),3),IF(OR(Ops!$L$2:'Ops'!$L$11=J120),VLOOKUP(J120,Ops!$L$2:'Ops'!$M$11,2,FALSE),"000")),IF(OR(Ops!$L$2:'Ops'!$L$11=J120),VLOOKUP(J120,Ops!$L$2:'Ops'!$M$11,2,FALSE),"000")),2)</f>
        <v>06</v>
      </c>
      <c r="R120" s="27"/>
      <c r="S120" s="4" t="s">
        <v>399</v>
      </c>
      <c r="Z120" s="74" t="str">
        <f t="shared" si="30"/>
        <v>0x03,</v>
      </c>
      <c r="AA120" s="75" t="str">
        <f t="shared" si="31"/>
        <v>0x00,</v>
      </c>
      <c r="AB120" s="75" t="str">
        <f t="shared" si="32"/>
        <v>0x06,</v>
      </c>
      <c r="AC120" s="76"/>
    </row>
    <row r="121" spans="1:29" x14ac:dyDescent="0.3">
      <c r="A121" s="79">
        <f t="shared" si="13"/>
        <v>369</v>
      </c>
      <c r="B121" s="80" t="str">
        <f t="shared" si="29"/>
        <v>171</v>
      </c>
      <c r="D121" s="29" t="s">
        <v>0</v>
      </c>
      <c r="E121" s="4" t="s">
        <v>1</v>
      </c>
      <c r="F121" s="29"/>
      <c r="G121" s="24"/>
      <c r="H121" s="29"/>
      <c r="M121" s="14"/>
      <c r="O121" s="25" t="str" cm="1">
        <f t="array" ref="O121">BIN2HEX(IF(I121&lt;&gt;"",VLOOKUP(I121,Ops!$I$2:'Ops'!$J$15,2,FALSE),IF(ISNUMBER(SEARCH("BR",D121)),"001","000"))&amp;IF(D121&lt;&gt;"",VLOOKUP(D121,Ops!$B$2:'Ops'!$C$23,2,FALSE),"0")&amp;_xlfn.IFS(ISNUMBER(SEARCH("BR",D121)),VLOOKUP(D121,Ops!$B$3:'Ops'!$D$22,3,FALSE),F121&lt;&gt;"",VLOOKUP(F121,Ops!$R$2:'Ops'!$S$11,2),L121&lt;&gt;"",VLOOKUP(L121,Ops!$R$2:'Ops'!$S$25,2,FALSE),TRUE,"0000"),2)</f>
        <v>10</v>
      </c>
      <c r="P121" s="26" t="str">
        <f>RIGHT(IF($E121&lt;&gt;"",_xlfn.XLOOKUP($E121,$C$4:$C$681,$B$4:$B$681,"NO LABEL"),BIN2HEX(IF(N121="CarryEn","1","0")&amp;IF(M121="SubXY","1","0")&amp;IF(H121&lt;&gt;"",VLOOKUP(H121,Ops!$F$2:'Ops'!$G$20,2,FALSE),"000000"),2)),2)</f>
        <v>60</v>
      </c>
      <c r="Q121" s="26" t="str" cm="1">
        <f t="array" ref="Q121">BIN2HEX(_xlfn.IFS(D121="HWINTEN","10",G121="KeyAck","01",G121="InitLp8","01",TRUE,"00")&amp;IF(OR(Ops!$O$2:'Ops'!$O$13=K121),VLOOKUP(K121,Ops!$O$2:'Ops'!$P$13,2,FALSE),"000")&amp;IF(E121&lt;&gt;"",IF(LEN(_xlfn.XLOOKUP($E121,$C$5:$C$681,$B$5:$B$681,0))=3,HEX2BIN(LEFT(_xlfn.XLOOKUP($E121,$C$5:$C$681,$B$5:$B$681,0),1),3),IF(OR(Ops!$L$2:'Ops'!$L$11=J121),VLOOKUP(J121,Ops!$L$2:'Ops'!$M$11,2,FALSE),"000")),IF(OR(Ops!$L$2:'Ops'!$L$11=J121),VLOOKUP(J121,Ops!$L$2:'Ops'!$M$11,2,FALSE),"000")),2)</f>
        <v>00</v>
      </c>
      <c r="R121" s="27"/>
      <c r="Z121" s="74" t="str">
        <f t="shared" si="30"/>
        <v>0x10,</v>
      </c>
      <c r="AA121" s="75" t="str">
        <f t="shared" si="31"/>
        <v>0x60,</v>
      </c>
      <c r="AB121" s="75" t="str">
        <f t="shared" si="32"/>
        <v>0x00,</v>
      </c>
      <c r="AC121" s="76"/>
    </row>
    <row r="122" spans="1:29" x14ac:dyDescent="0.3">
      <c r="A122" s="79">
        <f t="shared" si="13"/>
        <v>372</v>
      </c>
      <c r="B122" s="80" t="str">
        <f t="shared" si="29"/>
        <v>174</v>
      </c>
      <c r="C122" s="4" t="s">
        <v>391</v>
      </c>
      <c r="D122" s="29"/>
      <c r="F122" s="29"/>
      <c r="G122" s="24"/>
      <c r="H122" s="29"/>
      <c r="J122" s="4" t="s">
        <v>314</v>
      </c>
      <c r="K122" s="4" t="s">
        <v>313</v>
      </c>
      <c r="L122" s="4" t="s">
        <v>312</v>
      </c>
      <c r="M122" s="14"/>
      <c r="O122" s="25" t="str" cm="1">
        <f t="array" ref="O122">BIN2HEX(IF(I122&lt;&gt;"",VLOOKUP(I122,Ops!$I$2:'Ops'!$J$15,2,FALSE),IF(ISNUMBER(SEARCH("BR",D122)),"001","000"))&amp;IF(D122&lt;&gt;"",VLOOKUP(D122,Ops!$B$2:'Ops'!$C$23,2,FALSE),"0")&amp;_xlfn.IFS(ISNUMBER(SEARCH("BR",D122)),VLOOKUP(D122,Ops!$B$3:'Ops'!$D$22,3,FALSE),F122&lt;&gt;"",VLOOKUP(F122,Ops!$R$2:'Ops'!$S$11,2),L122&lt;&gt;"",VLOOKUP(L122,Ops!$R$2:'Ops'!$S$25,2,FALSE),TRUE,"0000"),2)</f>
        <v>03</v>
      </c>
      <c r="P122" s="26" t="str">
        <f>RIGHT(IF($E122&lt;&gt;"",_xlfn.XLOOKUP($E122,$C$4:$C$681,$B$4:$B$681,"NO LABEL"),BIN2HEX(IF(N122="CarryEn","1","0")&amp;IF(M122="SubXY","1","0")&amp;IF(H122&lt;&gt;"",VLOOKUP(H122,Ops!$F$2:'Ops'!$G$20,2,FALSE),"000000"),2)),2)</f>
        <v>00</v>
      </c>
      <c r="Q122" s="26" t="str" cm="1">
        <f t="array" ref="Q122">BIN2HEX(_xlfn.IFS(D122="HWINTEN","10",G122="KeyAck","01",G122="InitLp8","01",TRUE,"00")&amp;IF(OR(Ops!$O$2:'Ops'!$O$13=K122),VLOOKUP(K122,Ops!$O$2:'Ops'!$P$13,2,FALSE),"000")&amp;IF(E122&lt;&gt;"",IF(LEN(_xlfn.XLOOKUP($E122,$C$5:$C$681,$B$5:$B$681,0))=3,HEX2BIN(LEFT(_xlfn.XLOOKUP($E122,$C$5:$C$681,$B$5:$B$681,0),1),3),IF(OR(Ops!$L$2:'Ops'!$L$11=J122),VLOOKUP(J122,Ops!$L$2:'Ops'!$M$11,2,FALSE),"000")),IF(OR(Ops!$L$2:'Ops'!$L$11=J122),VLOOKUP(J122,Ops!$L$2:'Ops'!$M$11,2,FALSE),"000")),2)</f>
        <v>36</v>
      </c>
      <c r="R122" s="27"/>
      <c r="S122" s="4" t="s">
        <v>400</v>
      </c>
      <c r="Z122" s="74" t="str">
        <f t="shared" si="30"/>
        <v>0x03,</v>
      </c>
      <c r="AA122" s="75" t="str">
        <f t="shared" si="31"/>
        <v>0x00,</v>
      </c>
      <c r="AB122" s="75" t="str">
        <f t="shared" si="32"/>
        <v>0x36,</v>
      </c>
      <c r="AC122" s="76"/>
    </row>
    <row r="123" spans="1:29" x14ac:dyDescent="0.3">
      <c r="A123" s="79">
        <f t="shared" si="13"/>
        <v>375</v>
      </c>
      <c r="B123" s="80" t="str">
        <f t="shared" si="29"/>
        <v>177</v>
      </c>
      <c r="D123" s="29"/>
      <c r="F123" s="29"/>
      <c r="G123" s="24"/>
      <c r="H123" s="29"/>
      <c r="J123" s="4" t="s">
        <v>314</v>
      </c>
      <c r="K123" s="4" t="s">
        <v>313</v>
      </c>
      <c r="L123" s="4" t="s">
        <v>293</v>
      </c>
      <c r="M123" s="14"/>
      <c r="O123" s="25" t="str" cm="1">
        <f t="array" ref="O123">BIN2HEX(IF(I123&lt;&gt;"",VLOOKUP(I123,Ops!$I$2:'Ops'!$J$15,2,FALSE),IF(ISNUMBER(SEARCH("BR",D123)),"001","000"))&amp;IF(D123&lt;&gt;"",VLOOKUP(D123,Ops!$B$2:'Ops'!$C$23,2,FALSE),"0")&amp;_xlfn.IFS(ISNUMBER(SEARCH("BR",D123)),VLOOKUP(D123,Ops!$B$3:'Ops'!$D$22,3,FALSE),F123&lt;&gt;"",VLOOKUP(F123,Ops!$R$2:'Ops'!$S$11,2),L123&lt;&gt;"",VLOOKUP(L123,Ops!$R$2:'Ops'!$S$25,2,FALSE),TRUE,"0000"),2)</f>
        <v>06</v>
      </c>
      <c r="P123" s="26" t="str">
        <f>RIGHT(IF($E123&lt;&gt;"",_xlfn.XLOOKUP($E123,$C$4:$C$681,$B$4:$B$681,"NO LABEL"),BIN2HEX(IF(N123="CarryEn","1","0")&amp;IF(M123="SubXY","1","0")&amp;IF(H123&lt;&gt;"",VLOOKUP(H123,Ops!$F$2:'Ops'!$G$20,2,FALSE),"000000"),2)),2)</f>
        <v>00</v>
      </c>
      <c r="Q123" s="26" t="str" cm="1">
        <f t="array" ref="Q123">BIN2HEX(_xlfn.IFS(D123="HWINTEN","10",G123="KeyAck","01",G123="InitLp8","01",TRUE,"00")&amp;IF(OR(Ops!$O$2:'Ops'!$O$13=K123),VLOOKUP(K123,Ops!$O$2:'Ops'!$P$13,2,FALSE),"000")&amp;IF(E123&lt;&gt;"",IF(LEN(_xlfn.XLOOKUP($E123,$C$5:$C$681,$B$5:$B$681,0))=3,HEX2BIN(LEFT(_xlfn.XLOOKUP($E123,$C$5:$C$681,$B$5:$B$681,0),1),3),IF(OR(Ops!$L$2:'Ops'!$L$11=J123),VLOOKUP(J123,Ops!$L$2:'Ops'!$M$11,2,FALSE),"000")),IF(OR(Ops!$L$2:'Ops'!$L$11=J123),VLOOKUP(J123,Ops!$L$2:'Ops'!$M$11,2,FALSE),"000")),2)</f>
        <v>36</v>
      </c>
      <c r="R123" s="27"/>
      <c r="S123" s="4" t="s">
        <v>401</v>
      </c>
      <c r="Z123" s="74" t="str">
        <f t="shared" si="30"/>
        <v>0x06,</v>
      </c>
      <c r="AA123" s="75" t="str">
        <f t="shared" si="31"/>
        <v>0x00,</v>
      </c>
      <c r="AB123" s="75" t="str">
        <f t="shared" si="32"/>
        <v>0x36,</v>
      </c>
      <c r="AC123" s="76"/>
    </row>
    <row r="124" spans="1:29" x14ac:dyDescent="0.3">
      <c r="A124" s="79">
        <f t="shared" si="13"/>
        <v>378</v>
      </c>
      <c r="B124" s="80" t="str">
        <f t="shared" si="29"/>
        <v>17A</v>
      </c>
      <c r="D124" s="29" t="s">
        <v>0</v>
      </c>
      <c r="E124" s="4" t="s">
        <v>1</v>
      </c>
      <c r="F124" s="29"/>
      <c r="G124" s="24"/>
      <c r="H124" s="29"/>
      <c r="M124" s="14"/>
      <c r="O124" s="25" t="str" cm="1">
        <f t="array" ref="O124">BIN2HEX(IF(I124&lt;&gt;"",VLOOKUP(I124,Ops!$I$2:'Ops'!$J$15,2,FALSE),IF(ISNUMBER(SEARCH("BR",D124)),"001","000"))&amp;IF(D124&lt;&gt;"",VLOOKUP(D124,Ops!$B$2:'Ops'!$C$23,2,FALSE),"0")&amp;_xlfn.IFS(ISNUMBER(SEARCH("BR",D124)),VLOOKUP(D124,Ops!$B$3:'Ops'!$D$22,3,FALSE),F124&lt;&gt;"",VLOOKUP(F124,Ops!$R$2:'Ops'!$S$11,2),L124&lt;&gt;"",VLOOKUP(L124,Ops!$R$2:'Ops'!$S$25,2,FALSE),TRUE,"0000"),2)</f>
        <v>10</v>
      </c>
      <c r="P124" s="26" t="str">
        <f>RIGHT(IF($E124&lt;&gt;"",_xlfn.XLOOKUP($E124,$C$4:$C$681,$B$4:$B$681,"NO LABEL"),BIN2HEX(IF(N124="CarryEn","1","0")&amp;IF(M124="SubXY","1","0")&amp;IF(H124&lt;&gt;"",VLOOKUP(H124,Ops!$F$2:'Ops'!$G$20,2,FALSE),"000000"),2)),2)</f>
        <v>60</v>
      </c>
      <c r="Q124" s="26" t="str" cm="1">
        <f t="array" ref="Q124">BIN2HEX(_xlfn.IFS(D124="HWINTEN","10",G124="KeyAck","01",G124="InitLp8","01",TRUE,"00")&amp;IF(OR(Ops!$O$2:'Ops'!$O$13=K124),VLOOKUP(K124,Ops!$O$2:'Ops'!$P$13,2,FALSE),"000")&amp;IF(E124&lt;&gt;"",IF(LEN(_xlfn.XLOOKUP($E124,$C$5:$C$681,$B$5:$B$681,0))=3,HEX2BIN(LEFT(_xlfn.XLOOKUP($E124,$C$5:$C$681,$B$5:$B$681,0),1),3),IF(OR(Ops!$L$2:'Ops'!$L$11=J124),VLOOKUP(J124,Ops!$L$2:'Ops'!$M$11,2,FALSE),"000")),IF(OR(Ops!$L$2:'Ops'!$L$11=J124),VLOOKUP(J124,Ops!$L$2:'Ops'!$M$11,2,FALSE),"000")),2)</f>
        <v>00</v>
      </c>
      <c r="R124" s="27"/>
      <c r="S124" s="4" t="s">
        <v>232</v>
      </c>
      <c r="Z124" s="74" t="str">
        <f t="shared" si="30"/>
        <v>0x10,</v>
      </c>
      <c r="AA124" s="75" t="str">
        <f t="shared" si="31"/>
        <v>0x60,</v>
      </c>
      <c r="AB124" s="75" t="str">
        <f t="shared" si="32"/>
        <v>0x00,</v>
      </c>
      <c r="AC124" s="76"/>
    </row>
    <row r="125" spans="1:29" x14ac:dyDescent="0.3">
      <c r="A125" s="79">
        <f t="shared" si="13"/>
        <v>381</v>
      </c>
      <c r="B125" s="80" t="str">
        <f t="shared" si="29"/>
        <v>17D</v>
      </c>
      <c r="C125" s="12" t="s">
        <v>3</v>
      </c>
      <c r="D125" s="29"/>
      <c r="F125" s="29"/>
      <c r="G125" s="24"/>
      <c r="H125" s="29" t="s">
        <v>54</v>
      </c>
      <c r="I125" t="s">
        <v>481</v>
      </c>
      <c r="L125" s="121">
        <v>1</v>
      </c>
      <c r="M125" s="14"/>
      <c r="O125" s="25" t="str" cm="1">
        <f t="array" ref="O125">BIN2HEX(IF(I125&lt;&gt;"",VLOOKUP(I125,Ops!$I$2:'Ops'!$J$15,2,FALSE),IF(ISNUMBER(SEARCH("BR",D125)),"001","000"))&amp;IF(D125&lt;&gt;"",VLOOKUP(D125,Ops!$B$2:'Ops'!$C$23,2,FALSE),"0")&amp;_xlfn.IFS(ISNUMBER(SEARCH("BR",D125)),VLOOKUP(D125,Ops!$B$3:'Ops'!$D$22,3,FALSE),F125&lt;&gt;"",VLOOKUP(F125,Ops!$R$2:'Ops'!$S$11,2),L125&lt;&gt;"",VLOOKUP(L125,Ops!$R$2:'Ops'!$S$25,2,FALSE),TRUE,"0000"),2)</f>
        <v>01</v>
      </c>
      <c r="P125" s="26" t="str">
        <f>RIGHT(IF($E125&lt;&gt;"",_xlfn.XLOOKUP($E125,$C$4:$C$681,$B$4:$B$681,"NO LABEL"),BIN2HEX(IF(N125="CarryEn","1","0")&amp;IF(M125="SubXY","1","0")&amp;IF(H125&lt;&gt;"",VLOOKUP(H125,Ops!$F$2:'Ops'!$G$20,2,FALSE),"000000"),2)),2)</f>
        <v>02</v>
      </c>
      <c r="Q125" s="26" t="str" cm="1">
        <f t="array" ref="Q125">BIN2HEX(_xlfn.IFS(D125="HWINTEN","10",G125="KeyAck","01",G125="InitLp8","01",TRUE,"00")&amp;IF(OR(Ops!$O$2:'Ops'!$O$13=K125),VLOOKUP(K125,Ops!$O$2:'Ops'!$P$13,2,FALSE),"000")&amp;IF(E125&lt;&gt;"",IF(LEN(_xlfn.XLOOKUP($E125,$C$5:$C$681,$B$5:$B$681,0))=3,HEX2BIN(LEFT(_xlfn.XLOOKUP($E125,$C$5:$C$681,$B$5:$B$681,0),1),3),IF(OR(Ops!$L$2:'Ops'!$L$11=J125),VLOOKUP(J125,Ops!$L$2:'Ops'!$M$11,2,FALSE),"000")),IF(OR(Ops!$L$2:'Ops'!$L$11=J125),VLOOKUP(J125,Ops!$L$2:'Ops'!$M$11,2,FALSE),"000")),2)</f>
        <v>00</v>
      </c>
      <c r="R125" s="27"/>
      <c r="S125" s="39"/>
      <c r="Z125" s="74" t="str">
        <f t="shared" si="30"/>
        <v>0x01,</v>
      </c>
      <c r="AA125" s="75" t="str">
        <f t="shared" si="31"/>
        <v>0x02,</v>
      </c>
      <c r="AB125" s="75" t="str">
        <f t="shared" si="32"/>
        <v>0x00,</v>
      </c>
      <c r="AC125" s="76"/>
    </row>
    <row r="126" spans="1:29" x14ac:dyDescent="0.3">
      <c r="A126" s="79">
        <f t="shared" si="13"/>
        <v>384</v>
      </c>
      <c r="B126" s="80" t="str">
        <f t="shared" si="29"/>
        <v>180</v>
      </c>
      <c r="D126" s="29" t="s">
        <v>0</v>
      </c>
      <c r="E126" s="4" t="s">
        <v>184</v>
      </c>
      <c r="F126" s="29"/>
      <c r="G126" s="24"/>
      <c r="H126" s="29"/>
      <c r="L126" s="121"/>
      <c r="M126" s="14"/>
      <c r="O126" s="25" t="str" cm="1">
        <f t="array" ref="O126">BIN2HEX(IF(I126&lt;&gt;"",VLOOKUP(I126,Ops!$I$2:'Ops'!$J$15,2,FALSE),IF(ISNUMBER(SEARCH("BR",D126)),"001","000"))&amp;IF(D126&lt;&gt;"",VLOOKUP(D126,Ops!$B$2:'Ops'!$C$23,2,FALSE),"0")&amp;_xlfn.IFS(ISNUMBER(SEARCH("BR",D126)),VLOOKUP(D126,Ops!$B$3:'Ops'!$D$22,3,FALSE),F126&lt;&gt;"",VLOOKUP(F126,Ops!$R$2:'Ops'!$S$11,2),L126&lt;&gt;"",VLOOKUP(L126,Ops!$R$2:'Ops'!$S$25,2,FALSE),TRUE,"0000"),2)</f>
        <v>10</v>
      </c>
      <c r="P126" s="26" t="str">
        <f>RIGHT(IF($E126&lt;&gt;"",_xlfn.XLOOKUP($E126,$C$4:$C$681,$B$4:$B$681,"NO LABEL"),BIN2HEX(IF(N126="CarryEn","1","0")&amp;IF(M126="SubXY","1","0")&amp;IF(H126&lt;&gt;"",VLOOKUP(H126,Ops!$F$2:'Ops'!$G$20,2,FALSE),"000000"),2)),2)</f>
        <v>B0</v>
      </c>
      <c r="Q126" s="26" t="str" cm="1">
        <f t="array" ref="Q126">BIN2HEX(_xlfn.IFS(D126="HWINTEN","10",G126="KeyAck","01",G126="InitLp8","01",TRUE,"00")&amp;IF(OR(Ops!$O$2:'Ops'!$O$13=K126),VLOOKUP(K126,Ops!$O$2:'Ops'!$P$13,2,FALSE),"000")&amp;IF(E126&lt;&gt;"",IF(LEN(_xlfn.XLOOKUP($E126,$C$5:$C$681,$B$5:$B$681,0))=3,HEX2BIN(LEFT(_xlfn.XLOOKUP($E126,$C$5:$C$681,$B$5:$B$681,0),1),3),IF(OR(Ops!$L$2:'Ops'!$L$11=J126),VLOOKUP(J126,Ops!$L$2:'Ops'!$M$11,2,FALSE),"000")),IF(OR(Ops!$L$2:'Ops'!$L$11=J126),VLOOKUP(J126,Ops!$L$2:'Ops'!$M$11,2,FALSE),"000")),2)</f>
        <v>01</v>
      </c>
      <c r="R126" s="27"/>
      <c r="Z126" s="74" t="str">
        <f t="shared" si="30"/>
        <v>0x10,</v>
      </c>
      <c r="AA126" s="75" t="str">
        <f t="shared" si="31"/>
        <v>0xB0,</v>
      </c>
      <c r="AB126" s="75" t="str">
        <f t="shared" si="32"/>
        <v>0x01,</v>
      </c>
      <c r="AC126" s="76"/>
    </row>
    <row r="127" spans="1:29" x14ac:dyDescent="0.3">
      <c r="A127" s="79">
        <f t="shared" si="13"/>
        <v>387</v>
      </c>
      <c r="B127" s="80" t="str">
        <f t="shared" si="29"/>
        <v>183</v>
      </c>
      <c r="C127" s="12" t="s">
        <v>4</v>
      </c>
      <c r="D127" s="29"/>
      <c r="F127" s="29"/>
      <c r="G127" s="24"/>
      <c r="H127" s="29" t="s">
        <v>54</v>
      </c>
      <c r="I127" t="s">
        <v>481</v>
      </c>
      <c r="L127" s="121">
        <v>2</v>
      </c>
      <c r="M127" s="14"/>
      <c r="O127" s="25" t="str" cm="1">
        <f t="array" ref="O127">BIN2HEX(IF(I127&lt;&gt;"",VLOOKUP(I127,Ops!$I$2:'Ops'!$J$15,2,FALSE),IF(ISNUMBER(SEARCH("BR",D127)),"001","000"))&amp;IF(D127&lt;&gt;"",VLOOKUP(D127,Ops!$B$2:'Ops'!$C$23,2,FALSE),"0")&amp;_xlfn.IFS(ISNUMBER(SEARCH("BR",D127)),VLOOKUP(D127,Ops!$B$3:'Ops'!$D$22,3,FALSE),F127&lt;&gt;"",VLOOKUP(F127,Ops!$R$2:'Ops'!$S$11,2),L127&lt;&gt;"",VLOOKUP(L127,Ops!$R$2:'Ops'!$S$25,2,FALSE),TRUE,"0000"),2)</f>
        <v>02</v>
      </c>
      <c r="P127" s="26" t="str">
        <f>RIGHT(IF($E127&lt;&gt;"",_xlfn.XLOOKUP($E127,$C$4:$C$681,$B$4:$B$681,"NO LABEL"),BIN2HEX(IF(N127="CarryEn","1","0")&amp;IF(M127="SubXY","1","0")&amp;IF(H127&lt;&gt;"",VLOOKUP(H127,Ops!$F$2:'Ops'!$G$20,2,FALSE),"000000"),2)),2)</f>
        <v>02</v>
      </c>
      <c r="Q127" s="26" t="str" cm="1">
        <f t="array" ref="Q127">BIN2HEX(_xlfn.IFS(D127="HWINTEN","10",G127="KeyAck","01",G127="InitLp8","01",TRUE,"00")&amp;IF(OR(Ops!$O$2:'Ops'!$O$13=K127),VLOOKUP(K127,Ops!$O$2:'Ops'!$P$13,2,FALSE),"000")&amp;IF(E127&lt;&gt;"",IF(LEN(_xlfn.XLOOKUP($E127,$C$5:$C$681,$B$5:$B$681,0))=3,HEX2BIN(LEFT(_xlfn.XLOOKUP($E127,$C$5:$C$681,$B$5:$B$681,0),1),3),IF(OR(Ops!$L$2:'Ops'!$L$11=J127),VLOOKUP(J127,Ops!$L$2:'Ops'!$M$11,2,FALSE),"000")),IF(OR(Ops!$L$2:'Ops'!$L$11=J127),VLOOKUP(J127,Ops!$L$2:'Ops'!$M$11,2,FALSE),"000")),2)</f>
        <v>00</v>
      </c>
      <c r="R127" s="27"/>
      <c r="Z127" s="74" t="str">
        <f t="shared" si="30"/>
        <v>0x02,</v>
      </c>
      <c r="AA127" s="75" t="str">
        <f t="shared" si="31"/>
        <v>0x02,</v>
      </c>
      <c r="AB127" s="75" t="str">
        <f t="shared" si="32"/>
        <v>0x00,</v>
      </c>
      <c r="AC127" s="76"/>
    </row>
    <row r="128" spans="1:29" x14ac:dyDescent="0.3">
      <c r="A128" s="79">
        <f t="shared" si="13"/>
        <v>390</v>
      </c>
      <c r="B128" s="80" t="str">
        <f t="shared" si="29"/>
        <v>186</v>
      </c>
      <c r="D128" s="29" t="s">
        <v>0</v>
      </c>
      <c r="E128" s="4" t="s">
        <v>184</v>
      </c>
      <c r="F128" s="29"/>
      <c r="G128" s="24"/>
      <c r="H128" s="29"/>
      <c r="L128" s="121"/>
      <c r="M128" s="14"/>
      <c r="O128" s="25" t="str" cm="1">
        <f t="array" ref="O128">BIN2HEX(IF(I128&lt;&gt;"",VLOOKUP(I128,Ops!$I$2:'Ops'!$J$15,2,FALSE),IF(ISNUMBER(SEARCH("BR",D128)),"001","000"))&amp;IF(D128&lt;&gt;"",VLOOKUP(D128,Ops!$B$2:'Ops'!$C$23,2,FALSE),"0")&amp;_xlfn.IFS(ISNUMBER(SEARCH("BR",D128)),VLOOKUP(D128,Ops!$B$3:'Ops'!$D$22,3,FALSE),F128&lt;&gt;"",VLOOKUP(F128,Ops!$R$2:'Ops'!$S$11,2),L128&lt;&gt;"",VLOOKUP(L128,Ops!$R$2:'Ops'!$S$25,2,FALSE),TRUE,"0000"),2)</f>
        <v>10</v>
      </c>
      <c r="P128" s="26" t="str">
        <f>RIGHT(IF($E128&lt;&gt;"",_xlfn.XLOOKUP($E128,$C$4:$C$681,$B$4:$B$681,"NO LABEL"),BIN2HEX(IF(N128="CarryEn","1","0")&amp;IF(M128="SubXY","1","0")&amp;IF(H128&lt;&gt;"",VLOOKUP(H128,Ops!$F$2:'Ops'!$G$20,2,FALSE),"000000"),2)),2)</f>
        <v>B0</v>
      </c>
      <c r="Q128" s="26" t="str" cm="1">
        <f t="array" ref="Q128">BIN2HEX(_xlfn.IFS(D128="HWINTEN","10",G128="KeyAck","01",G128="InitLp8","01",TRUE,"00")&amp;IF(OR(Ops!$O$2:'Ops'!$O$13=K128),VLOOKUP(K128,Ops!$O$2:'Ops'!$P$13,2,FALSE),"000")&amp;IF(E128&lt;&gt;"",IF(LEN(_xlfn.XLOOKUP($E128,$C$5:$C$681,$B$5:$B$681,0))=3,HEX2BIN(LEFT(_xlfn.XLOOKUP($E128,$C$5:$C$681,$B$5:$B$681,0),1),3),IF(OR(Ops!$L$2:'Ops'!$L$11=J128),VLOOKUP(J128,Ops!$L$2:'Ops'!$M$11,2,FALSE),"000")),IF(OR(Ops!$L$2:'Ops'!$L$11=J128),VLOOKUP(J128,Ops!$L$2:'Ops'!$M$11,2,FALSE),"000")),2)</f>
        <v>01</v>
      </c>
      <c r="R128" s="27"/>
      <c r="Z128" s="74" t="str">
        <f t="shared" si="30"/>
        <v>0x10,</v>
      </c>
      <c r="AA128" s="75" t="str">
        <f t="shared" si="31"/>
        <v>0xB0,</v>
      </c>
      <c r="AB128" s="75" t="str">
        <f t="shared" si="32"/>
        <v>0x01,</v>
      </c>
      <c r="AC128" s="76"/>
    </row>
    <row r="129" spans="1:29" x14ac:dyDescent="0.3">
      <c r="A129" s="79">
        <f t="shared" si="13"/>
        <v>393</v>
      </c>
      <c r="B129" s="80" t="str">
        <f t="shared" si="29"/>
        <v>189</v>
      </c>
      <c r="C129" s="12" t="s">
        <v>5</v>
      </c>
      <c r="D129" s="29"/>
      <c r="F129" s="29"/>
      <c r="G129" s="24"/>
      <c r="H129" s="29" t="s">
        <v>54</v>
      </c>
      <c r="I129" t="s">
        <v>481</v>
      </c>
      <c r="L129" s="121">
        <v>3</v>
      </c>
      <c r="M129" s="14"/>
      <c r="O129" s="25" t="str" cm="1">
        <f t="array" ref="O129">BIN2HEX(IF(I129&lt;&gt;"",VLOOKUP(I129,Ops!$I$2:'Ops'!$J$15,2,FALSE),IF(ISNUMBER(SEARCH("BR",D129)),"001","000"))&amp;IF(D129&lt;&gt;"",VLOOKUP(D129,Ops!$B$2:'Ops'!$C$23,2,FALSE),"0")&amp;_xlfn.IFS(ISNUMBER(SEARCH("BR",D129)),VLOOKUP(D129,Ops!$B$3:'Ops'!$D$22,3,FALSE),F129&lt;&gt;"",VLOOKUP(F129,Ops!$R$2:'Ops'!$S$11,2),L129&lt;&gt;"",VLOOKUP(L129,Ops!$R$2:'Ops'!$S$25,2,FALSE),TRUE,"0000"),2)</f>
        <v>03</v>
      </c>
      <c r="P129" s="26" t="str">
        <f>RIGHT(IF($E129&lt;&gt;"",_xlfn.XLOOKUP($E129,$C$4:$C$681,$B$4:$B$681,"NO LABEL"),BIN2HEX(IF(N129="CarryEn","1","0")&amp;IF(M129="SubXY","1","0")&amp;IF(H129&lt;&gt;"",VLOOKUP(H129,Ops!$F$2:'Ops'!$G$20,2,FALSE),"000000"),2)),2)</f>
        <v>02</v>
      </c>
      <c r="Q129" s="26" t="str" cm="1">
        <f t="array" ref="Q129">BIN2HEX(_xlfn.IFS(D129="HWINTEN","10",G129="KeyAck","01",G129="InitLp8","01",TRUE,"00")&amp;IF(OR(Ops!$O$2:'Ops'!$O$13=K129),VLOOKUP(K129,Ops!$O$2:'Ops'!$P$13,2,FALSE),"000")&amp;IF(E129&lt;&gt;"",IF(LEN(_xlfn.XLOOKUP($E129,$C$5:$C$681,$B$5:$B$681,0))=3,HEX2BIN(LEFT(_xlfn.XLOOKUP($E129,$C$5:$C$681,$B$5:$B$681,0),1),3),IF(OR(Ops!$L$2:'Ops'!$L$11=J129),VLOOKUP(J129,Ops!$L$2:'Ops'!$M$11,2,FALSE),"000")),IF(OR(Ops!$L$2:'Ops'!$L$11=J129),VLOOKUP(J129,Ops!$L$2:'Ops'!$M$11,2,FALSE),"000")),2)</f>
        <v>00</v>
      </c>
      <c r="R129" s="27"/>
      <c r="Z129" s="74" t="str">
        <f t="shared" si="30"/>
        <v>0x03,</v>
      </c>
      <c r="AA129" s="75" t="str">
        <f t="shared" si="31"/>
        <v>0x02,</v>
      </c>
      <c r="AB129" s="75" t="str">
        <f t="shared" si="32"/>
        <v>0x00,</v>
      </c>
      <c r="AC129" s="76"/>
    </row>
    <row r="130" spans="1:29" x14ac:dyDescent="0.3">
      <c r="A130" s="79">
        <f t="shared" si="13"/>
        <v>396</v>
      </c>
      <c r="B130" s="80" t="str">
        <f t="shared" si="29"/>
        <v>18C</v>
      </c>
      <c r="D130" s="29" t="s">
        <v>0</v>
      </c>
      <c r="E130" s="4" t="s">
        <v>184</v>
      </c>
      <c r="F130" s="29"/>
      <c r="G130" s="24"/>
      <c r="H130" s="29"/>
      <c r="L130" s="121"/>
      <c r="M130" s="14"/>
      <c r="O130" s="25" t="str" cm="1">
        <f t="array" ref="O130">BIN2HEX(IF(I130&lt;&gt;"",VLOOKUP(I130,Ops!$I$2:'Ops'!$J$15,2,FALSE),IF(ISNUMBER(SEARCH("BR",D130)),"001","000"))&amp;IF(D130&lt;&gt;"",VLOOKUP(D130,Ops!$B$2:'Ops'!$C$23,2,FALSE),"0")&amp;_xlfn.IFS(ISNUMBER(SEARCH("BR",D130)),VLOOKUP(D130,Ops!$B$3:'Ops'!$D$22,3,FALSE),F130&lt;&gt;"",VLOOKUP(F130,Ops!$R$2:'Ops'!$S$11,2),L130&lt;&gt;"",VLOOKUP(L130,Ops!$R$2:'Ops'!$S$25,2,FALSE),TRUE,"0000"),2)</f>
        <v>10</v>
      </c>
      <c r="P130" s="26" t="str">
        <f>RIGHT(IF($E130&lt;&gt;"",_xlfn.XLOOKUP($E130,$C$4:$C$681,$B$4:$B$681,"NO LABEL"),BIN2HEX(IF(N130="CarryEn","1","0")&amp;IF(M130="SubXY","1","0")&amp;IF(H130&lt;&gt;"",VLOOKUP(H130,Ops!$F$2:'Ops'!$G$20,2,FALSE),"000000"),2)),2)</f>
        <v>B0</v>
      </c>
      <c r="Q130" s="26" t="str" cm="1">
        <f t="array" ref="Q130">BIN2HEX(_xlfn.IFS(D130="HWINTEN","10",G130="KeyAck","01",G130="InitLp8","01",TRUE,"00")&amp;IF(OR(Ops!$O$2:'Ops'!$O$13=K130),VLOOKUP(K130,Ops!$O$2:'Ops'!$P$13,2,FALSE),"000")&amp;IF(E130&lt;&gt;"",IF(LEN(_xlfn.XLOOKUP($E130,$C$5:$C$681,$B$5:$B$681,0))=3,HEX2BIN(LEFT(_xlfn.XLOOKUP($E130,$C$5:$C$681,$B$5:$B$681,0),1),3),IF(OR(Ops!$L$2:'Ops'!$L$11=J130),VLOOKUP(J130,Ops!$L$2:'Ops'!$M$11,2,FALSE),"000")),IF(OR(Ops!$L$2:'Ops'!$L$11=J130),VLOOKUP(J130,Ops!$L$2:'Ops'!$M$11,2,FALSE),"000")),2)</f>
        <v>01</v>
      </c>
      <c r="R130" s="27"/>
      <c r="Z130" s="74" t="str">
        <f t="shared" si="30"/>
        <v>0x10,</v>
      </c>
      <c r="AA130" s="75" t="str">
        <f t="shared" si="31"/>
        <v>0xB0,</v>
      </c>
      <c r="AB130" s="75" t="str">
        <f t="shared" si="32"/>
        <v>0x01,</v>
      </c>
      <c r="AC130" s="76"/>
    </row>
    <row r="131" spans="1:29" x14ac:dyDescent="0.3">
      <c r="A131" s="79">
        <f t="shared" si="13"/>
        <v>399</v>
      </c>
      <c r="B131" s="80" t="str">
        <f t="shared" ref="B131:B169" si="33">DEC2HEX(A131)</f>
        <v>18F</v>
      </c>
      <c r="C131" s="12" t="s">
        <v>6</v>
      </c>
      <c r="D131" s="29"/>
      <c r="F131" s="29"/>
      <c r="G131" s="24"/>
      <c r="H131" s="29" t="s">
        <v>54</v>
      </c>
      <c r="I131" t="s">
        <v>481</v>
      </c>
      <c r="L131" s="121">
        <v>4</v>
      </c>
      <c r="M131" s="14"/>
      <c r="O131" s="25" t="str" cm="1">
        <f t="array" ref="O131">BIN2HEX(IF(I131&lt;&gt;"",VLOOKUP(I131,Ops!$I$2:'Ops'!$J$15,2,FALSE),IF(ISNUMBER(SEARCH("BR",D131)),"001","000"))&amp;IF(D131&lt;&gt;"",VLOOKUP(D131,Ops!$B$2:'Ops'!$C$23,2,FALSE),"0")&amp;_xlfn.IFS(ISNUMBER(SEARCH("BR",D131)),VLOOKUP(D131,Ops!$B$3:'Ops'!$D$22,3,FALSE),F131&lt;&gt;"",VLOOKUP(F131,Ops!$R$2:'Ops'!$S$11,2),L131&lt;&gt;"",VLOOKUP(L131,Ops!$R$2:'Ops'!$S$25,2,FALSE),TRUE,"0000"),2)</f>
        <v>04</v>
      </c>
      <c r="P131" s="26" t="str">
        <f>RIGHT(IF($E131&lt;&gt;"",_xlfn.XLOOKUP($E131,$C$4:$C$681,$B$4:$B$681,"NO LABEL"),BIN2HEX(IF(N131="CarryEn","1","0")&amp;IF(M131="SubXY","1","0")&amp;IF(H131&lt;&gt;"",VLOOKUP(H131,Ops!$F$2:'Ops'!$G$20,2,FALSE),"000000"),2)),2)</f>
        <v>02</v>
      </c>
      <c r="Q131" s="26" t="str" cm="1">
        <f t="array" ref="Q131">BIN2HEX(_xlfn.IFS(D131="HWINTEN","10",G131="KeyAck","01",G131="InitLp8","01",TRUE,"00")&amp;IF(OR(Ops!$O$2:'Ops'!$O$13=K131),VLOOKUP(K131,Ops!$O$2:'Ops'!$P$13,2,FALSE),"000")&amp;IF(E131&lt;&gt;"",IF(LEN(_xlfn.XLOOKUP($E131,$C$5:$C$681,$B$5:$B$681,0))=3,HEX2BIN(LEFT(_xlfn.XLOOKUP($E131,$C$5:$C$681,$B$5:$B$681,0),1),3),IF(OR(Ops!$L$2:'Ops'!$L$11=J131),VLOOKUP(J131,Ops!$L$2:'Ops'!$M$11,2,FALSE),"000")),IF(OR(Ops!$L$2:'Ops'!$L$11=J131),VLOOKUP(J131,Ops!$L$2:'Ops'!$M$11,2,FALSE),"000")),2)</f>
        <v>00</v>
      </c>
      <c r="R131" s="27"/>
      <c r="Z131" s="74" t="str">
        <f t="shared" ref="Z131:Z145" si="34">IF(O131="", "};", "0x"&amp;O131&amp;",")</f>
        <v>0x04,</v>
      </c>
      <c r="AA131" s="75" t="str">
        <f t="shared" ref="AA131:AA145" si="35">"0x"&amp;P131&amp;","</f>
        <v>0x02,</v>
      </c>
      <c r="AB131" s="75" t="str">
        <f t="shared" ref="AB131:AB145" si="36">"0x"&amp;Q131&amp;","</f>
        <v>0x00,</v>
      </c>
      <c r="AC131" s="76"/>
    </row>
    <row r="132" spans="1:29" x14ac:dyDescent="0.3">
      <c r="A132" s="81">
        <f t="shared" si="13"/>
        <v>402</v>
      </c>
      <c r="B132" s="80" t="str">
        <f t="shared" si="33"/>
        <v>192</v>
      </c>
      <c r="D132" s="29" t="s">
        <v>0</v>
      </c>
      <c r="E132" s="4" t="s">
        <v>184</v>
      </c>
      <c r="F132" s="29"/>
      <c r="G132" s="24"/>
      <c r="H132" s="29"/>
      <c r="L132" s="121"/>
      <c r="M132" s="14"/>
      <c r="O132" s="25" t="str" cm="1">
        <f t="array" ref="O132">BIN2HEX(IF(I132&lt;&gt;"",VLOOKUP(I132,Ops!$I$2:'Ops'!$J$15,2,FALSE),IF(ISNUMBER(SEARCH("BR",D132)),"001","000"))&amp;IF(D132&lt;&gt;"",VLOOKUP(D132,Ops!$B$2:'Ops'!$C$23,2,FALSE),"0")&amp;_xlfn.IFS(ISNUMBER(SEARCH("BR",D132)),VLOOKUP(D132,Ops!$B$3:'Ops'!$D$22,3,FALSE),F132&lt;&gt;"",VLOOKUP(F132,Ops!$R$2:'Ops'!$S$11,2),L132&lt;&gt;"",VLOOKUP(L132,Ops!$R$2:'Ops'!$S$25,2,FALSE),TRUE,"0000"),2)</f>
        <v>10</v>
      </c>
      <c r="P132" s="26" t="str">
        <f>RIGHT(IF($E132&lt;&gt;"",_xlfn.XLOOKUP($E132,$C$4:$C$681,$B$4:$B$681,"NO LABEL"),BIN2HEX(IF(N132="CarryEn","1","0")&amp;IF(M132="SubXY","1","0")&amp;IF(H132&lt;&gt;"",VLOOKUP(H132,Ops!$F$2:'Ops'!$G$20,2,FALSE),"000000"),2)),2)</f>
        <v>B0</v>
      </c>
      <c r="Q132" s="26" t="str" cm="1">
        <f t="array" ref="Q132">BIN2HEX(_xlfn.IFS(D132="HWINTEN","10",G132="KeyAck","01",G132="InitLp8","01",TRUE,"00")&amp;IF(OR(Ops!$O$2:'Ops'!$O$13=K132),VLOOKUP(K132,Ops!$O$2:'Ops'!$P$13,2,FALSE),"000")&amp;IF(E132&lt;&gt;"",IF(LEN(_xlfn.XLOOKUP($E132,$C$5:$C$681,$B$5:$B$681,0))=3,HEX2BIN(LEFT(_xlfn.XLOOKUP($E132,$C$5:$C$681,$B$5:$B$681,0),1),3),IF(OR(Ops!$L$2:'Ops'!$L$11=J132),VLOOKUP(J132,Ops!$L$2:'Ops'!$M$11,2,FALSE),"000")),IF(OR(Ops!$L$2:'Ops'!$L$11=J132),VLOOKUP(J132,Ops!$L$2:'Ops'!$M$11,2,FALSE),"000")),2)</f>
        <v>01</v>
      </c>
      <c r="R132" s="27"/>
      <c r="Z132" s="74" t="str">
        <f t="shared" si="34"/>
        <v>0x10,</v>
      </c>
      <c r="AA132" s="75" t="str">
        <f t="shared" si="35"/>
        <v>0xB0,</v>
      </c>
      <c r="AB132" s="75" t="str">
        <f t="shared" si="36"/>
        <v>0x01,</v>
      </c>
      <c r="AC132" s="76"/>
    </row>
    <row r="133" spans="1:29" x14ac:dyDescent="0.3">
      <c r="A133" s="79">
        <f t="shared" si="13"/>
        <v>405</v>
      </c>
      <c r="B133" s="80" t="str">
        <f t="shared" si="33"/>
        <v>195</v>
      </c>
      <c r="C133" s="12" t="s">
        <v>8</v>
      </c>
      <c r="D133" s="29"/>
      <c r="F133" s="29"/>
      <c r="G133" s="24"/>
      <c r="H133" s="29" t="s">
        <v>54</v>
      </c>
      <c r="I133" t="s">
        <v>481</v>
      </c>
      <c r="L133" s="121">
        <v>5</v>
      </c>
      <c r="M133" s="14"/>
      <c r="O133" s="25" t="str" cm="1">
        <f t="array" ref="O133">BIN2HEX(IF(I133&lt;&gt;"",VLOOKUP(I133,Ops!$I$2:'Ops'!$J$15,2,FALSE),IF(ISNUMBER(SEARCH("BR",D133)),"001","000"))&amp;IF(D133&lt;&gt;"",VLOOKUP(D133,Ops!$B$2:'Ops'!$C$23,2,FALSE),"0")&amp;_xlfn.IFS(ISNUMBER(SEARCH("BR",D133)),VLOOKUP(D133,Ops!$B$3:'Ops'!$D$22,3,FALSE),F133&lt;&gt;"",VLOOKUP(F133,Ops!$R$2:'Ops'!$S$11,2),L133&lt;&gt;"",VLOOKUP(L133,Ops!$R$2:'Ops'!$S$25,2,FALSE),TRUE,"0000"),2)</f>
        <v>05</v>
      </c>
      <c r="P133" s="26" t="str">
        <f>RIGHT(IF($E133&lt;&gt;"",_xlfn.XLOOKUP($E133,$C$4:$C$681,$B$4:$B$681,"NO LABEL"),BIN2HEX(IF(N133="CarryEn","1","0")&amp;IF(M133="SubXY","1","0")&amp;IF(H133&lt;&gt;"",VLOOKUP(H133,Ops!$F$2:'Ops'!$G$20,2,FALSE),"000000"),2)),2)</f>
        <v>02</v>
      </c>
      <c r="Q133" s="26" t="str" cm="1">
        <f t="array" ref="Q133">BIN2HEX(_xlfn.IFS(D133="HWINTEN","10",G133="KeyAck","01",G133="InitLp8","01",TRUE,"00")&amp;IF(OR(Ops!$O$2:'Ops'!$O$13=K133),VLOOKUP(K133,Ops!$O$2:'Ops'!$P$13,2,FALSE),"000")&amp;IF(E133&lt;&gt;"",IF(LEN(_xlfn.XLOOKUP($E133,$C$5:$C$681,$B$5:$B$681,0))=3,HEX2BIN(LEFT(_xlfn.XLOOKUP($E133,$C$5:$C$681,$B$5:$B$681,0),1),3),IF(OR(Ops!$L$2:'Ops'!$L$11=J133),VLOOKUP(J133,Ops!$L$2:'Ops'!$M$11,2,FALSE),"000")),IF(OR(Ops!$L$2:'Ops'!$L$11=J133),VLOOKUP(J133,Ops!$L$2:'Ops'!$M$11,2,FALSE),"000")),2)</f>
        <v>00</v>
      </c>
      <c r="R133" s="27"/>
      <c r="Z133" s="74" t="str">
        <f t="shared" si="34"/>
        <v>0x05,</v>
      </c>
      <c r="AA133" s="75" t="str">
        <f t="shared" si="35"/>
        <v>0x02,</v>
      </c>
      <c r="AB133" s="75" t="str">
        <f t="shared" si="36"/>
        <v>0x00,</v>
      </c>
      <c r="AC133" s="76"/>
    </row>
    <row r="134" spans="1:29" x14ac:dyDescent="0.3">
      <c r="A134" s="79">
        <f t="shared" si="13"/>
        <v>408</v>
      </c>
      <c r="B134" s="80" t="str">
        <f t="shared" si="33"/>
        <v>198</v>
      </c>
      <c r="D134" s="29" t="s">
        <v>0</v>
      </c>
      <c r="E134" s="4" t="s">
        <v>184</v>
      </c>
      <c r="F134" s="29"/>
      <c r="G134" s="24"/>
      <c r="H134" s="29"/>
      <c r="L134" s="121"/>
      <c r="M134" s="14"/>
      <c r="O134" s="25" t="str" cm="1">
        <f t="array" ref="O134">BIN2HEX(IF(I134&lt;&gt;"",VLOOKUP(I134,Ops!$I$2:'Ops'!$J$15,2,FALSE),IF(ISNUMBER(SEARCH("BR",D134)),"001","000"))&amp;IF(D134&lt;&gt;"",VLOOKUP(D134,Ops!$B$2:'Ops'!$C$23,2,FALSE),"0")&amp;_xlfn.IFS(ISNUMBER(SEARCH("BR",D134)),VLOOKUP(D134,Ops!$B$3:'Ops'!$D$22,3,FALSE),F134&lt;&gt;"",VLOOKUP(F134,Ops!$R$2:'Ops'!$S$11,2),L134&lt;&gt;"",VLOOKUP(L134,Ops!$R$2:'Ops'!$S$25,2,FALSE),TRUE,"0000"),2)</f>
        <v>10</v>
      </c>
      <c r="P134" s="26" t="str">
        <f>RIGHT(IF($E134&lt;&gt;"",_xlfn.XLOOKUP($E134,$C$4:$C$681,$B$4:$B$681,"NO LABEL"),BIN2HEX(IF(N134="CarryEn","1","0")&amp;IF(M134="SubXY","1","0")&amp;IF(H134&lt;&gt;"",VLOOKUP(H134,Ops!$F$2:'Ops'!$G$20,2,FALSE),"000000"),2)),2)</f>
        <v>B0</v>
      </c>
      <c r="Q134" s="26" t="str" cm="1">
        <f t="array" ref="Q134">BIN2HEX(_xlfn.IFS(D134="HWINTEN","10",G134="KeyAck","01",G134="InitLp8","01",TRUE,"00")&amp;IF(OR(Ops!$O$2:'Ops'!$O$13=K134),VLOOKUP(K134,Ops!$O$2:'Ops'!$P$13,2,FALSE),"000")&amp;IF(E134&lt;&gt;"",IF(LEN(_xlfn.XLOOKUP($E134,$C$5:$C$681,$B$5:$B$681,0))=3,HEX2BIN(LEFT(_xlfn.XLOOKUP($E134,$C$5:$C$681,$B$5:$B$681,0),1),3),IF(OR(Ops!$L$2:'Ops'!$L$11=J134),VLOOKUP(J134,Ops!$L$2:'Ops'!$M$11,2,FALSE),"000")),IF(OR(Ops!$L$2:'Ops'!$L$11=J134),VLOOKUP(J134,Ops!$L$2:'Ops'!$M$11,2,FALSE),"000")),2)</f>
        <v>01</v>
      </c>
      <c r="R134" s="27"/>
      <c r="Z134" s="74" t="str">
        <f t="shared" si="34"/>
        <v>0x10,</v>
      </c>
      <c r="AA134" s="75" t="str">
        <f t="shared" si="35"/>
        <v>0xB0,</v>
      </c>
      <c r="AB134" s="75" t="str">
        <f t="shared" si="36"/>
        <v>0x01,</v>
      </c>
      <c r="AC134" s="76"/>
    </row>
    <row r="135" spans="1:29" x14ac:dyDescent="0.3">
      <c r="A135" s="79">
        <f t="shared" si="13"/>
        <v>411</v>
      </c>
      <c r="B135" s="80" t="str">
        <f t="shared" si="33"/>
        <v>19B</v>
      </c>
      <c r="C135" s="12" t="s">
        <v>9</v>
      </c>
      <c r="D135" s="29"/>
      <c r="F135" s="29"/>
      <c r="G135" s="24"/>
      <c r="H135" s="29" t="s">
        <v>54</v>
      </c>
      <c r="I135" t="s">
        <v>481</v>
      </c>
      <c r="L135" s="121">
        <v>6</v>
      </c>
      <c r="M135" s="14"/>
      <c r="O135" s="25" t="str" cm="1">
        <f t="array" ref="O135">BIN2HEX(IF(I135&lt;&gt;"",VLOOKUP(I135,Ops!$I$2:'Ops'!$J$15,2,FALSE),IF(ISNUMBER(SEARCH("BR",D135)),"001","000"))&amp;IF(D135&lt;&gt;"",VLOOKUP(D135,Ops!$B$2:'Ops'!$C$23,2,FALSE),"0")&amp;_xlfn.IFS(ISNUMBER(SEARCH("BR",D135)),VLOOKUP(D135,Ops!$B$3:'Ops'!$D$22,3,FALSE),F135&lt;&gt;"",VLOOKUP(F135,Ops!$R$2:'Ops'!$S$11,2),L135&lt;&gt;"",VLOOKUP(L135,Ops!$R$2:'Ops'!$S$25,2,FALSE),TRUE,"0000"),2)</f>
        <v>06</v>
      </c>
      <c r="P135" s="26" t="str">
        <f>RIGHT(IF($E135&lt;&gt;"",_xlfn.XLOOKUP($E135,$C$4:$C$681,$B$4:$B$681,"NO LABEL"),BIN2HEX(IF(N135="CarryEn","1","0")&amp;IF(M135="SubXY","1","0")&amp;IF(H135&lt;&gt;"",VLOOKUP(H135,Ops!$F$2:'Ops'!$G$20,2,FALSE),"000000"),2)),2)</f>
        <v>02</v>
      </c>
      <c r="Q135" s="26" t="str" cm="1">
        <f t="array" ref="Q135">BIN2HEX(_xlfn.IFS(D135="HWINTEN","10",G135="KeyAck","01",G135="InitLp8","01",TRUE,"00")&amp;IF(OR(Ops!$O$2:'Ops'!$O$13=K135),VLOOKUP(K135,Ops!$O$2:'Ops'!$P$13,2,FALSE),"000")&amp;IF(E135&lt;&gt;"",IF(LEN(_xlfn.XLOOKUP($E135,$C$5:$C$681,$B$5:$B$681,0))=3,HEX2BIN(LEFT(_xlfn.XLOOKUP($E135,$C$5:$C$681,$B$5:$B$681,0),1),3),IF(OR(Ops!$L$2:'Ops'!$L$11=J135),VLOOKUP(J135,Ops!$L$2:'Ops'!$M$11,2,FALSE),"000")),IF(OR(Ops!$L$2:'Ops'!$L$11=J135),VLOOKUP(J135,Ops!$L$2:'Ops'!$M$11,2,FALSE),"000")),2)</f>
        <v>00</v>
      </c>
      <c r="R135" s="27"/>
      <c r="Z135" s="74" t="str">
        <f t="shared" si="34"/>
        <v>0x06,</v>
      </c>
      <c r="AA135" s="75" t="str">
        <f t="shared" si="35"/>
        <v>0x02,</v>
      </c>
      <c r="AB135" s="75" t="str">
        <f t="shared" si="36"/>
        <v>0x00,</v>
      </c>
      <c r="AC135" s="76"/>
    </row>
    <row r="136" spans="1:29" x14ac:dyDescent="0.3">
      <c r="A136" s="79">
        <f t="shared" si="13"/>
        <v>414</v>
      </c>
      <c r="B136" s="80" t="str">
        <f t="shared" si="33"/>
        <v>19E</v>
      </c>
      <c r="D136" s="29" t="s">
        <v>0</v>
      </c>
      <c r="E136" s="4" t="s">
        <v>184</v>
      </c>
      <c r="F136" s="29"/>
      <c r="G136" s="24"/>
      <c r="H136" s="29"/>
      <c r="L136" s="121"/>
      <c r="M136" s="14"/>
      <c r="O136" s="25" t="str" cm="1">
        <f t="array" ref="O136">BIN2HEX(IF(I136&lt;&gt;"",VLOOKUP(I136,Ops!$I$2:'Ops'!$J$15,2,FALSE),IF(ISNUMBER(SEARCH("BR",D136)),"001","000"))&amp;IF(D136&lt;&gt;"",VLOOKUP(D136,Ops!$B$2:'Ops'!$C$23,2,FALSE),"0")&amp;_xlfn.IFS(ISNUMBER(SEARCH("BR",D136)),VLOOKUP(D136,Ops!$B$3:'Ops'!$D$22,3,FALSE),F136&lt;&gt;"",VLOOKUP(F136,Ops!$R$2:'Ops'!$S$11,2),L136&lt;&gt;"",VLOOKUP(L136,Ops!$R$2:'Ops'!$S$25,2,FALSE),TRUE,"0000"),2)</f>
        <v>10</v>
      </c>
      <c r="P136" s="26" t="str">
        <f>RIGHT(IF($E136&lt;&gt;"",_xlfn.XLOOKUP($E136,$C$4:$C$681,$B$4:$B$681,"NO LABEL"),BIN2HEX(IF(N136="CarryEn","1","0")&amp;IF(M136="SubXY","1","0")&amp;IF(H136&lt;&gt;"",VLOOKUP(H136,Ops!$F$2:'Ops'!$G$20,2,FALSE),"000000"),2)),2)</f>
        <v>B0</v>
      </c>
      <c r="Q136" s="26" t="str" cm="1">
        <f t="array" ref="Q136">BIN2HEX(_xlfn.IFS(D136="HWINTEN","10",G136="KeyAck","01",G136="InitLp8","01",TRUE,"00")&amp;IF(OR(Ops!$O$2:'Ops'!$O$13=K136),VLOOKUP(K136,Ops!$O$2:'Ops'!$P$13,2,FALSE),"000")&amp;IF(E136&lt;&gt;"",IF(LEN(_xlfn.XLOOKUP($E136,$C$5:$C$681,$B$5:$B$681,0))=3,HEX2BIN(LEFT(_xlfn.XLOOKUP($E136,$C$5:$C$681,$B$5:$B$681,0),1),3),IF(OR(Ops!$L$2:'Ops'!$L$11=J136),VLOOKUP(J136,Ops!$L$2:'Ops'!$M$11,2,FALSE),"000")),IF(OR(Ops!$L$2:'Ops'!$L$11=J136),VLOOKUP(J136,Ops!$L$2:'Ops'!$M$11,2,FALSE),"000")),2)</f>
        <v>01</v>
      </c>
      <c r="R136" s="27"/>
      <c r="Z136" s="74" t="str">
        <f t="shared" si="34"/>
        <v>0x10,</v>
      </c>
      <c r="AA136" s="75" t="str">
        <f t="shared" si="35"/>
        <v>0xB0,</v>
      </c>
      <c r="AB136" s="75" t="str">
        <f t="shared" si="36"/>
        <v>0x01,</v>
      </c>
      <c r="AC136" s="76"/>
    </row>
    <row r="137" spans="1:29" x14ac:dyDescent="0.3">
      <c r="A137" s="79">
        <f t="shared" si="13"/>
        <v>417</v>
      </c>
      <c r="B137" s="80" t="str">
        <f t="shared" si="33"/>
        <v>1A1</v>
      </c>
      <c r="C137" s="12" t="s">
        <v>10</v>
      </c>
      <c r="D137" s="29"/>
      <c r="F137" s="29"/>
      <c r="G137" s="24"/>
      <c r="H137" s="29" t="s">
        <v>54</v>
      </c>
      <c r="I137" t="s">
        <v>481</v>
      </c>
      <c r="L137" s="121">
        <v>7</v>
      </c>
      <c r="M137" s="14"/>
      <c r="O137" s="25" t="str" cm="1">
        <f t="array" ref="O137">BIN2HEX(IF(I137&lt;&gt;"",VLOOKUP(I137,Ops!$I$2:'Ops'!$J$15,2,FALSE),IF(ISNUMBER(SEARCH("BR",D137)),"001","000"))&amp;IF(D137&lt;&gt;"",VLOOKUP(D137,Ops!$B$2:'Ops'!$C$23,2,FALSE),"0")&amp;_xlfn.IFS(ISNUMBER(SEARCH("BR",D137)),VLOOKUP(D137,Ops!$B$3:'Ops'!$D$22,3,FALSE),F137&lt;&gt;"",VLOOKUP(F137,Ops!$R$2:'Ops'!$S$11,2),L137&lt;&gt;"",VLOOKUP(L137,Ops!$R$2:'Ops'!$S$25,2,FALSE),TRUE,"0000"),2)</f>
        <v>07</v>
      </c>
      <c r="P137" s="26" t="str">
        <f>RIGHT(IF($E137&lt;&gt;"",_xlfn.XLOOKUP($E137,$C$4:$C$681,$B$4:$B$681,"NO LABEL"),BIN2HEX(IF(N137="CarryEn","1","0")&amp;IF(M137="SubXY","1","0")&amp;IF(H137&lt;&gt;"",VLOOKUP(H137,Ops!$F$2:'Ops'!$G$20,2,FALSE),"000000"),2)),2)</f>
        <v>02</v>
      </c>
      <c r="Q137" s="26" t="str" cm="1">
        <f t="array" ref="Q137">BIN2HEX(_xlfn.IFS(D137="HWINTEN","10",G137="KeyAck","01",G137="InitLp8","01",TRUE,"00")&amp;IF(OR(Ops!$O$2:'Ops'!$O$13=K137),VLOOKUP(K137,Ops!$O$2:'Ops'!$P$13,2,FALSE),"000")&amp;IF(E137&lt;&gt;"",IF(LEN(_xlfn.XLOOKUP($E137,$C$5:$C$681,$B$5:$B$681,0))=3,HEX2BIN(LEFT(_xlfn.XLOOKUP($E137,$C$5:$C$681,$B$5:$B$681,0),1),3),IF(OR(Ops!$L$2:'Ops'!$L$11=J137),VLOOKUP(J137,Ops!$L$2:'Ops'!$M$11,2,FALSE),"000")),IF(OR(Ops!$L$2:'Ops'!$L$11=J137),VLOOKUP(J137,Ops!$L$2:'Ops'!$M$11,2,FALSE),"000")),2)</f>
        <v>00</v>
      </c>
      <c r="R137" s="27"/>
      <c r="Z137" s="74" t="str">
        <f t="shared" si="34"/>
        <v>0x07,</v>
      </c>
      <c r="AA137" s="75" t="str">
        <f t="shared" si="35"/>
        <v>0x02,</v>
      </c>
      <c r="AB137" s="75" t="str">
        <f t="shared" si="36"/>
        <v>0x00,</v>
      </c>
      <c r="AC137" s="76"/>
    </row>
    <row r="138" spans="1:29" x14ac:dyDescent="0.3">
      <c r="A138" s="79">
        <f t="shared" si="13"/>
        <v>420</v>
      </c>
      <c r="B138" s="80" t="str">
        <f t="shared" si="33"/>
        <v>1A4</v>
      </c>
      <c r="D138" s="29" t="s">
        <v>0</v>
      </c>
      <c r="E138" s="4" t="s">
        <v>184</v>
      </c>
      <c r="F138" s="29"/>
      <c r="G138" s="24"/>
      <c r="H138" s="29"/>
      <c r="L138" s="121"/>
      <c r="M138" s="14"/>
      <c r="O138" s="25" t="str" cm="1">
        <f t="array" ref="O138">BIN2HEX(IF(I138&lt;&gt;"",VLOOKUP(I138,Ops!$I$2:'Ops'!$J$15,2,FALSE),IF(ISNUMBER(SEARCH("BR",D138)),"001","000"))&amp;IF(D138&lt;&gt;"",VLOOKUP(D138,Ops!$B$2:'Ops'!$C$23,2,FALSE),"0")&amp;_xlfn.IFS(ISNUMBER(SEARCH("BR",D138)),VLOOKUP(D138,Ops!$B$3:'Ops'!$D$22,3,FALSE),F138&lt;&gt;"",VLOOKUP(F138,Ops!$R$2:'Ops'!$S$11,2),L138&lt;&gt;"",VLOOKUP(L138,Ops!$R$2:'Ops'!$S$25,2,FALSE),TRUE,"0000"),2)</f>
        <v>10</v>
      </c>
      <c r="P138" s="26" t="str">
        <f>RIGHT(IF($E138&lt;&gt;"",_xlfn.XLOOKUP($E138,$C$4:$C$681,$B$4:$B$681,"NO LABEL"),BIN2HEX(IF(N138="CarryEn","1","0")&amp;IF(M138="SubXY","1","0")&amp;IF(H138&lt;&gt;"",VLOOKUP(H138,Ops!$F$2:'Ops'!$G$20,2,FALSE),"000000"),2)),2)</f>
        <v>B0</v>
      </c>
      <c r="Q138" s="26" t="str" cm="1">
        <f t="array" ref="Q138">BIN2HEX(_xlfn.IFS(D138="HWINTEN","10",G138="KeyAck","01",G138="InitLp8","01",TRUE,"00")&amp;IF(OR(Ops!$O$2:'Ops'!$O$13=K138),VLOOKUP(K138,Ops!$O$2:'Ops'!$P$13,2,FALSE),"000")&amp;IF(E138&lt;&gt;"",IF(LEN(_xlfn.XLOOKUP($E138,$C$5:$C$681,$B$5:$B$681,0))=3,HEX2BIN(LEFT(_xlfn.XLOOKUP($E138,$C$5:$C$681,$B$5:$B$681,0),1),3),IF(OR(Ops!$L$2:'Ops'!$L$11=J138),VLOOKUP(J138,Ops!$L$2:'Ops'!$M$11,2,FALSE),"000")),IF(OR(Ops!$L$2:'Ops'!$L$11=J138),VLOOKUP(J138,Ops!$L$2:'Ops'!$M$11,2,FALSE),"000")),2)</f>
        <v>01</v>
      </c>
      <c r="R138" s="27"/>
      <c r="Z138" s="74" t="str">
        <f t="shared" si="34"/>
        <v>0x10,</v>
      </c>
      <c r="AA138" s="75" t="str">
        <f t="shared" si="35"/>
        <v>0xB0,</v>
      </c>
      <c r="AB138" s="75" t="str">
        <f t="shared" si="36"/>
        <v>0x01,</v>
      </c>
      <c r="AC138" s="76"/>
    </row>
    <row r="139" spans="1:29" x14ac:dyDescent="0.3">
      <c r="A139" s="79">
        <f t="shared" si="13"/>
        <v>423</v>
      </c>
      <c r="B139" s="80" t="str">
        <f t="shared" si="33"/>
        <v>1A7</v>
      </c>
      <c r="C139" s="12" t="s">
        <v>11</v>
      </c>
      <c r="D139" s="29"/>
      <c r="F139" s="29"/>
      <c r="G139" s="24"/>
      <c r="H139" s="29" t="s">
        <v>54</v>
      </c>
      <c r="I139" t="s">
        <v>481</v>
      </c>
      <c r="L139" s="121">
        <v>8</v>
      </c>
      <c r="M139" s="14"/>
      <c r="O139" s="25" t="str" cm="1">
        <f t="array" ref="O139">BIN2HEX(IF(I139&lt;&gt;"",VLOOKUP(I139,Ops!$I$2:'Ops'!$J$15,2,FALSE),IF(ISNUMBER(SEARCH("BR",D139)),"001","000"))&amp;IF(D139&lt;&gt;"",VLOOKUP(D139,Ops!$B$2:'Ops'!$C$23,2,FALSE),"0")&amp;_xlfn.IFS(ISNUMBER(SEARCH("BR",D139)),VLOOKUP(D139,Ops!$B$3:'Ops'!$D$22,3,FALSE),F139&lt;&gt;"",VLOOKUP(F139,Ops!$R$2:'Ops'!$S$11,2),L139&lt;&gt;"",VLOOKUP(L139,Ops!$R$2:'Ops'!$S$25,2,FALSE),TRUE,"0000"),2)</f>
        <v>08</v>
      </c>
      <c r="P139" s="26" t="str">
        <f>RIGHT(IF($E139&lt;&gt;"",_xlfn.XLOOKUP($E139,$C$4:$C$681,$B$4:$B$681,"NO LABEL"),BIN2HEX(IF(N139="CarryEn","1","0")&amp;IF(M139="SubXY","1","0")&amp;IF(H139&lt;&gt;"",VLOOKUP(H139,Ops!$F$2:'Ops'!$G$20,2,FALSE),"000000"),2)),2)</f>
        <v>02</v>
      </c>
      <c r="Q139" s="26" t="str" cm="1">
        <f t="array" ref="Q139">BIN2HEX(_xlfn.IFS(D139="HWINTEN","10",G139="KeyAck","01",G139="InitLp8","01",TRUE,"00")&amp;IF(OR(Ops!$O$2:'Ops'!$O$13=K139),VLOOKUP(K139,Ops!$O$2:'Ops'!$P$13,2,FALSE),"000")&amp;IF(E139&lt;&gt;"",IF(LEN(_xlfn.XLOOKUP($E139,$C$5:$C$681,$B$5:$B$681,0))=3,HEX2BIN(LEFT(_xlfn.XLOOKUP($E139,$C$5:$C$681,$B$5:$B$681,0),1),3),IF(OR(Ops!$L$2:'Ops'!$L$11=J139),VLOOKUP(J139,Ops!$L$2:'Ops'!$M$11,2,FALSE),"000")),IF(OR(Ops!$L$2:'Ops'!$L$11=J139),VLOOKUP(J139,Ops!$L$2:'Ops'!$M$11,2,FALSE),"000")),2)</f>
        <v>00</v>
      </c>
      <c r="R139" s="27"/>
      <c r="Z139" s="74" t="str">
        <f t="shared" si="34"/>
        <v>0x08,</v>
      </c>
      <c r="AA139" s="75" t="str">
        <f t="shared" si="35"/>
        <v>0x02,</v>
      </c>
      <c r="AB139" s="75" t="str">
        <f t="shared" si="36"/>
        <v>0x00,</v>
      </c>
      <c r="AC139" s="76"/>
    </row>
    <row r="140" spans="1:29" x14ac:dyDescent="0.3">
      <c r="A140" s="79">
        <f t="shared" si="13"/>
        <v>426</v>
      </c>
      <c r="B140" s="80" t="str">
        <f t="shared" si="33"/>
        <v>1AA</v>
      </c>
      <c r="D140" s="29" t="s">
        <v>0</v>
      </c>
      <c r="E140" s="4" t="s">
        <v>184</v>
      </c>
      <c r="F140" s="29"/>
      <c r="G140" s="24"/>
      <c r="H140" s="29"/>
      <c r="L140" s="121"/>
      <c r="M140" s="14"/>
      <c r="O140" s="25" t="str" cm="1">
        <f t="array" ref="O140">BIN2HEX(IF(I140&lt;&gt;"",VLOOKUP(I140,Ops!$I$2:'Ops'!$J$15,2,FALSE),IF(ISNUMBER(SEARCH("BR",D140)),"001","000"))&amp;IF(D140&lt;&gt;"",VLOOKUP(D140,Ops!$B$2:'Ops'!$C$23,2,FALSE),"0")&amp;_xlfn.IFS(ISNUMBER(SEARCH("BR",D140)),VLOOKUP(D140,Ops!$B$3:'Ops'!$D$22,3,FALSE),F140&lt;&gt;"",VLOOKUP(F140,Ops!$R$2:'Ops'!$S$11,2),L140&lt;&gt;"",VLOOKUP(L140,Ops!$R$2:'Ops'!$S$25,2,FALSE),TRUE,"0000"),2)</f>
        <v>10</v>
      </c>
      <c r="P140" s="26" t="str">
        <f>RIGHT(IF($E140&lt;&gt;"",_xlfn.XLOOKUP($E140,$C$4:$C$681,$B$4:$B$681,"NO LABEL"),BIN2HEX(IF(N140="CarryEn","1","0")&amp;IF(M140="SubXY","1","0")&amp;IF(H140&lt;&gt;"",VLOOKUP(H140,Ops!$F$2:'Ops'!$G$20,2,FALSE),"000000"),2)),2)</f>
        <v>B0</v>
      </c>
      <c r="Q140" s="26" t="str" cm="1">
        <f t="array" ref="Q140">BIN2HEX(_xlfn.IFS(D140="HWINTEN","10",G140="KeyAck","01",G140="InitLp8","01",TRUE,"00")&amp;IF(OR(Ops!$O$2:'Ops'!$O$13=K140),VLOOKUP(K140,Ops!$O$2:'Ops'!$P$13,2,FALSE),"000")&amp;IF(E140&lt;&gt;"",IF(LEN(_xlfn.XLOOKUP($E140,$C$5:$C$681,$B$5:$B$681,0))=3,HEX2BIN(LEFT(_xlfn.XLOOKUP($E140,$C$5:$C$681,$B$5:$B$681,0),1),3),IF(OR(Ops!$L$2:'Ops'!$L$11=J140),VLOOKUP(J140,Ops!$L$2:'Ops'!$M$11,2,FALSE),"000")),IF(OR(Ops!$L$2:'Ops'!$L$11=J140),VLOOKUP(J140,Ops!$L$2:'Ops'!$M$11,2,FALSE),"000")),2)</f>
        <v>01</v>
      </c>
      <c r="R140" s="27"/>
      <c r="Z140" s="74" t="str">
        <f t="shared" si="34"/>
        <v>0x10,</v>
      </c>
      <c r="AA140" s="75" t="str">
        <f t="shared" si="35"/>
        <v>0xB0,</v>
      </c>
      <c r="AB140" s="75" t="str">
        <f t="shared" si="36"/>
        <v>0x01,</v>
      </c>
      <c r="AC140" s="76"/>
    </row>
    <row r="141" spans="1:29" x14ac:dyDescent="0.3">
      <c r="A141" s="79">
        <f t="shared" si="13"/>
        <v>429</v>
      </c>
      <c r="B141" s="80" t="str">
        <f t="shared" si="33"/>
        <v>1AD</v>
      </c>
      <c r="C141" s="12" t="s">
        <v>12</v>
      </c>
      <c r="D141" s="29"/>
      <c r="F141" s="29"/>
      <c r="G141" s="24"/>
      <c r="H141" s="29" t="s">
        <v>54</v>
      </c>
      <c r="I141" t="s">
        <v>481</v>
      </c>
      <c r="L141" s="121">
        <v>9</v>
      </c>
      <c r="M141" s="14"/>
      <c r="O141" s="25" t="str" cm="1">
        <f t="array" ref="O141">BIN2HEX(IF(I141&lt;&gt;"",VLOOKUP(I141,Ops!$I$2:'Ops'!$J$15,2,FALSE),IF(ISNUMBER(SEARCH("BR",D141)),"001","000"))&amp;IF(D141&lt;&gt;"",VLOOKUP(D141,Ops!$B$2:'Ops'!$C$23,2,FALSE),"0")&amp;_xlfn.IFS(ISNUMBER(SEARCH("BR",D141)),VLOOKUP(D141,Ops!$B$3:'Ops'!$D$22,3,FALSE),F141&lt;&gt;"",VLOOKUP(F141,Ops!$R$2:'Ops'!$S$11,2),L141&lt;&gt;"",VLOOKUP(L141,Ops!$R$2:'Ops'!$S$25,2,FALSE),TRUE,"0000"),2)</f>
        <v>09</v>
      </c>
      <c r="P141" s="26" t="str">
        <f>RIGHT(IF($E141&lt;&gt;"",_xlfn.XLOOKUP($E141,$C$4:$C$681,$B$4:$B$681,"NO LABEL"),BIN2HEX(IF(N141="CarryEn","1","0")&amp;IF(M141="SubXY","1","0")&amp;IF(H141&lt;&gt;"",VLOOKUP(H141,Ops!$F$2:'Ops'!$G$20,2,FALSE),"000000"),2)),2)</f>
        <v>02</v>
      </c>
      <c r="Q141" s="26" t="str" cm="1">
        <f t="array" ref="Q141">BIN2HEX(_xlfn.IFS(D141="HWINTEN","10",G141="KeyAck","01",G141="InitLp8","01",TRUE,"00")&amp;IF(OR(Ops!$O$2:'Ops'!$O$13=K141),VLOOKUP(K141,Ops!$O$2:'Ops'!$P$13,2,FALSE),"000")&amp;IF(E141&lt;&gt;"",IF(LEN(_xlfn.XLOOKUP($E141,$C$5:$C$681,$B$5:$B$681,0))=3,HEX2BIN(LEFT(_xlfn.XLOOKUP($E141,$C$5:$C$681,$B$5:$B$681,0),1),3),IF(OR(Ops!$L$2:'Ops'!$L$11=J141),VLOOKUP(J141,Ops!$L$2:'Ops'!$M$11,2,FALSE),"000")),IF(OR(Ops!$L$2:'Ops'!$L$11=J141),VLOOKUP(J141,Ops!$L$2:'Ops'!$M$11,2,FALSE),"000")),2)</f>
        <v>00</v>
      </c>
      <c r="R141" s="27"/>
      <c r="Z141" s="74" t="str">
        <f t="shared" si="34"/>
        <v>0x09,</v>
      </c>
      <c r="AA141" s="75" t="str">
        <f t="shared" si="35"/>
        <v>0x02,</v>
      </c>
      <c r="AB141" s="75" t="str">
        <f t="shared" si="36"/>
        <v>0x00,</v>
      </c>
      <c r="AC141" s="76"/>
    </row>
    <row r="142" spans="1:29" x14ac:dyDescent="0.3">
      <c r="A142" s="79">
        <f t="shared" si="13"/>
        <v>432</v>
      </c>
      <c r="B142" s="80" t="str">
        <f t="shared" si="33"/>
        <v>1B0</v>
      </c>
      <c r="C142" s="4" t="s">
        <v>184</v>
      </c>
      <c r="D142" s="29" t="s">
        <v>28</v>
      </c>
      <c r="E142" s="4" t="s">
        <v>554</v>
      </c>
      <c r="F142" s="29"/>
      <c r="G142" s="24"/>
      <c r="H142" s="29"/>
      <c r="M142" s="14"/>
      <c r="O142" s="25" t="str" cm="1">
        <f t="array" ref="O142">BIN2HEX(IF(I142&lt;&gt;"",VLOOKUP(I142,Ops!$I$2:'Ops'!$J$15,2,FALSE),IF(ISNUMBER(SEARCH("BR",D142)),"001","000"))&amp;IF(D142&lt;&gt;"",VLOOKUP(D142,Ops!$B$2:'Ops'!$C$23,2,FALSE),"0")&amp;_xlfn.IFS(ISNUMBER(SEARCH("BR",D142)),VLOOKUP(D142,Ops!$B$3:'Ops'!$D$22,3,FALSE),F142&lt;&gt;"",VLOOKUP(F142,Ops!$R$2:'Ops'!$S$11,2),L142&lt;&gt;"",VLOOKUP(L142,Ops!$R$2:'Ops'!$S$25,2,FALSE),TRUE,"0000"),2)</f>
        <v>31</v>
      </c>
      <c r="P142" s="26" t="str">
        <f>RIGHT(IF($E142&lt;&gt;"",_xlfn.XLOOKUP($E142,$C$4:$C$681,$B$4:$B$681,"NO LABEL"),BIN2HEX(IF(N142="CarryEn","1","0")&amp;IF(M142="SubXY","1","0")&amp;IF(H142&lt;&gt;"",VLOOKUP(H142,Ops!$F$2:'Ops'!$G$20,2,FALSE),"000000"),2)),2)</f>
        <v>B6</v>
      </c>
      <c r="Q142" s="26" t="str" cm="1">
        <f t="array" ref="Q142">BIN2HEX(_xlfn.IFS(D142="HWINTEN","10",G142="KeyAck","01",G142="InitLp8","01",TRUE,"00")&amp;IF(OR(Ops!$O$2:'Ops'!$O$13=K142),VLOOKUP(K142,Ops!$O$2:'Ops'!$P$13,2,FALSE),"000")&amp;IF(E142&lt;&gt;"",IF(LEN(_xlfn.XLOOKUP($E142,$C$5:$C$681,$B$5:$B$681,0))=3,HEX2BIN(LEFT(_xlfn.XLOOKUP($E142,$C$5:$C$681,$B$5:$B$681,0),1),3),IF(OR(Ops!$L$2:'Ops'!$L$11=J142),VLOOKUP(J142,Ops!$L$2:'Ops'!$M$11,2,FALSE),"000")),IF(OR(Ops!$L$2:'Ops'!$L$11=J142),VLOOKUP(J142,Ops!$L$2:'Ops'!$M$11,2,FALSE),"000")),2)</f>
        <v>01</v>
      </c>
      <c r="R142" s="27"/>
      <c r="S142" s="4" t="s">
        <v>556</v>
      </c>
      <c r="Z142" s="74" t="str">
        <f t="shared" si="34"/>
        <v>0x31,</v>
      </c>
      <c r="AA142" s="75" t="str">
        <f t="shared" si="35"/>
        <v>0xB6,</v>
      </c>
      <c r="AB142" s="75" t="str">
        <f t="shared" si="36"/>
        <v>0x01,</v>
      </c>
      <c r="AC142" s="76"/>
    </row>
    <row r="143" spans="1:29" x14ac:dyDescent="0.3">
      <c r="A143" s="79">
        <f t="shared" si="13"/>
        <v>435</v>
      </c>
      <c r="B143" s="80" t="str">
        <f>DEC2HEX(A143)</f>
        <v>1B3</v>
      </c>
      <c r="D143" s="29" t="s">
        <v>0</v>
      </c>
      <c r="E143" s="4" t="s">
        <v>555</v>
      </c>
      <c r="F143" s="29"/>
      <c r="G143" s="24"/>
      <c r="H143" s="29"/>
      <c r="M143" s="14"/>
      <c r="O143" s="25" t="str" cm="1">
        <f t="array" ref="O143">BIN2HEX(IF(I143&lt;&gt;"",VLOOKUP(I143,Ops!$I$2:'Ops'!$J$15,2,FALSE),IF(ISNUMBER(SEARCH("BR",D143)),"001","000"))&amp;IF(D143&lt;&gt;"",VLOOKUP(D143,Ops!$B$2:'Ops'!$C$23,2,FALSE),"0")&amp;_xlfn.IFS(ISNUMBER(SEARCH("BR",D143)),VLOOKUP(D143,Ops!$B$3:'Ops'!$D$22,3,FALSE),F143&lt;&gt;"",VLOOKUP(F143,Ops!$R$2:'Ops'!$S$11,2),L143&lt;&gt;"",VLOOKUP(L143,Ops!$R$2:'Ops'!$S$25,2,FALSE),TRUE,"0000"),2)</f>
        <v>10</v>
      </c>
      <c r="P143" s="26" t="str">
        <f>RIGHT(IF($E143&lt;&gt;"",_xlfn.XLOOKUP($E143,$C$4:$C$681,$B$4:$B$681,"NO LABEL"),BIN2HEX(IF(N143="CarryEn","1","0")&amp;IF(M143="SubXY","1","0")&amp;IF(H143&lt;&gt;"",VLOOKUP(H143,Ops!$F$2:'Ops'!$G$20,2,FALSE),"000000"),2)),2)</f>
        <v>BC</v>
      </c>
      <c r="Q143" s="26" t="str" cm="1">
        <f t="array" ref="Q143">BIN2HEX(_xlfn.IFS(D143="HWINTEN","10",G143="KeyAck","01",G143="InitLp8","01",TRUE,"00")&amp;IF(OR(Ops!$O$2:'Ops'!$O$13=K143),VLOOKUP(K143,Ops!$O$2:'Ops'!$P$13,2,FALSE),"000")&amp;IF(E143&lt;&gt;"",IF(LEN(_xlfn.XLOOKUP($E143,$C$5:$C$681,$B$5:$B$681,0))=3,HEX2BIN(LEFT(_xlfn.XLOOKUP($E143,$C$5:$C$681,$B$5:$B$681,0),1),3),IF(OR(Ops!$L$2:'Ops'!$L$11=J143),VLOOKUP(J143,Ops!$L$2:'Ops'!$M$11,2,FALSE),"000")),IF(OR(Ops!$L$2:'Ops'!$L$11=J143),VLOOKUP(J143,Ops!$L$2:'Ops'!$M$11,2,FALSE),"000")),2)</f>
        <v>01</v>
      </c>
      <c r="R143" s="27"/>
      <c r="S143" s="4" t="s">
        <v>557</v>
      </c>
      <c r="Z143" s="74" t="str">
        <f t="shared" si="34"/>
        <v>0x10,</v>
      </c>
      <c r="AA143" s="75" t="str">
        <f t="shared" si="35"/>
        <v>0xBC,</v>
      </c>
      <c r="AB143" s="75" t="str">
        <f t="shared" si="36"/>
        <v>0x01,</v>
      </c>
      <c r="AC143" s="76"/>
    </row>
    <row r="144" spans="1:29" x14ac:dyDescent="0.3">
      <c r="A144" s="79">
        <f t="shared" si="13"/>
        <v>438</v>
      </c>
      <c r="B144" s="80" t="str">
        <f>DEC2HEX(A144)</f>
        <v>1B6</v>
      </c>
      <c r="C144" s="4" t="s">
        <v>554</v>
      </c>
      <c r="D144" s="29"/>
      <c r="F144" s="29"/>
      <c r="G144" s="24"/>
      <c r="H144" s="29"/>
      <c r="J144" s="4" t="s">
        <v>421</v>
      </c>
      <c r="K144" s="4" t="s">
        <v>422</v>
      </c>
      <c r="L144" s="4" t="s">
        <v>325</v>
      </c>
      <c r="M144" s="14"/>
      <c r="O144" s="25" t="str" cm="1">
        <f t="array" ref="O144">BIN2HEX(IF(I144&lt;&gt;"",VLOOKUP(I144,Ops!$I$2:'Ops'!$J$15,2,FALSE),IF(ISNUMBER(SEARCH("BR",D144)),"001","000"))&amp;IF(D144&lt;&gt;"",VLOOKUP(D144,Ops!$B$2:'Ops'!$C$23,2,FALSE),"0")&amp;_xlfn.IFS(ISNUMBER(SEARCH("BR",D144)),VLOOKUP(D144,Ops!$B$3:'Ops'!$D$22,3,FALSE),F144&lt;&gt;"",VLOOKUP(F144,Ops!$R$2:'Ops'!$S$11,2),L144&lt;&gt;"",VLOOKUP(L144,Ops!$R$2:'Ops'!$S$25,2,FALSE),TRUE,"0000"),2)</f>
        <v>06</v>
      </c>
      <c r="P144" s="26" t="str">
        <f>RIGHT(IF($E144&lt;&gt;"",_xlfn.XLOOKUP($E144,$C$4:$C$681,$B$4:$B$681,"NO LABEL"),BIN2HEX(IF(N144="CarryEn","1","0")&amp;IF(M144="SubXY","1","0")&amp;IF(H144&lt;&gt;"",VLOOKUP(H144,Ops!$F$2:'Ops'!$G$20,2,FALSE),"000000"),2)),2)</f>
        <v>00</v>
      </c>
      <c r="Q144" s="26" t="str" cm="1">
        <f t="array" ref="Q144">BIN2HEX(_xlfn.IFS(D144="HWINTEN","10",G144="KeyAck","01",G144="InitLp8","01",TRUE,"00")&amp;IF(OR(Ops!$O$2:'Ops'!$O$13=K144),VLOOKUP(K144,Ops!$O$2:'Ops'!$P$13,2,FALSE),"000")&amp;IF(E144&lt;&gt;"",IF(LEN(_xlfn.XLOOKUP($E144,$C$5:$C$681,$B$5:$B$681,0))=3,HEX2BIN(LEFT(_xlfn.XLOOKUP($E144,$C$5:$C$681,$B$5:$B$681,0),1),3),IF(OR(Ops!$L$2:'Ops'!$L$11=J144),VLOOKUP(J144,Ops!$L$2:'Ops'!$M$11,2,FALSE),"000")),IF(OR(Ops!$L$2:'Ops'!$L$11=J144),VLOOKUP(J144,Ops!$L$2:'Ops'!$M$11,2,FALSE),"000")),2)</f>
        <v>1B</v>
      </c>
      <c r="R144" s="27"/>
      <c r="S144" s="4" t="s">
        <v>558</v>
      </c>
      <c r="Z144" s="74" t="str">
        <f t="shared" si="34"/>
        <v>0x06,</v>
      </c>
      <c r="AA144" s="75" t="str">
        <f t="shared" si="35"/>
        <v>0x00,</v>
      </c>
      <c r="AB144" s="75" t="str">
        <f t="shared" si="36"/>
        <v>0x1B,</v>
      </c>
      <c r="AC144" s="76"/>
    </row>
    <row r="145" spans="1:29" x14ac:dyDescent="0.3">
      <c r="A145" s="79">
        <f t="shared" si="13"/>
        <v>441</v>
      </c>
      <c r="B145" s="80" t="str">
        <f>DEC2HEX(A145)</f>
        <v>1B9</v>
      </c>
      <c r="D145" s="29" t="s">
        <v>0</v>
      </c>
      <c r="E145" s="4" t="s">
        <v>1</v>
      </c>
      <c r="F145" s="29"/>
      <c r="G145" s="24"/>
      <c r="H145" s="29"/>
      <c r="M145" s="14"/>
      <c r="O145" s="25" t="str" cm="1">
        <f t="array" ref="O145">BIN2HEX(IF(I145&lt;&gt;"",VLOOKUP(I145,Ops!$I$2:'Ops'!$J$15,2,FALSE),IF(ISNUMBER(SEARCH("BR",D145)),"001","000"))&amp;IF(D145&lt;&gt;"",VLOOKUP(D145,Ops!$B$2:'Ops'!$C$23,2,FALSE),"0")&amp;_xlfn.IFS(ISNUMBER(SEARCH("BR",D145)),VLOOKUP(D145,Ops!$B$3:'Ops'!$D$22,3,FALSE),F145&lt;&gt;"",VLOOKUP(F145,Ops!$R$2:'Ops'!$S$11,2),L145&lt;&gt;"",VLOOKUP(L145,Ops!$R$2:'Ops'!$S$25,2,FALSE),TRUE,"0000"),2)</f>
        <v>10</v>
      </c>
      <c r="P145" s="26" t="str">
        <f>RIGHT(IF($E145&lt;&gt;"",_xlfn.XLOOKUP($E145,$C$4:$C$681,$B$4:$B$681,"NO LABEL"),BIN2HEX(IF(N145="CarryEn","1","0")&amp;IF(M145="SubXY","1","0")&amp;IF(H145&lt;&gt;"",VLOOKUP(H145,Ops!$F$2:'Ops'!$G$20,2,FALSE),"000000"),2)),2)</f>
        <v>60</v>
      </c>
      <c r="Q145" s="26" t="str" cm="1">
        <f t="array" ref="Q145">BIN2HEX(_xlfn.IFS(D145="HWINTEN","10",G145="KeyAck","01",G145="InitLp8","01",TRUE,"00")&amp;IF(OR(Ops!$O$2:'Ops'!$O$13=K145),VLOOKUP(K145,Ops!$O$2:'Ops'!$P$13,2,FALSE),"000")&amp;IF(E145&lt;&gt;"",IF(LEN(_xlfn.XLOOKUP($E145,$C$5:$C$681,$B$5:$B$681,0))=3,HEX2BIN(LEFT(_xlfn.XLOOKUP($E145,$C$5:$C$681,$B$5:$B$681,0),1),3),IF(OR(Ops!$L$2:'Ops'!$L$11=J145),VLOOKUP(J145,Ops!$L$2:'Ops'!$M$11,2,FALSE),"000")),IF(OR(Ops!$L$2:'Ops'!$L$11=J145),VLOOKUP(J145,Ops!$L$2:'Ops'!$M$11,2,FALSE),"000")),2)</f>
        <v>00</v>
      </c>
      <c r="R145" s="27"/>
      <c r="Z145" s="74" t="str">
        <f t="shared" si="34"/>
        <v>0x10,</v>
      </c>
      <c r="AA145" s="75" t="str">
        <f t="shared" si="35"/>
        <v>0x60,</v>
      </c>
      <c r="AB145" s="75" t="str">
        <f t="shared" si="36"/>
        <v>0x00,</v>
      </c>
      <c r="AC145" s="76"/>
    </row>
    <row r="146" spans="1:29" x14ac:dyDescent="0.3">
      <c r="A146" s="79">
        <f t="shared" si="13"/>
        <v>444</v>
      </c>
      <c r="B146" s="80" t="str">
        <f>DEC2HEX(A146)</f>
        <v>1BC</v>
      </c>
      <c r="C146" s="4" t="s">
        <v>555</v>
      </c>
      <c r="D146" s="29" t="s">
        <v>30</v>
      </c>
      <c r="E146" s="4" t="s">
        <v>566</v>
      </c>
      <c r="F146" s="29"/>
      <c r="G146" s="24"/>
      <c r="H146" s="29"/>
      <c r="M146" s="14"/>
      <c r="O146" s="25" t="str" cm="1">
        <f t="array" ref="O146">BIN2HEX(IF(I146&lt;&gt;"",VLOOKUP(I146,Ops!$I$2:'Ops'!$J$15,2,FALSE),IF(ISNUMBER(SEARCH("BR",D146)),"001","000"))&amp;IF(D146&lt;&gt;"",VLOOKUP(D146,Ops!$B$2:'Ops'!$C$23,2,FALSE),"0")&amp;_xlfn.IFS(ISNUMBER(SEARCH("BR",D146)),VLOOKUP(D146,Ops!$B$3:'Ops'!$D$22,3,FALSE),F146&lt;&gt;"",VLOOKUP(F146,Ops!$R$2:'Ops'!$S$11,2),L146&lt;&gt;"",VLOOKUP(L146,Ops!$R$2:'Ops'!$S$25,2,FALSE),TRUE,"0000"),2)</f>
        <v>32</v>
      </c>
      <c r="P146" s="26" t="str">
        <f>RIGHT(IF($E146&lt;&gt;"",_xlfn.XLOOKUP($E146,$C$4:$C$681,$B$4:$B$681,"NO LABEL"),BIN2HEX(IF(N146="CarryEn","1","0")&amp;IF(M146="SubXY","1","0")&amp;IF(H146&lt;&gt;"",VLOOKUP(H146,Ops!$F$2:'Ops'!$G$20,2,FALSE),"000000"),2)),2)</f>
        <v>C2</v>
      </c>
      <c r="Q146" s="26" t="str" cm="1">
        <f t="array" ref="Q146">BIN2HEX(_xlfn.IFS(D146="HWINTEN","10",G146="KeyAck","01",G146="InitLp8","01",TRUE,"00")&amp;IF(OR(Ops!$O$2:'Ops'!$O$13=K146),VLOOKUP(K146,Ops!$O$2:'Ops'!$P$13,2,FALSE),"000")&amp;IF(E146&lt;&gt;"",IF(LEN(_xlfn.XLOOKUP($E146,$C$5:$C$681,$B$5:$B$681,0))=3,HEX2BIN(LEFT(_xlfn.XLOOKUP($E146,$C$5:$C$681,$B$5:$B$681,0),1),3),IF(OR(Ops!$L$2:'Ops'!$L$11=J146),VLOOKUP(J146,Ops!$L$2:'Ops'!$M$11,2,FALSE),"000")),IF(OR(Ops!$L$2:'Ops'!$L$11=J146),VLOOKUP(J146,Ops!$L$2:'Ops'!$M$11,2,FALSE),"000")),2)</f>
        <v>01</v>
      </c>
      <c r="R146" s="27"/>
      <c r="S146" s="4" t="s">
        <v>576</v>
      </c>
      <c r="Z146" s="74" t="str">
        <f t="shared" ref="Z146:Z158" si="37">IF(O146="", "};", "0x"&amp;O146&amp;",")</f>
        <v>0x32,</v>
      </c>
      <c r="AA146" s="75" t="str">
        <f t="shared" ref="AA146:AA158" si="38">"0x"&amp;P146&amp;","</f>
        <v>0xC2,</v>
      </c>
      <c r="AB146" s="75" t="str">
        <f t="shared" ref="AB146:AB158" si="39">"0x"&amp;Q146&amp;","</f>
        <v>0x01,</v>
      </c>
      <c r="AC146" s="76"/>
    </row>
    <row r="147" spans="1:29" x14ac:dyDescent="0.3">
      <c r="A147" s="79">
        <f t="shared" si="13"/>
        <v>447</v>
      </c>
      <c r="B147" s="80" t="str">
        <f t="shared" ref="B147:B158" si="40">DEC2HEX(A147)</f>
        <v>1BF</v>
      </c>
      <c r="D147" s="29" t="s">
        <v>0</v>
      </c>
      <c r="E147" s="4" t="s">
        <v>567</v>
      </c>
      <c r="F147" s="29"/>
      <c r="G147" s="24"/>
      <c r="H147" s="29"/>
      <c r="M147" s="14"/>
      <c r="O147" s="25" t="str" cm="1">
        <f t="array" ref="O147">BIN2HEX(IF(I147&lt;&gt;"",VLOOKUP(I147,Ops!$I$2:'Ops'!$J$15,2,FALSE),IF(ISNUMBER(SEARCH("BR",D147)),"001","000"))&amp;IF(D147&lt;&gt;"",VLOOKUP(D147,Ops!$B$2:'Ops'!$C$23,2,FALSE),"0")&amp;_xlfn.IFS(ISNUMBER(SEARCH("BR",D147)),VLOOKUP(D147,Ops!$B$3:'Ops'!$D$22,3,FALSE),F147&lt;&gt;"",VLOOKUP(F147,Ops!$R$2:'Ops'!$S$11,2),L147&lt;&gt;"",VLOOKUP(L147,Ops!$R$2:'Ops'!$S$25,2,FALSE),TRUE,"0000"),2)</f>
        <v>10</v>
      </c>
      <c r="P147" s="26" t="str">
        <f>RIGHT(IF($E147&lt;&gt;"",_xlfn.XLOOKUP($E147,$C$4:$C$681,$B$4:$B$681,"NO LABEL"),BIN2HEX(IF(N147="CarryEn","1","0")&amp;IF(M147="SubXY","1","0")&amp;IF(H147&lt;&gt;"",VLOOKUP(H147,Ops!$F$2:'Ops'!$G$20,2,FALSE),"000000"),2)),2)</f>
        <v>E0</v>
      </c>
      <c r="Q147" s="26" t="str" cm="1">
        <f t="array" ref="Q147">BIN2HEX(_xlfn.IFS(D147="HWINTEN","10",G147="KeyAck","01",G147="InitLp8","01",TRUE,"00")&amp;IF(OR(Ops!$O$2:'Ops'!$O$13=K147),VLOOKUP(K147,Ops!$O$2:'Ops'!$P$13,2,FALSE),"000")&amp;IF(E147&lt;&gt;"",IF(LEN(_xlfn.XLOOKUP($E147,$C$5:$C$681,$B$5:$B$681,0))=3,HEX2BIN(LEFT(_xlfn.XLOOKUP($E147,$C$5:$C$681,$B$5:$B$681,0),1),3),IF(OR(Ops!$L$2:'Ops'!$L$11=J147),VLOOKUP(J147,Ops!$L$2:'Ops'!$M$11,2,FALSE),"000")),IF(OR(Ops!$L$2:'Ops'!$L$11=J147),VLOOKUP(J147,Ops!$L$2:'Ops'!$M$11,2,FALSE),"000")),2)</f>
        <v>01</v>
      </c>
      <c r="R147" s="27"/>
      <c r="S147" s="4" t="s">
        <v>577</v>
      </c>
      <c r="Z147" s="74" t="str">
        <f t="shared" si="37"/>
        <v>0x10,</v>
      </c>
      <c r="AA147" s="75" t="str">
        <f t="shared" si="38"/>
        <v>0xE0,</v>
      </c>
      <c r="AB147" s="75" t="str">
        <f t="shared" si="39"/>
        <v>0x01,</v>
      </c>
      <c r="AC147" s="76"/>
    </row>
    <row r="148" spans="1:29" x14ac:dyDescent="0.3">
      <c r="A148" s="79">
        <f t="shared" si="13"/>
        <v>450</v>
      </c>
      <c r="B148" s="80" t="str">
        <f t="shared" si="40"/>
        <v>1C2</v>
      </c>
      <c r="C148" s="4" t="s">
        <v>566</v>
      </c>
      <c r="D148" s="29"/>
      <c r="F148" s="29"/>
      <c r="G148" s="24"/>
      <c r="H148" s="29"/>
      <c r="J148" s="4" t="s">
        <v>314</v>
      </c>
      <c r="L148" s="4" t="s">
        <v>292</v>
      </c>
      <c r="M148" s="14"/>
      <c r="O148" s="25" t="str" cm="1">
        <f t="array" ref="O148">BIN2HEX(IF(I148&lt;&gt;"",VLOOKUP(I148,Ops!$I$2:'Ops'!$J$15,2,FALSE),IF(ISNUMBER(SEARCH("BR",D148)),"001","000"))&amp;IF(D148&lt;&gt;"",VLOOKUP(D148,Ops!$B$2:'Ops'!$C$23,2,FALSE),"0")&amp;_xlfn.IFS(ISNUMBER(SEARCH("BR",D148)),VLOOKUP(D148,Ops!$B$3:'Ops'!$D$22,3,FALSE),F148&lt;&gt;"",VLOOKUP(F148,Ops!$R$2:'Ops'!$S$11,2),L148&lt;&gt;"",VLOOKUP(L148,Ops!$R$2:'Ops'!$S$25,2,FALSE),TRUE,"0000"),2)</f>
        <v>05</v>
      </c>
      <c r="P148" s="26" t="str">
        <f>RIGHT(IF($E148&lt;&gt;"",_xlfn.XLOOKUP($E148,$C$4:$C$681,$B$4:$B$681,"NO LABEL"),BIN2HEX(IF(N148="CarryEn","1","0")&amp;IF(M148="SubXY","1","0")&amp;IF(H148&lt;&gt;"",VLOOKUP(H148,Ops!$F$2:'Ops'!$G$20,2,FALSE),"000000"),2)),2)</f>
        <v>00</v>
      </c>
      <c r="Q148" s="26" t="str" cm="1">
        <f t="array" ref="Q148">BIN2HEX(_xlfn.IFS(D148="HWINTEN","10",G148="KeyAck","01",G148="InitLp8","01",TRUE,"00")&amp;IF(OR(Ops!$O$2:'Ops'!$O$13=K148),VLOOKUP(K148,Ops!$O$2:'Ops'!$P$13,2,FALSE),"000")&amp;IF(E148&lt;&gt;"",IF(LEN(_xlfn.XLOOKUP($E148,$C$5:$C$681,$B$5:$B$681,0))=3,HEX2BIN(LEFT(_xlfn.XLOOKUP($E148,$C$5:$C$681,$B$5:$B$681,0),1),3),IF(OR(Ops!$L$2:'Ops'!$L$11=J148),VLOOKUP(J148,Ops!$L$2:'Ops'!$M$11,2,FALSE),"000")),IF(OR(Ops!$L$2:'Ops'!$L$11=J148),VLOOKUP(J148,Ops!$L$2:'Ops'!$M$11,2,FALSE),"000")),2)</f>
        <v>06</v>
      </c>
      <c r="R148" s="27"/>
      <c r="S148" s="4" t="s">
        <v>578</v>
      </c>
      <c r="Z148" s="74" t="str">
        <f t="shared" si="37"/>
        <v>0x05,</v>
      </c>
      <c r="AA148" s="75" t="str">
        <f t="shared" si="38"/>
        <v>0x00,</v>
      </c>
      <c r="AB148" s="75" t="str">
        <f t="shared" si="39"/>
        <v>0x06,</v>
      </c>
      <c r="AC148" s="76"/>
    </row>
    <row r="149" spans="1:29" x14ac:dyDescent="0.3">
      <c r="A149" s="79">
        <f t="shared" si="13"/>
        <v>453</v>
      </c>
      <c r="B149" s="80" t="str">
        <f t="shared" si="40"/>
        <v>1C5</v>
      </c>
      <c r="D149" s="29"/>
      <c r="F149" s="29"/>
      <c r="G149" s="24"/>
      <c r="H149" s="29" t="s">
        <v>53</v>
      </c>
      <c r="I149" s="4" t="s">
        <v>478</v>
      </c>
      <c r="J149" s="4" t="s">
        <v>475</v>
      </c>
      <c r="M149" s="14"/>
      <c r="O149" s="25" t="str" cm="1">
        <f t="array" ref="O149">BIN2HEX(IF(I149&lt;&gt;"",VLOOKUP(I149,Ops!$I$2:'Ops'!$J$15,2,FALSE),IF(ISNUMBER(SEARCH("BR",D149)),"001","000"))&amp;IF(D149&lt;&gt;"",VLOOKUP(D149,Ops!$B$2:'Ops'!$C$23,2,FALSE),"0")&amp;_xlfn.IFS(ISNUMBER(SEARCH("BR",D149)),VLOOKUP(D149,Ops!$B$3:'Ops'!$D$22,3,FALSE),F149&lt;&gt;"",VLOOKUP(F149,Ops!$R$2:'Ops'!$S$11,2),L149&lt;&gt;"",VLOOKUP(L149,Ops!$R$2:'Ops'!$S$25,2,FALSE),TRUE,"0000"),2)</f>
        <v>20</v>
      </c>
      <c r="P149" s="26" t="str">
        <f>RIGHT(IF($E149&lt;&gt;"",_xlfn.XLOOKUP($E149,$C$4:$C$681,$B$4:$B$681,"NO LABEL"),BIN2HEX(IF(N149="CarryEn","1","0")&amp;IF(M149="SubXY","1","0")&amp;IF(H149&lt;&gt;"",VLOOKUP(H149,Ops!$F$2:'Ops'!$G$20,2,FALSE),"000000"),2)),2)</f>
        <v>01</v>
      </c>
      <c r="Q149" s="26" t="str" cm="1">
        <f t="array" ref="Q149">BIN2HEX(_xlfn.IFS(D149="HWINTEN","10",G149="KeyAck","01",G149="InitLp8","01",TRUE,"00")&amp;IF(OR(Ops!$O$2:'Ops'!$O$13=K149),VLOOKUP(K149,Ops!$O$2:'Ops'!$P$13,2,FALSE),"000")&amp;IF(E149&lt;&gt;"",IF(LEN(_xlfn.XLOOKUP($E149,$C$5:$C$681,$B$5:$B$681,0))=3,HEX2BIN(LEFT(_xlfn.XLOOKUP($E149,$C$5:$C$681,$B$5:$B$681,0),1),3),IF(OR(Ops!$L$2:'Ops'!$L$11=J149),VLOOKUP(J149,Ops!$L$2:'Ops'!$M$11,2,FALSE),"000")),IF(OR(Ops!$L$2:'Ops'!$L$11=J149),VLOOKUP(J149,Ops!$L$2:'Ops'!$M$11,2,FALSE),"000")),2)</f>
        <v>00</v>
      </c>
      <c r="R149" s="27"/>
      <c r="S149" s="4" t="s">
        <v>579</v>
      </c>
      <c r="Z149" s="74" t="str">
        <f t="shared" si="37"/>
        <v>0x20,</v>
      </c>
      <c r="AA149" s="75" t="str">
        <f t="shared" si="38"/>
        <v>0x01,</v>
      </c>
      <c r="AB149" s="75" t="str">
        <f t="shared" si="39"/>
        <v>0x00,</v>
      </c>
      <c r="AC149" s="76"/>
    </row>
    <row r="150" spans="1:29" x14ac:dyDescent="0.3">
      <c r="A150" s="79">
        <f t="shared" si="13"/>
        <v>456</v>
      </c>
      <c r="B150" s="80" t="str">
        <f t="shared" si="40"/>
        <v>1C8</v>
      </c>
      <c r="D150" s="29"/>
      <c r="F150" s="29"/>
      <c r="G150" s="24"/>
      <c r="H150" s="29" t="s">
        <v>486</v>
      </c>
      <c r="I150" s="4" t="s">
        <v>482</v>
      </c>
      <c r="J150" s="4" t="s">
        <v>191</v>
      </c>
      <c r="M150" s="14"/>
      <c r="O150" s="25" t="str" cm="1">
        <f t="array" ref="O150">BIN2HEX(IF(I150&lt;&gt;"",VLOOKUP(I150,Ops!$I$2:'Ops'!$J$15,2,FALSE),IF(ISNUMBER(SEARCH("BR",D150)),"001","000"))&amp;IF(D150&lt;&gt;"",VLOOKUP(D150,Ops!$B$2:'Ops'!$C$23,2,FALSE),"0")&amp;_xlfn.IFS(ISNUMBER(SEARCH("BR",D150)),VLOOKUP(D150,Ops!$B$3:'Ops'!$D$22,3,FALSE),F150&lt;&gt;"",VLOOKUP(F150,Ops!$R$2:'Ops'!$S$11,2),L150&lt;&gt;"",VLOOKUP(L150,Ops!$R$2:'Ops'!$S$25,2,FALSE),TRUE,"0000"),2)</f>
        <v>00</v>
      </c>
      <c r="P150" s="26" t="str">
        <f>RIGHT(IF($E150&lt;&gt;"",_xlfn.XLOOKUP($E150,$C$4:$C$681,$B$4:$B$681,"NO LABEL"),BIN2HEX(IF(N150="CarryEn","1","0")&amp;IF(M150="SubXY","1","0")&amp;IF(H150&lt;&gt;"",VLOOKUP(H150,Ops!$F$2:'Ops'!$G$20,2,FALSE),"000000"),2)),2)</f>
        <v>01</v>
      </c>
      <c r="Q150" s="26" t="str" cm="1">
        <f t="array" ref="Q150">BIN2HEX(_xlfn.IFS(D150="HWINTEN","10",G150="KeyAck","01",G150="InitLp8","01",TRUE,"00")&amp;IF(OR(Ops!$O$2:'Ops'!$O$13=K150),VLOOKUP(K150,Ops!$O$2:'Ops'!$P$13,2,FALSE),"000")&amp;IF(E150&lt;&gt;"",IF(LEN(_xlfn.XLOOKUP($E150,$C$5:$C$681,$B$5:$B$681,0))=3,HEX2BIN(LEFT(_xlfn.XLOOKUP($E150,$C$5:$C$681,$B$5:$B$681,0),1),3),IF(OR(Ops!$L$2:'Ops'!$L$11=J150),VLOOKUP(J150,Ops!$L$2:'Ops'!$M$11,2,FALSE),"000")),IF(OR(Ops!$L$2:'Ops'!$L$11=J150),VLOOKUP(J150,Ops!$L$2:'Ops'!$M$11,2,FALSE),"000")),2)</f>
        <v>00</v>
      </c>
      <c r="R150" s="27"/>
      <c r="Z150" s="74" t="str">
        <f t="shared" si="37"/>
        <v>0x00,</v>
      </c>
      <c r="AA150" s="75" t="str">
        <f t="shared" si="38"/>
        <v>0x01,</v>
      </c>
      <c r="AB150" s="75" t="str">
        <f t="shared" si="39"/>
        <v>0x00,</v>
      </c>
      <c r="AC150" s="76"/>
    </row>
    <row r="151" spans="1:29" x14ac:dyDescent="0.3">
      <c r="A151" s="79">
        <f t="shared" si="13"/>
        <v>459</v>
      </c>
      <c r="B151" s="80" t="str">
        <f t="shared" si="40"/>
        <v>1CB</v>
      </c>
      <c r="D151" s="29"/>
      <c r="F151" s="29"/>
      <c r="G151" s="24"/>
      <c r="H151" s="29" t="s">
        <v>486</v>
      </c>
      <c r="I151" s="4" t="s">
        <v>482</v>
      </c>
      <c r="J151" s="4" t="s">
        <v>191</v>
      </c>
      <c r="M151" s="14"/>
      <c r="O151" s="25" t="str" cm="1">
        <f t="array" ref="O151">BIN2HEX(IF(I151&lt;&gt;"",VLOOKUP(I151,Ops!$I$2:'Ops'!$J$15,2,FALSE),IF(ISNUMBER(SEARCH("BR",D151)),"001","000"))&amp;IF(D151&lt;&gt;"",VLOOKUP(D151,Ops!$B$2:'Ops'!$C$23,2,FALSE),"0")&amp;_xlfn.IFS(ISNUMBER(SEARCH("BR",D151)),VLOOKUP(D151,Ops!$B$3:'Ops'!$D$22,3,FALSE),F151&lt;&gt;"",VLOOKUP(F151,Ops!$R$2:'Ops'!$S$11,2),L151&lt;&gt;"",VLOOKUP(L151,Ops!$R$2:'Ops'!$S$25,2,FALSE),TRUE,"0000"),2)</f>
        <v>00</v>
      </c>
      <c r="P151" s="26" t="str">
        <f>RIGHT(IF($E151&lt;&gt;"",_xlfn.XLOOKUP($E151,$C$4:$C$681,$B$4:$B$681,"NO LABEL"),BIN2HEX(IF(N151="CarryEn","1","0")&amp;IF(M151="SubXY","1","0")&amp;IF(H151&lt;&gt;"",VLOOKUP(H151,Ops!$F$2:'Ops'!$G$20,2,FALSE),"000000"),2)),2)</f>
        <v>01</v>
      </c>
      <c r="Q151" s="26" t="str" cm="1">
        <f t="array" ref="Q151">BIN2HEX(_xlfn.IFS(D151="HWINTEN","10",G151="KeyAck","01",G151="InitLp8","01",TRUE,"00")&amp;IF(OR(Ops!$O$2:'Ops'!$O$13=K151),VLOOKUP(K151,Ops!$O$2:'Ops'!$P$13,2,FALSE),"000")&amp;IF(E151&lt;&gt;"",IF(LEN(_xlfn.XLOOKUP($E151,$C$5:$C$681,$B$5:$B$681,0))=3,HEX2BIN(LEFT(_xlfn.XLOOKUP($E151,$C$5:$C$681,$B$5:$B$681,0),1),3),IF(OR(Ops!$L$2:'Ops'!$L$11=J151),VLOOKUP(J151,Ops!$L$2:'Ops'!$M$11,2,FALSE),"000")),IF(OR(Ops!$L$2:'Ops'!$L$11=J151),VLOOKUP(J151,Ops!$L$2:'Ops'!$M$11,2,FALSE),"000")),2)</f>
        <v>00</v>
      </c>
      <c r="R151" s="27"/>
      <c r="Z151" s="74" t="str">
        <f t="shared" si="37"/>
        <v>0x00,</v>
      </c>
      <c r="AA151" s="75" t="str">
        <f t="shared" si="38"/>
        <v>0x01,</v>
      </c>
      <c r="AB151" s="75" t="str">
        <f t="shared" si="39"/>
        <v>0x00,</v>
      </c>
      <c r="AC151" s="76"/>
    </row>
    <row r="152" spans="1:29" x14ac:dyDescent="0.3">
      <c r="A152" s="79">
        <f t="shared" si="13"/>
        <v>462</v>
      </c>
      <c r="B152" s="80" t="str">
        <f t="shared" si="40"/>
        <v>1CE</v>
      </c>
      <c r="D152" s="29"/>
      <c r="F152" s="29"/>
      <c r="G152" s="24"/>
      <c r="H152" s="29" t="s">
        <v>486</v>
      </c>
      <c r="I152" s="4" t="s">
        <v>482</v>
      </c>
      <c r="J152" s="4" t="s">
        <v>191</v>
      </c>
      <c r="M152" s="14"/>
      <c r="O152" s="25" t="str" cm="1">
        <f t="array" ref="O152">BIN2HEX(IF(I152&lt;&gt;"",VLOOKUP(I152,Ops!$I$2:'Ops'!$J$15,2,FALSE),IF(ISNUMBER(SEARCH("BR",D152)),"001","000"))&amp;IF(D152&lt;&gt;"",VLOOKUP(D152,Ops!$B$2:'Ops'!$C$23,2,FALSE),"0")&amp;_xlfn.IFS(ISNUMBER(SEARCH("BR",D152)),VLOOKUP(D152,Ops!$B$3:'Ops'!$D$22,3,FALSE),F152&lt;&gt;"",VLOOKUP(F152,Ops!$R$2:'Ops'!$S$11,2),L152&lt;&gt;"",VLOOKUP(L152,Ops!$R$2:'Ops'!$S$25,2,FALSE),TRUE,"0000"),2)</f>
        <v>00</v>
      </c>
      <c r="P152" s="26" t="str">
        <f>RIGHT(IF($E152&lt;&gt;"",_xlfn.XLOOKUP($E152,$C$4:$C$681,$B$4:$B$681,"NO LABEL"),BIN2HEX(IF(N152="CarryEn","1","0")&amp;IF(M152="SubXY","1","0")&amp;IF(H152&lt;&gt;"",VLOOKUP(H152,Ops!$F$2:'Ops'!$G$20,2,FALSE),"000000"),2)),2)</f>
        <v>01</v>
      </c>
      <c r="Q152" s="26" t="str" cm="1">
        <f t="array" ref="Q152">BIN2HEX(_xlfn.IFS(D152="HWINTEN","10",G152="KeyAck","01",G152="InitLp8","01",TRUE,"00")&amp;IF(OR(Ops!$O$2:'Ops'!$O$13=K152),VLOOKUP(K152,Ops!$O$2:'Ops'!$P$13,2,FALSE),"000")&amp;IF(E152&lt;&gt;"",IF(LEN(_xlfn.XLOOKUP($E152,$C$5:$C$681,$B$5:$B$681,0))=3,HEX2BIN(LEFT(_xlfn.XLOOKUP($E152,$C$5:$C$681,$B$5:$B$681,0),1),3),IF(OR(Ops!$L$2:'Ops'!$L$11=J152),VLOOKUP(J152,Ops!$L$2:'Ops'!$M$11,2,FALSE),"000")),IF(OR(Ops!$L$2:'Ops'!$L$11=J152),VLOOKUP(J152,Ops!$L$2:'Ops'!$M$11,2,FALSE),"000")),2)</f>
        <v>00</v>
      </c>
      <c r="R152" s="27"/>
      <c r="Z152" s="74" t="str">
        <f t="shared" si="37"/>
        <v>0x00,</v>
      </c>
      <c r="AA152" s="75" t="str">
        <f t="shared" si="38"/>
        <v>0x01,</v>
      </c>
      <c r="AB152" s="75" t="str">
        <f t="shared" si="39"/>
        <v>0x00,</v>
      </c>
      <c r="AC152" s="76"/>
    </row>
    <row r="153" spans="1:29" x14ac:dyDescent="0.3">
      <c r="A153" s="79">
        <f t="shared" si="13"/>
        <v>465</v>
      </c>
      <c r="B153" s="80" t="str">
        <f t="shared" si="40"/>
        <v>1D1</v>
      </c>
      <c r="D153" s="29"/>
      <c r="F153" s="29"/>
      <c r="G153" s="24"/>
      <c r="H153" s="29" t="s">
        <v>486</v>
      </c>
      <c r="I153" s="4" t="s">
        <v>482</v>
      </c>
      <c r="J153" s="4" t="s">
        <v>191</v>
      </c>
      <c r="M153" s="14"/>
      <c r="O153" s="25" t="str" cm="1">
        <f t="array" ref="O153">BIN2HEX(IF(I153&lt;&gt;"",VLOOKUP(I153,Ops!$I$2:'Ops'!$J$15,2,FALSE),IF(ISNUMBER(SEARCH("BR",D153)),"001","000"))&amp;IF(D153&lt;&gt;"",VLOOKUP(D153,Ops!$B$2:'Ops'!$C$23,2,FALSE),"0")&amp;_xlfn.IFS(ISNUMBER(SEARCH("BR",D153)),VLOOKUP(D153,Ops!$B$3:'Ops'!$D$22,3,FALSE),F153&lt;&gt;"",VLOOKUP(F153,Ops!$R$2:'Ops'!$S$11,2),L153&lt;&gt;"",VLOOKUP(L153,Ops!$R$2:'Ops'!$S$25,2,FALSE),TRUE,"0000"),2)</f>
        <v>00</v>
      </c>
      <c r="P153" s="26" t="str">
        <f>RIGHT(IF($E153&lt;&gt;"",_xlfn.XLOOKUP($E153,$C$4:$C$681,$B$4:$B$681,"NO LABEL"),BIN2HEX(IF(N153="CarryEn","1","0")&amp;IF(M153="SubXY","1","0")&amp;IF(H153&lt;&gt;"",VLOOKUP(H153,Ops!$F$2:'Ops'!$G$20,2,FALSE),"000000"),2)),2)</f>
        <v>01</v>
      </c>
      <c r="Q153" s="26" t="str" cm="1">
        <f t="array" ref="Q153">BIN2HEX(_xlfn.IFS(D153="HWINTEN","10",G153="KeyAck","01",G153="InitLp8","01",TRUE,"00")&amp;IF(OR(Ops!$O$2:'Ops'!$O$13=K153),VLOOKUP(K153,Ops!$O$2:'Ops'!$P$13,2,FALSE),"000")&amp;IF(E153&lt;&gt;"",IF(LEN(_xlfn.XLOOKUP($E153,$C$5:$C$681,$B$5:$B$681,0))=3,HEX2BIN(LEFT(_xlfn.XLOOKUP($E153,$C$5:$C$681,$B$5:$B$681,0),1),3),IF(OR(Ops!$L$2:'Ops'!$L$11=J153),VLOOKUP(J153,Ops!$L$2:'Ops'!$M$11,2,FALSE),"000")),IF(OR(Ops!$L$2:'Ops'!$L$11=J153),VLOOKUP(J153,Ops!$L$2:'Ops'!$M$11,2,FALSE),"000")),2)</f>
        <v>00</v>
      </c>
      <c r="R153" s="27"/>
      <c r="Z153" s="74" t="str">
        <f t="shared" si="37"/>
        <v>0x00,</v>
      </c>
      <c r="AA153" s="75" t="str">
        <f t="shared" si="38"/>
        <v>0x01,</v>
      </c>
      <c r="AB153" s="75" t="str">
        <f t="shared" si="39"/>
        <v>0x00,</v>
      </c>
      <c r="AC153" s="76"/>
    </row>
    <row r="154" spans="1:29" x14ac:dyDescent="0.3">
      <c r="A154" s="79">
        <f t="shared" si="13"/>
        <v>468</v>
      </c>
      <c r="B154" s="80" t="str">
        <f t="shared" si="40"/>
        <v>1D4</v>
      </c>
      <c r="D154" s="29"/>
      <c r="F154" s="29"/>
      <c r="G154" s="24"/>
      <c r="H154" s="29" t="s">
        <v>486</v>
      </c>
      <c r="I154" s="4" t="s">
        <v>482</v>
      </c>
      <c r="J154" s="4" t="s">
        <v>191</v>
      </c>
      <c r="M154" s="14"/>
      <c r="O154" s="25" t="str" cm="1">
        <f t="array" ref="O154">BIN2HEX(IF(I154&lt;&gt;"",VLOOKUP(I154,Ops!$I$2:'Ops'!$J$15,2,FALSE),IF(ISNUMBER(SEARCH("BR",D154)),"001","000"))&amp;IF(D154&lt;&gt;"",VLOOKUP(D154,Ops!$B$2:'Ops'!$C$23,2,FALSE),"0")&amp;_xlfn.IFS(ISNUMBER(SEARCH("BR",D154)),VLOOKUP(D154,Ops!$B$3:'Ops'!$D$22,3,FALSE),F154&lt;&gt;"",VLOOKUP(F154,Ops!$R$2:'Ops'!$S$11,2),L154&lt;&gt;"",VLOOKUP(L154,Ops!$R$2:'Ops'!$S$25,2,FALSE),TRUE,"0000"),2)</f>
        <v>00</v>
      </c>
      <c r="P154" s="26" t="str">
        <f>RIGHT(IF($E154&lt;&gt;"",_xlfn.XLOOKUP($E154,$C$4:$C$681,$B$4:$B$681,"NO LABEL"),BIN2HEX(IF(N154="CarryEn","1","0")&amp;IF(M154="SubXY","1","0")&amp;IF(H154&lt;&gt;"",VLOOKUP(H154,Ops!$F$2:'Ops'!$G$20,2,FALSE),"000000"),2)),2)</f>
        <v>01</v>
      </c>
      <c r="Q154" s="26" t="str" cm="1">
        <f t="array" ref="Q154">BIN2HEX(_xlfn.IFS(D154="HWINTEN","10",G154="KeyAck","01",G154="InitLp8","01",TRUE,"00")&amp;IF(OR(Ops!$O$2:'Ops'!$O$13=K154),VLOOKUP(K154,Ops!$O$2:'Ops'!$P$13,2,FALSE),"000")&amp;IF(E154&lt;&gt;"",IF(LEN(_xlfn.XLOOKUP($E154,$C$5:$C$681,$B$5:$B$681,0))=3,HEX2BIN(LEFT(_xlfn.XLOOKUP($E154,$C$5:$C$681,$B$5:$B$681,0),1),3),IF(OR(Ops!$L$2:'Ops'!$L$11=J154),VLOOKUP(J154,Ops!$L$2:'Ops'!$M$11,2,FALSE),"000")),IF(OR(Ops!$L$2:'Ops'!$L$11=J154),VLOOKUP(J154,Ops!$L$2:'Ops'!$M$11,2,FALSE),"000")),2)</f>
        <v>00</v>
      </c>
      <c r="R154" s="27"/>
      <c r="Z154" s="74" t="str">
        <f t="shared" si="37"/>
        <v>0x00,</v>
      </c>
      <c r="AA154" s="75" t="str">
        <f t="shared" si="38"/>
        <v>0x01,</v>
      </c>
      <c r="AB154" s="75" t="str">
        <f t="shared" si="39"/>
        <v>0x00,</v>
      </c>
      <c r="AC154" s="76"/>
    </row>
    <row r="155" spans="1:29" x14ac:dyDescent="0.3">
      <c r="A155" s="79">
        <f t="shared" si="13"/>
        <v>471</v>
      </c>
      <c r="B155" s="80" t="str">
        <f t="shared" si="40"/>
        <v>1D7</v>
      </c>
      <c r="D155" s="29"/>
      <c r="F155" s="29"/>
      <c r="G155" s="24"/>
      <c r="H155" s="29" t="s">
        <v>486</v>
      </c>
      <c r="I155" s="4" t="s">
        <v>482</v>
      </c>
      <c r="J155" s="4" t="s">
        <v>191</v>
      </c>
      <c r="M155" s="14"/>
      <c r="O155" s="25" t="str" cm="1">
        <f t="array" ref="O155">BIN2HEX(IF(I155&lt;&gt;"",VLOOKUP(I155,Ops!$I$2:'Ops'!$J$15,2,FALSE),IF(ISNUMBER(SEARCH("BR",D155)),"001","000"))&amp;IF(D155&lt;&gt;"",VLOOKUP(D155,Ops!$B$2:'Ops'!$C$23,2,FALSE),"0")&amp;_xlfn.IFS(ISNUMBER(SEARCH("BR",D155)),VLOOKUP(D155,Ops!$B$3:'Ops'!$D$22,3,FALSE),F155&lt;&gt;"",VLOOKUP(F155,Ops!$R$2:'Ops'!$S$11,2),L155&lt;&gt;"",VLOOKUP(L155,Ops!$R$2:'Ops'!$S$25,2,FALSE),TRUE,"0000"),2)</f>
        <v>00</v>
      </c>
      <c r="P155" s="26" t="str">
        <f>RIGHT(IF($E155&lt;&gt;"",_xlfn.XLOOKUP($E155,$C$4:$C$681,$B$4:$B$681,"NO LABEL"),BIN2HEX(IF(N155="CarryEn","1","0")&amp;IF(M155="SubXY","1","0")&amp;IF(H155&lt;&gt;"",VLOOKUP(H155,Ops!$F$2:'Ops'!$G$20,2,FALSE),"000000"),2)),2)</f>
        <v>01</v>
      </c>
      <c r="Q155" s="26" t="str" cm="1">
        <f t="array" ref="Q155">BIN2HEX(_xlfn.IFS(D155="HWINTEN","10",G155="KeyAck","01",G155="InitLp8","01",TRUE,"00")&amp;IF(OR(Ops!$O$2:'Ops'!$O$13=K155),VLOOKUP(K155,Ops!$O$2:'Ops'!$P$13,2,FALSE),"000")&amp;IF(E155&lt;&gt;"",IF(LEN(_xlfn.XLOOKUP($E155,$C$5:$C$681,$B$5:$B$681,0))=3,HEX2BIN(LEFT(_xlfn.XLOOKUP($E155,$C$5:$C$681,$B$5:$B$681,0),1),3),IF(OR(Ops!$L$2:'Ops'!$L$11=J155),VLOOKUP(J155,Ops!$L$2:'Ops'!$M$11,2,FALSE),"000")),IF(OR(Ops!$L$2:'Ops'!$L$11=J155),VLOOKUP(J155,Ops!$L$2:'Ops'!$M$11,2,FALSE),"000")),2)</f>
        <v>00</v>
      </c>
      <c r="R155" s="27"/>
      <c r="Z155" s="74" t="str">
        <f t="shared" si="37"/>
        <v>0x00,</v>
      </c>
      <c r="AA155" s="75" t="str">
        <f t="shared" si="38"/>
        <v>0x01,</v>
      </c>
      <c r="AB155" s="75" t="str">
        <f t="shared" si="39"/>
        <v>0x00,</v>
      </c>
      <c r="AC155" s="76"/>
    </row>
    <row r="156" spans="1:29" x14ac:dyDescent="0.3">
      <c r="A156" s="79">
        <f t="shared" si="13"/>
        <v>474</v>
      </c>
      <c r="B156" s="80" t="str">
        <f t="shared" si="40"/>
        <v>1DA</v>
      </c>
      <c r="D156" s="29"/>
      <c r="F156" s="29"/>
      <c r="G156" s="24"/>
      <c r="H156" s="29" t="s">
        <v>486</v>
      </c>
      <c r="I156" s="4" t="s">
        <v>482</v>
      </c>
      <c r="J156" s="4" t="s">
        <v>191</v>
      </c>
      <c r="M156" s="14"/>
      <c r="O156" s="25" t="str" cm="1">
        <f t="array" ref="O156">BIN2HEX(IF(I156&lt;&gt;"",VLOOKUP(I156,Ops!$I$2:'Ops'!$J$15,2,FALSE),IF(ISNUMBER(SEARCH("BR",D156)),"001","000"))&amp;IF(D156&lt;&gt;"",VLOOKUP(D156,Ops!$B$2:'Ops'!$C$23,2,FALSE),"0")&amp;_xlfn.IFS(ISNUMBER(SEARCH("BR",D156)),VLOOKUP(D156,Ops!$B$3:'Ops'!$D$22,3,FALSE),F156&lt;&gt;"",VLOOKUP(F156,Ops!$R$2:'Ops'!$S$11,2),L156&lt;&gt;"",VLOOKUP(L156,Ops!$R$2:'Ops'!$S$25,2,FALSE),TRUE,"0000"),2)</f>
        <v>00</v>
      </c>
      <c r="P156" s="26" t="str">
        <f>RIGHT(IF($E156&lt;&gt;"",_xlfn.XLOOKUP($E156,$C$4:$C$681,$B$4:$B$681,"NO LABEL"),BIN2HEX(IF(N156="CarryEn","1","0")&amp;IF(M156="SubXY","1","0")&amp;IF(H156&lt;&gt;"",VLOOKUP(H156,Ops!$F$2:'Ops'!$G$20,2,FALSE),"000000"),2)),2)</f>
        <v>01</v>
      </c>
      <c r="Q156" s="26" t="str" cm="1">
        <f t="array" ref="Q156">BIN2HEX(_xlfn.IFS(D156="HWINTEN","10",G156="KeyAck","01",G156="InitLp8","01",TRUE,"00")&amp;IF(OR(Ops!$O$2:'Ops'!$O$13=K156),VLOOKUP(K156,Ops!$O$2:'Ops'!$P$13,2,FALSE),"000")&amp;IF(E156&lt;&gt;"",IF(LEN(_xlfn.XLOOKUP($E156,$C$5:$C$681,$B$5:$B$681,0))=3,HEX2BIN(LEFT(_xlfn.XLOOKUP($E156,$C$5:$C$681,$B$5:$B$681,0),1),3),IF(OR(Ops!$L$2:'Ops'!$L$11=J156),VLOOKUP(J156,Ops!$L$2:'Ops'!$M$11,2,FALSE),"000")),IF(OR(Ops!$L$2:'Ops'!$L$11=J156),VLOOKUP(J156,Ops!$L$2:'Ops'!$M$11,2,FALSE),"000")),2)</f>
        <v>00</v>
      </c>
      <c r="R156" s="27"/>
      <c r="Z156" s="74" t="str">
        <f t="shared" si="37"/>
        <v>0x00,</v>
      </c>
      <c r="AA156" s="75" t="str">
        <f t="shared" si="38"/>
        <v>0x01,</v>
      </c>
      <c r="AB156" s="75" t="str">
        <f t="shared" si="39"/>
        <v>0x00,</v>
      </c>
      <c r="AC156" s="76"/>
    </row>
    <row r="157" spans="1:29" x14ac:dyDescent="0.3">
      <c r="A157" s="79">
        <f t="shared" si="13"/>
        <v>477</v>
      </c>
      <c r="B157" s="80" t="str">
        <f t="shared" si="40"/>
        <v>1DD</v>
      </c>
      <c r="D157" s="29"/>
      <c r="F157" s="29"/>
      <c r="G157" s="24"/>
      <c r="H157" s="29"/>
      <c r="I157" s="4" t="s">
        <v>290</v>
      </c>
      <c r="K157" s="4" t="s">
        <v>480</v>
      </c>
      <c r="M157" s="14"/>
      <c r="O157" s="25" t="str" cm="1">
        <f t="array" ref="O157">BIN2HEX(IF(I157&lt;&gt;"",VLOOKUP(I157,Ops!$I$2:'Ops'!$J$15,2,FALSE),IF(ISNUMBER(SEARCH("BR",D157)),"001","000"))&amp;IF(D157&lt;&gt;"",VLOOKUP(D157,Ops!$B$2:'Ops'!$C$23,2,FALSE),"0")&amp;_xlfn.IFS(ISNUMBER(SEARCH("BR",D157)),VLOOKUP(D157,Ops!$B$3:'Ops'!$D$22,3,FALSE),F157&lt;&gt;"",VLOOKUP(F157,Ops!$R$2:'Ops'!$S$11,2),L157&lt;&gt;"",VLOOKUP(L157,Ops!$R$2:'Ops'!$S$25,2,FALSE),TRUE,"0000"),2)</f>
        <v>40</v>
      </c>
      <c r="P157" s="26" t="str">
        <f>RIGHT(IF($E157&lt;&gt;"",_xlfn.XLOOKUP($E157,$C$4:$C$681,$B$4:$B$681,"NO LABEL"),BIN2HEX(IF(N157="CarryEn","1","0")&amp;IF(M157="SubXY","1","0")&amp;IF(H157&lt;&gt;"",VLOOKUP(H157,Ops!$F$2:'Ops'!$G$20,2,FALSE),"000000"),2)),2)</f>
        <v>00</v>
      </c>
      <c r="Q157" s="26" t="str" cm="1">
        <f t="array" ref="Q157">BIN2HEX(_xlfn.IFS(D157="HWINTEN","10",G157="KeyAck","01",G157="InitLp8","01",TRUE,"00")&amp;IF(OR(Ops!$O$2:'Ops'!$O$13=K157),VLOOKUP(K157,Ops!$O$2:'Ops'!$P$13,2,FALSE),"000")&amp;IF(E157&lt;&gt;"",IF(LEN(_xlfn.XLOOKUP($E157,$C$5:$C$681,$B$5:$B$681,0))=3,HEX2BIN(LEFT(_xlfn.XLOOKUP($E157,$C$5:$C$681,$B$5:$B$681,0),1),3),IF(OR(Ops!$L$2:'Ops'!$L$11=J157),VLOOKUP(J157,Ops!$L$2:'Ops'!$M$11,2,FALSE),"000")),IF(OR(Ops!$L$2:'Ops'!$L$11=J157),VLOOKUP(J157,Ops!$L$2:'Ops'!$M$11,2,FALSE),"000")),2)</f>
        <v>00</v>
      </c>
      <c r="R157" s="27"/>
      <c r="Z157" s="74" t="str">
        <f t="shared" si="37"/>
        <v>0x40,</v>
      </c>
      <c r="AA157" s="75" t="str">
        <f t="shared" si="38"/>
        <v>0x00,</v>
      </c>
      <c r="AB157" s="75" t="str">
        <f t="shared" si="39"/>
        <v>0x00,</v>
      </c>
      <c r="AC157" s="76"/>
    </row>
    <row r="158" spans="1:29" x14ac:dyDescent="0.3">
      <c r="A158" s="79">
        <f t="shared" si="13"/>
        <v>480</v>
      </c>
      <c r="B158" s="80" t="str">
        <f t="shared" si="40"/>
        <v>1E0</v>
      </c>
      <c r="C158" s="4" t="s">
        <v>567</v>
      </c>
      <c r="D158" s="29"/>
      <c r="F158" s="29"/>
      <c r="G158" s="24"/>
      <c r="H158" s="29"/>
      <c r="J158" s="4" t="s">
        <v>314</v>
      </c>
      <c r="K158" s="4" t="s">
        <v>313</v>
      </c>
      <c r="L158" s="4" t="s">
        <v>180</v>
      </c>
      <c r="M158" s="14"/>
      <c r="O158" s="25" t="str" cm="1">
        <f t="array" ref="O158">BIN2HEX(IF(I158&lt;&gt;"",VLOOKUP(I158,Ops!$I$2:'Ops'!$J$15,2,FALSE),IF(ISNUMBER(SEARCH("BR",D158)),"001","000"))&amp;IF(D158&lt;&gt;"",VLOOKUP(D158,Ops!$B$2:'Ops'!$C$23,2,FALSE),"0")&amp;_xlfn.IFS(ISNUMBER(SEARCH("BR",D158)),VLOOKUP(D158,Ops!$B$3:'Ops'!$D$22,3,FALSE),F158&lt;&gt;"",VLOOKUP(F158,Ops!$R$2:'Ops'!$S$11,2),L158&lt;&gt;"",VLOOKUP(L158,Ops!$R$2:'Ops'!$S$25,2,FALSE),TRUE,"0000"),2)</f>
        <v>01</v>
      </c>
      <c r="P158" s="26" t="str">
        <f>RIGHT(IF($E158&lt;&gt;"",_xlfn.XLOOKUP($E158,$C$4:$C$681,$B$4:$B$681,"NO LABEL"),BIN2HEX(IF(N158="CarryEn","1","0")&amp;IF(M158="SubXY","1","0")&amp;IF(H158&lt;&gt;"",VLOOKUP(H158,Ops!$F$2:'Ops'!$G$20,2,FALSE),"000000"),2)),2)</f>
        <v>00</v>
      </c>
      <c r="Q158" s="26" t="str" cm="1">
        <f t="array" ref="Q158">BIN2HEX(_xlfn.IFS(D158="HWINTEN","10",G158="KeyAck","01",G158="InitLp8","01",TRUE,"00")&amp;IF(OR(Ops!$O$2:'Ops'!$O$13=K158),VLOOKUP(K158,Ops!$O$2:'Ops'!$P$13,2,FALSE),"000")&amp;IF(E158&lt;&gt;"",IF(LEN(_xlfn.XLOOKUP($E158,$C$5:$C$681,$B$5:$B$681,0))=3,HEX2BIN(LEFT(_xlfn.XLOOKUP($E158,$C$5:$C$681,$B$5:$B$681,0),1),3),IF(OR(Ops!$L$2:'Ops'!$L$11=J158),VLOOKUP(J158,Ops!$L$2:'Ops'!$M$11,2,FALSE),"000")),IF(OR(Ops!$L$2:'Ops'!$L$11=J158),VLOOKUP(J158,Ops!$L$2:'Ops'!$M$11,2,FALSE),"000")),2)</f>
        <v>36</v>
      </c>
      <c r="R158" s="27"/>
      <c r="S158" s="4" t="s">
        <v>553</v>
      </c>
      <c r="Z158" s="74" t="str">
        <f t="shared" si="37"/>
        <v>0x01,</v>
      </c>
      <c r="AA158" s="75" t="str">
        <f t="shared" si="38"/>
        <v>0x00,</v>
      </c>
      <c r="AB158" s="75" t="str">
        <f t="shared" si="39"/>
        <v>0x36,</v>
      </c>
      <c r="AC158" s="76"/>
    </row>
    <row r="159" spans="1:29" x14ac:dyDescent="0.3">
      <c r="A159" s="79">
        <f t="shared" si="13"/>
        <v>483</v>
      </c>
      <c r="B159" s="80" t="str">
        <f>DEC2HEX(A159)</f>
        <v>1E3</v>
      </c>
      <c r="C159" s="12"/>
      <c r="D159" s="29" t="s">
        <v>183</v>
      </c>
      <c r="E159" s="4" t="s">
        <v>185</v>
      </c>
      <c r="F159" s="29"/>
      <c r="G159" s="24"/>
      <c r="H159" s="29"/>
      <c r="M159" s="14"/>
      <c r="O159" s="25" t="str" cm="1">
        <f t="array" ref="O159">BIN2HEX(IF(I159&lt;&gt;"",VLOOKUP(I159,Ops!$I$2:'Ops'!$J$15,2,FALSE),IF(ISNUMBER(SEARCH("BR",D159)),"001","000"))&amp;IF(D159&lt;&gt;"",VLOOKUP(D159,Ops!$B$2:'Ops'!$C$23,2,FALSE),"0")&amp;_xlfn.IFS(ISNUMBER(SEARCH("BR",D159)),VLOOKUP(D159,Ops!$B$3:'Ops'!$D$22,3,FALSE),F159&lt;&gt;"",VLOOKUP(F159,Ops!$R$2:'Ops'!$S$11,2),L159&lt;&gt;"",VLOOKUP(L159,Ops!$R$2:'Ops'!$S$25,2,FALSE),TRUE,"0000"),2)</f>
        <v>37</v>
      </c>
      <c r="P159" s="26" t="str">
        <f>RIGHT(IF($E159&lt;&gt;"",_xlfn.XLOOKUP($E159,$C$4:$C$681,$B$4:$B$681,"NO LABEL"),BIN2HEX(IF(N159="CarryEn","1","0")&amp;IF(M159="SubXY","1","0")&amp;IF(H159&lt;&gt;"",VLOOKUP(H159,Ops!$F$2:'Ops'!$G$20,2,FALSE),"000000"),2)),2)</f>
        <v>EF</v>
      </c>
      <c r="Q159" s="26" t="str" cm="1">
        <f t="array" ref="Q159">BIN2HEX(_xlfn.IFS(D159="HWINTEN","10",G159="KeyAck","01",G159="InitLp8","01",TRUE,"00")&amp;IF(OR(Ops!$O$2:'Ops'!$O$13=K159),VLOOKUP(K159,Ops!$O$2:'Ops'!$P$13,2,FALSE),"000")&amp;IF(E159&lt;&gt;"",IF(LEN(_xlfn.XLOOKUP($E159,$C$5:$C$681,$B$5:$B$681,0))=3,HEX2BIN(LEFT(_xlfn.XLOOKUP($E159,$C$5:$C$681,$B$5:$B$681,0),1),3),IF(OR(Ops!$L$2:'Ops'!$L$11=J159),VLOOKUP(J159,Ops!$L$2:'Ops'!$M$11,2,FALSE),"000")),IF(OR(Ops!$L$2:'Ops'!$L$11=J159),VLOOKUP(J159,Ops!$L$2:'Ops'!$M$11,2,FALSE),"000")),2)</f>
        <v>01</v>
      </c>
      <c r="R159" s="27"/>
      <c r="S159" s="4" t="s">
        <v>383</v>
      </c>
      <c r="Z159" s="74" t="str">
        <f t="shared" ref="Z159:Z172" si="41">IF(O159="", "};", "0x"&amp;O159&amp;",")</f>
        <v>0x37,</v>
      </c>
      <c r="AA159" s="75" t="str">
        <f t="shared" ref="AA159:AA172" si="42">"0x"&amp;P159&amp;","</f>
        <v>0xEF,</v>
      </c>
      <c r="AB159" s="75" t="str">
        <f t="shared" ref="AB159:AB172" si="43">"0x"&amp;Q159&amp;","</f>
        <v>0x01,</v>
      </c>
      <c r="AC159" s="76"/>
    </row>
    <row r="160" spans="1:29" x14ac:dyDescent="0.3">
      <c r="A160" s="79">
        <f t="shared" si="13"/>
        <v>486</v>
      </c>
      <c r="B160" s="80" t="str">
        <f t="shared" si="33"/>
        <v>1E6</v>
      </c>
      <c r="C160" s="12"/>
      <c r="D160" s="29"/>
      <c r="F160" s="29"/>
      <c r="G160" s="24"/>
      <c r="H160" s="29"/>
      <c r="J160" s="4" t="s">
        <v>314</v>
      </c>
      <c r="K160" s="4" t="s">
        <v>313</v>
      </c>
      <c r="L160" s="4" t="s">
        <v>181</v>
      </c>
      <c r="M160" s="14"/>
      <c r="O160" s="25" t="str" cm="1">
        <f t="array" ref="O160">BIN2HEX(IF(I160&lt;&gt;"",VLOOKUP(I160,Ops!$I$2:'Ops'!$J$15,2,FALSE),IF(ISNUMBER(SEARCH("BR",D160)),"001","000"))&amp;IF(D160&lt;&gt;"",VLOOKUP(D160,Ops!$B$2:'Ops'!$C$23,2,FALSE),"0")&amp;_xlfn.IFS(ISNUMBER(SEARCH("BR",D160)),VLOOKUP(D160,Ops!$B$3:'Ops'!$D$22,3,FALSE),F160&lt;&gt;"",VLOOKUP(F160,Ops!$R$2:'Ops'!$S$11,2),L160&lt;&gt;"",VLOOKUP(L160,Ops!$R$2:'Ops'!$S$25,2,FALSE),TRUE,"0000"),2)</f>
        <v>02</v>
      </c>
      <c r="P160" s="26" t="str">
        <f>RIGHT(IF($E160&lt;&gt;"",_xlfn.XLOOKUP($E160,$C$4:$C$681,$B$4:$B$681,"NO LABEL"),BIN2HEX(IF(N160="CarryEn","1","0")&amp;IF(M160="SubXY","1","0")&amp;IF(H160&lt;&gt;"",VLOOKUP(H160,Ops!$F$2:'Ops'!$G$20,2,FALSE),"000000"),2)),2)</f>
        <v>00</v>
      </c>
      <c r="Q160" s="26" t="str" cm="1">
        <f t="array" ref="Q160">BIN2HEX(_xlfn.IFS(D160="HWINTEN","10",G160="KeyAck","01",G160="InitLp8","01",TRUE,"00")&amp;IF(OR(Ops!$O$2:'Ops'!$O$13=K160),VLOOKUP(K160,Ops!$O$2:'Ops'!$P$13,2,FALSE),"000")&amp;IF(E160&lt;&gt;"",IF(LEN(_xlfn.XLOOKUP($E160,$C$5:$C$681,$B$5:$B$681,0))=3,HEX2BIN(LEFT(_xlfn.XLOOKUP($E160,$C$5:$C$681,$B$5:$B$681,0),1),3),IF(OR(Ops!$L$2:'Ops'!$L$11=J160),VLOOKUP(J160,Ops!$L$2:'Ops'!$M$11,2,FALSE),"000")),IF(OR(Ops!$L$2:'Ops'!$L$11=J160),VLOOKUP(J160,Ops!$L$2:'Ops'!$M$11,2,FALSE),"000")),2)</f>
        <v>36</v>
      </c>
      <c r="R160" s="27"/>
      <c r="S160" s="4" t="s">
        <v>384</v>
      </c>
      <c r="Z160" s="74" t="str">
        <f t="shared" si="41"/>
        <v>0x02,</v>
      </c>
      <c r="AA160" s="75" t="str">
        <f t="shared" si="42"/>
        <v>0x00,</v>
      </c>
      <c r="AB160" s="75" t="str">
        <f t="shared" si="43"/>
        <v>0x36,</v>
      </c>
      <c r="AC160" s="76"/>
    </row>
    <row r="161" spans="1:29" x14ac:dyDescent="0.3">
      <c r="A161" s="79">
        <f t="shared" si="13"/>
        <v>489</v>
      </c>
      <c r="B161" s="80" t="str">
        <f t="shared" si="33"/>
        <v>1E9</v>
      </c>
      <c r="C161" s="12"/>
      <c r="D161" s="29"/>
      <c r="F161" s="29"/>
      <c r="G161" s="24"/>
      <c r="H161" s="29"/>
      <c r="J161" s="4" t="s">
        <v>421</v>
      </c>
      <c r="K161" s="4" t="s">
        <v>422</v>
      </c>
      <c r="L161" s="4" t="s">
        <v>427</v>
      </c>
      <c r="M161" s="14"/>
      <c r="O161" s="25" t="str" cm="1">
        <f t="array" ref="O161">BIN2HEX(IF(I161&lt;&gt;"",VLOOKUP(I161,Ops!$I$2:'Ops'!$J$15,2,FALSE),IF(ISNUMBER(SEARCH("BR",D161)),"001","000"))&amp;IF(D161&lt;&gt;"",VLOOKUP(D161,Ops!$B$2:'Ops'!$C$23,2,FALSE),"0")&amp;_xlfn.IFS(ISNUMBER(SEARCH("BR",D161)),VLOOKUP(D161,Ops!$B$3:'Ops'!$D$22,3,FALSE),F161&lt;&gt;"",VLOOKUP(F161,Ops!$R$2:'Ops'!$S$11,2),L161&lt;&gt;"",VLOOKUP(L161,Ops!$R$2:'Ops'!$S$25,2,FALSE),TRUE,"0000"),2)</f>
        <v>02</v>
      </c>
      <c r="P161" s="26" t="str">
        <f>RIGHT(IF($E161&lt;&gt;"",_xlfn.XLOOKUP($E161,$C$4:$C$681,$B$4:$B$681,"NO LABEL"),BIN2HEX(IF(N161="CarryEn","1","0")&amp;IF(M161="SubXY","1","0")&amp;IF(H161&lt;&gt;"",VLOOKUP(H161,Ops!$F$2:'Ops'!$G$20,2,FALSE),"000000"),2)),2)</f>
        <v>00</v>
      </c>
      <c r="Q161" s="26" t="str" cm="1">
        <f t="array" ref="Q161">BIN2HEX(_xlfn.IFS(D161="HWINTEN","10",G161="KeyAck","01",G161="InitLp8","01",TRUE,"00")&amp;IF(OR(Ops!$O$2:'Ops'!$O$13=K161),VLOOKUP(K161,Ops!$O$2:'Ops'!$P$13,2,FALSE),"000")&amp;IF(E161&lt;&gt;"",IF(LEN(_xlfn.XLOOKUP($E161,$C$5:$C$681,$B$5:$B$681,0))=3,HEX2BIN(LEFT(_xlfn.XLOOKUP($E161,$C$5:$C$681,$B$5:$B$681,0),1),3),IF(OR(Ops!$L$2:'Ops'!$L$11=J161),VLOOKUP(J161,Ops!$L$2:'Ops'!$M$11,2,FALSE),"000")),IF(OR(Ops!$L$2:'Ops'!$L$11=J161),VLOOKUP(J161,Ops!$L$2:'Ops'!$M$11,2,FALSE),"000")),2)</f>
        <v>1B</v>
      </c>
      <c r="R161" s="27"/>
      <c r="S161" s="4" t="s">
        <v>385</v>
      </c>
      <c r="Z161" s="74" t="str">
        <f t="shared" si="41"/>
        <v>0x02,</v>
      </c>
      <c r="AA161" s="75" t="str">
        <f t="shared" si="42"/>
        <v>0x00,</v>
      </c>
      <c r="AB161" s="75" t="str">
        <f t="shared" si="43"/>
        <v>0x1B,</v>
      </c>
      <c r="AC161" s="76"/>
    </row>
    <row r="162" spans="1:29" x14ac:dyDescent="0.3">
      <c r="A162" s="79">
        <f t="shared" si="13"/>
        <v>492</v>
      </c>
      <c r="B162" s="80" t="str">
        <f t="shared" si="33"/>
        <v>1EC</v>
      </c>
      <c r="C162" s="12"/>
      <c r="D162" s="29" t="s">
        <v>0</v>
      </c>
      <c r="E162" s="4" t="s">
        <v>1</v>
      </c>
      <c r="F162" s="29"/>
      <c r="G162" s="24"/>
      <c r="H162" s="29"/>
      <c r="M162" s="14"/>
      <c r="O162" s="25" t="str" cm="1">
        <f t="array" ref="O162">BIN2HEX(IF(I162&lt;&gt;"",VLOOKUP(I162,Ops!$I$2:'Ops'!$J$15,2,FALSE),IF(ISNUMBER(SEARCH("BR",D162)),"001","000"))&amp;IF(D162&lt;&gt;"",VLOOKUP(D162,Ops!$B$2:'Ops'!$C$23,2,FALSE),"0")&amp;_xlfn.IFS(ISNUMBER(SEARCH("BR",D162)),VLOOKUP(D162,Ops!$B$3:'Ops'!$D$22,3,FALSE),F162&lt;&gt;"",VLOOKUP(F162,Ops!$R$2:'Ops'!$S$11,2),L162&lt;&gt;"",VLOOKUP(L162,Ops!$R$2:'Ops'!$S$25,2,FALSE),TRUE,"0000"),2)</f>
        <v>10</v>
      </c>
      <c r="P162" s="26" t="str">
        <f>RIGHT(IF($E162&lt;&gt;"",_xlfn.XLOOKUP($E162,$C$4:$C$681,$B$4:$B$681,"NO LABEL"),BIN2HEX(IF(N162="CarryEn","1","0")&amp;IF(M162="SubXY","1","0")&amp;IF(H162&lt;&gt;"",VLOOKUP(H162,Ops!$F$2:'Ops'!$G$20,2,FALSE),"000000"),2)),2)</f>
        <v>60</v>
      </c>
      <c r="Q162" s="26" t="str" cm="1">
        <f t="array" ref="Q162">BIN2HEX(_xlfn.IFS(D162="HWINTEN","10",G162="KeyAck","01",G162="InitLp8","01",TRUE,"00")&amp;IF(OR(Ops!$O$2:'Ops'!$O$13=K162),VLOOKUP(K162,Ops!$O$2:'Ops'!$P$13,2,FALSE),"000")&amp;IF(E162&lt;&gt;"",IF(LEN(_xlfn.XLOOKUP($E162,$C$5:$C$681,$B$5:$B$681,0))=3,HEX2BIN(LEFT(_xlfn.XLOOKUP($E162,$C$5:$C$681,$B$5:$B$681,0),1),3),IF(OR(Ops!$L$2:'Ops'!$L$11=J162),VLOOKUP(J162,Ops!$L$2:'Ops'!$M$11,2,FALSE),"000")),IF(OR(Ops!$L$2:'Ops'!$L$11=J162),VLOOKUP(J162,Ops!$L$2:'Ops'!$M$11,2,FALSE),"000")),2)</f>
        <v>00</v>
      </c>
      <c r="R162" s="27"/>
      <c r="S162" s="4" t="s">
        <v>190</v>
      </c>
      <c r="Z162" s="74" t="str">
        <f t="shared" si="41"/>
        <v>0x10,</v>
      </c>
      <c r="AA162" s="75" t="str">
        <f t="shared" si="42"/>
        <v>0x60,</v>
      </c>
      <c r="AB162" s="75" t="str">
        <f t="shared" si="43"/>
        <v>0x00,</v>
      </c>
      <c r="AC162" s="76"/>
    </row>
    <row r="163" spans="1:29" x14ac:dyDescent="0.3">
      <c r="A163" s="79">
        <f t="shared" si="13"/>
        <v>495</v>
      </c>
      <c r="B163" s="80" t="str">
        <f t="shared" si="33"/>
        <v>1EF</v>
      </c>
      <c r="C163" s="4" t="s">
        <v>185</v>
      </c>
      <c r="D163" s="29"/>
      <c r="F163" s="29"/>
      <c r="G163" s="24"/>
      <c r="H163" s="29"/>
      <c r="J163" s="4" t="s">
        <v>314</v>
      </c>
      <c r="K163" s="4" t="s">
        <v>313</v>
      </c>
      <c r="L163" s="4" t="s">
        <v>311</v>
      </c>
      <c r="M163" s="14"/>
      <c r="O163" s="25" t="str" cm="1">
        <f t="array" ref="O163">BIN2HEX(IF(I163&lt;&gt;"",VLOOKUP(I163,Ops!$I$2:'Ops'!$J$15,2,FALSE),IF(ISNUMBER(SEARCH("BR",D163)),"001","000"))&amp;IF(D163&lt;&gt;"",VLOOKUP(D163,Ops!$B$2:'Ops'!$C$23,2,FALSE),"0")&amp;_xlfn.IFS(ISNUMBER(SEARCH("BR",D163)),VLOOKUP(D163,Ops!$B$3:'Ops'!$D$22,3,FALSE),F163&lt;&gt;"",VLOOKUP(F163,Ops!$R$2:'Ops'!$S$11,2),L163&lt;&gt;"",VLOOKUP(L163,Ops!$R$2:'Ops'!$S$25,2,FALSE),TRUE,"0000"),2)</f>
        <v>04</v>
      </c>
      <c r="P163" s="26" t="str">
        <f>RIGHT(IF($E163&lt;&gt;"",_xlfn.XLOOKUP($E163,$C$4:$C$681,$B$4:$B$681,"NO LABEL"),BIN2HEX(IF(N163="CarryEn","1","0")&amp;IF(M163="SubXY","1","0")&amp;IF(H163&lt;&gt;"",VLOOKUP(H163,Ops!$F$2:'Ops'!$G$20,2,FALSE),"000000"),2)),2)</f>
        <v>00</v>
      </c>
      <c r="Q163" s="26" t="str" cm="1">
        <f t="array" ref="Q163">BIN2HEX(_xlfn.IFS(D163="HWINTEN","10",G163="KeyAck","01",G163="InitLp8","01",TRUE,"00")&amp;IF(OR(Ops!$O$2:'Ops'!$O$13=K163),VLOOKUP(K163,Ops!$O$2:'Ops'!$P$13,2,FALSE),"000")&amp;IF(E163&lt;&gt;"",IF(LEN(_xlfn.XLOOKUP($E163,$C$5:$C$681,$B$5:$B$681,0))=3,HEX2BIN(LEFT(_xlfn.XLOOKUP($E163,$C$5:$C$681,$B$5:$B$681,0),1),3),IF(OR(Ops!$L$2:'Ops'!$L$11=J163),VLOOKUP(J163,Ops!$L$2:'Ops'!$M$11,2,FALSE),"000")),IF(OR(Ops!$L$2:'Ops'!$L$11=J163),VLOOKUP(J163,Ops!$L$2:'Ops'!$M$11,2,FALSE),"000")),2)</f>
        <v>36</v>
      </c>
      <c r="R163" s="27"/>
      <c r="S163" s="4" t="s">
        <v>188</v>
      </c>
      <c r="Z163" s="74" t="str">
        <f t="shared" si="41"/>
        <v>0x04,</v>
      </c>
      <c r="AA163" s="75" t="str">
        <f t="shared" si="42"/>
        <v>0x00,</v>
      </c>
      <c r="AB163" s="75" t="str">
        <f t="shared" si="43"/>
        <v>0x36,</v>
      </c>
      <c r="AC163" s="76"/>
    </row>
    <row r="164" spans="1:29" x14ac:dyDescent="0.3">
      <c r="A164" s="79">
        <f t="shared" si="13"/>
        <v>498</v>
      </c>
      <c r="B164" s="80" t="str">
        <f t="shared" si="33"/>
        <v>1F2</v>
      </c>
      <c r="D164" s="29" t="s">
        <v>186</v>
      </c>
      <c r="E164" s="4" t="s">
        <v>187</v>
      </c>
      <c r="F164" s="29"/>
      <c r="G164" s="24"/>
      <c r="H164" s="29"/>
      <c r="M164" s="14"/>
      <c r="O164" s="25" t="str" cm="1">
        <f t="array" ref="O164">BIN2HEX(IF(I164&lt;&gt;"",VLOOKUP(I164,Ops!$I$2:'Ops'!$J$15,2,FALSE),IF(ISNUMBER(SEARCH("BR",D164)),"001","000"))&amp;IF(D164&lt;&gt;"",VLOOKUP(D164,Ops!$B$2:'Ops'!$C$23,2,FALSE),"0")&amp;_xlfn.IFS(ISNUMBER(SEARCH("BR",D164)),VLOOKUP(D164,Ops!$B$3:'Ops'!$D$22,3,FALSE),F164&lt;&gt;"",VLOOKUP(F164,Ops!$R$2:'Ops'!$S$11,2),L164&lt;&gt;"",VLOOKUP(L164,Ops!$R$2:'Ops'!$S$25,2,FALSE),TRUE,"0000"),2)</f>
        <v>36</v>
      </c>
      <c r="P164" s="26" t="str">
        <f>RIGHT(IF($E164&lt;&gt;"",_xlfn.XLOOKUP($E164,$C$4:$C$681,$B$4:$B$681,"NO LABEL"),BIN2HEX(IF(N164="CarryEn","1","0")&amp;IF(M164="SubXY","1","0")&amp;IF(H164&lt;&gt;"",VLOOKUP(H164,Ops!$F$2:'Ops'!$G$20,2,FALSE),"000000"),2)),2)</f>
        <v>FB</v>
      </c>
      <c r="Q164" s="26" t="str" cm="1">
        <f t="array" ref="Q164">BIN2HEX(_xlfn.IFS(D164="HWINTEN","10",G164="KeyAck","01",G164="InitLp8","01",TRUE,"00")&amp;IF(OR(Ops!$O$2:'Ops'!$O$13=K164),VLOOKUP(K164,Ops!$O$2:'Ops'!$P$13,2,FALSE),"000")&amp;IF(E164&lt;&gt;"",IF(LEN(_xlfn.XLOOKUP($E164,$C$5:$C$681,$B$5:$B$681,0))=3,HEX2BIN(LEFT(_xlfn.XLOOKUP($E164,$C$5:$C$681,$B$5:$B$681,0),1),3),IF(OR(Ops!$L$2:'Ops'!$L$11=J164),VLOOKUP(J164,Ops!$L$2:'Ops'!$M$11,2,FALSE),"000")),IF(OR(Ops!$L$2:'Ops'!$L$11=J164),VLOOKUP(J164,Ops!$L$2:'Ops'!$M$11,2,FALSE),"000")),2)</f>
        <v>01</v>
      </c>
      <c r="R164" s="27"/>
      <c r="S164" s="4" t="s">
        <v>189</v>
      </c>
      <c r="Z164" s="74" t="str">
        <f t="shared" si="41"/>
        <v>0x36,</v>
      </c>
      <c r="AA164" s="75" t="str">
        <f t="shared" si="42"/>
        <v>0xFB,</v>
      </c>
      <c r="AB164" s="75" t="str">
        <f t="shared" si="43"/>
        <v>0x01,</v>
      </c>
      <c r="AC164" s="76"/>
    </row>
    <row r="165" spans="1:29" x14ac:dyDescent="0.3">
      <c r="A165" s="79">
        <f t="shared" si="13"/>
        <v>501</v>
      </c>
      <c r="B165" s="80" t="str">
        <f t="shared" si="33"/>
        <v>1F5</v>
      </c>
      <c r="D165" s="29"/>
      <c r="F165" s="29"/>
      <c r="G165" s="24"/>
      <c r="H165" s="29"/>
      <c r="J165" s="4" t="s">
        <v>314</v>
      </c>
      <c r="K165" s="4" t="s">
        <v>313</v>
      </c>
      <c r="L165" s="4" t="s">
        <v>312</v>
      </c>
      <c r="M165" s="14"/>
      <c r="O165" s="25" t="str" cm="1">
        <f t="array" ref="O165">BIN2HEX(IF(I165&lt;&gt;"",VLOOKUP(I165,Ops!$I$2:'Ops'!$J$15,2,FALSE),IF(ISNUMBER(SEARCH("BR",D165)),"001","000"))&amp;IF(D165&lt;&gt;"",VLOOKUP(D165,Ops!$B$2:'Ops'!$C$23,2,FALSE),"0")&amp;_xlfn.IFS(ISNUMBER(SEARCH("BR",D165)),VLOOKUP(D165,Ops!$B$3:'Ops'!$D$22,3,FALSE),F165&lt;&gt;"",VLOOKUP(F165,Ops!$R$2:'Ops'!$S$11,2),L165&lt;&gt;"",VLOOKUP(L165,Ops!$R$2:'Ops'!$S$25,2,FALSE),TRUE,"0000"),2)</f>
        <v>03</v>
      </c>
      <c r="P165" s="26" t="str">
        <f>RIGHT(IF($E165&lt;&gt;"",_xlfn.XLOOKUP($E165,$C$4:$C$681,$B$4:$B$681,"NO LABEL"),BIN2HEX(IF(N165="CarryEn","1","0")&amp;IF(M165="SubXY","1","0")&amp;IF(H165&lt;&gt;"",VLOOKUP(H165,Ops!$F$2:'Ops'!$G$20,2,FALSE),"000000"),2)),2)</f>
        <v>00</v>
      </c>
      <c r="Q165" s="26" t="str" cm="1">
        <f t="array" ref="Q165">BIN2HEX(_xlfn.IFS(D165="HWINTEN","10",G165="KeyAck","01",G165="InitLp8","01",TRUE,"00")&amp;IF(OR(Ops!$O$2:'Ops'!$O$13=K165),VLOOKUP(K165,Ops!$O$2:'Ops'!$P$13,2,FALSE),"000")&amp;IF(E165&lt;&gt;"",IF(LEN(_xlfn.XLOOKUP($E165,$C$5:$C$681,$B$5:$B$681,0))=3,HEX2BIN(LEFT(_xlfn.XLOOKUP($E165,$C$5:$C$681,$B$5:$B$681,0),1),3),IF(OR(Ops!$L$2:'Ops'!$L$11=J165),VLOOKUP(J165,Ops!$L$2:'Ops'!$M$11,2,FALSE),"000")),IF(OR(Ops!$L$2:'Ops'!$L$11=J165),VLOOKUP(J165,Ops!$L$2:'Ops'!$M$11,2,FALSE),"000")),2)</f>
        <v>36</v>
      </c>
      <c r="R165" s="27"/>
      <c r="S165" s="4" t="s">
        <v>203</v>
      </c>
      <c r="Z165" s="74" t="str">
        <f t="shared" si="41"/>
        <v>0x03,</v>
      </c>
      <c r="AA165" s="75" t="str">
        <f t="shared" si="42"/>
        <v>0x00,</v>
      </c>
      <c r="AB165" s="75" t="str">
        <f t="shared" si="43"/>
        <v>0x36,</v>
      </c>
      <c r="AC165" s="76"/>
    </row>
    <row r="166" spans="1:29" x14ac:dyDescent="0.3">
      <c r="A166" s="79">
        <f t="shared" si="13"/>
        <v>504</v>
      </c>
      <c r="B166" s="80" t="str">
        <f t="shared" si="33"/>
        <v>1F8</v>
      </c>
      <c r="D166" s="29" t="s">
        <v>0</v>
      </c>
      <c r="E166" s="4" t="s">
        <v>1</v>
      </c>
      <c r="F166" s="29"/>
      <c r="G166" s="24"/>
      <c r="H166" s="29"/>
      <c r="M166" s="14"/>
      <c r="O166" s="25" t="str" cm="1">
        <f t="array" ref="O166">BIN2HEX(IF(I166&lt;&gt;"",VLOOKUP(I166,Ops!$I$2:'Ops'!$J$15,2,FALSE),IF(ISNUMBER(SEARCH("BR",D166)),"001","000"))&amp;IF(D166&lt;&gt;"",VLOOKUP(D166,Ops!$B$2:'Ops'!$C$23,2,FALSE),"0")&amp;_xlfn.IFS(ISNUMBER(SEARCH("BR",D166)),VLOOKUP(D166,Ops!$B$3:'Ops'!$D$22,3,FALSE),F166&lt;&gt;"",VLOOKUP(F166,Ops!$R$2:'Ops'!$S$11,2),L166&lt;&gt;"",VLOOKUP(L166,Ops!$R$2:'Ops'!$S$25,2,FALSE),TRUE,"0000"),2)</f>
        <v>10</v>
      </c>
      <c r="P166" s="26" t="str">
        <f>RIGHT(IF($E166&lt;&gt;"",_xlfn.XLOOKUP($E166,$C$4:$C$681,$B$4:$B$681,"NO LABEL"),BIN2HEX(IF(N166="CarryEn","1","0")&amp;IF(M166="SubXY","1","0")&amp;IF(H166&lt;&gt;"",VLOOKUP(H166,Ops!$F$2:'Ops'!$G$20,2,FALSE),"000000"),2)),2)</f>
        <v>60</v>
      </c>
      <c r="Q166" s="26" t="str" cm="1">
        <f t="array" ref="Q166">BIN2HEX(_xlfn.IFS(D166="HWINTEN","10",G166="KeyAck","01",G166="InitLp8","01",TRUE,"00")&amp;IF(OR(Ops!$O$2:'Ops'!$O$13=K166),VLOOKUP(K166,Ops!$O$2:'Ops'!$P$13,2,FALSE),"000")&amp;IF(E166&lt;&gt;"",IF(LEN(_xlfn.XLOOKUP($E166,$C$5:$C$681,$B$5:$B$681,0))=3,HEX2BIN(LEFT(_xlfn.XLOOKUP($E166,$C$5:$C$681,$B$5:$B$681,0),1),3),IF(OR(Ops!$L$2:'Ops'!$L$11=J166),VLOOKUP(J166,Ops!$L$2:'Ops'!$M$11,2,FALSE),"000")),IF(OR(Ops!$L$2:'Ops'!$L$11=J166),VLOOKUP(J166,Ops!$L$2:'Ops'!$M$11,2,FALSE),"000")),2)</f>
        <v>00</v>
      </c>
      <c r="R166" s="27"/>
      <c r="S166" s="4" t="s">
        <v>190</v>
      </c>
      <c r="Z166" s="74" t="str">
        <f t="shared" si="41"/>
        <v>0x10,</v>
      </c>
      <c r="AA166" s="75" t="str">
        <f t="shared" si="42"/>
        <v>0x60,</v>
      </c>
      <c r="AB166" s="75" t="str">
        <f t="shared" si="43"/>
        <v>0x00,</v>
      </c>
      <c r="AC166" s="76"/>
    </row>
    <row r="167" spans="1:29" x14ac:dyDescent="0.3">
      <c r="A167" s="79">
        <f t="shared" si="13"/>
        <v>507</v>
      </c>
      <c r="B167" s="80" t="str">
        <f t="shared" si="33"/>
        <v>1FB</v>
      </c>
      <c r="C167" s="4" t="s">
        <v>187</v>
      </c>
      <c r="D167" s="29"/>
      <c r="F167" s="29"/>
      <c r="G167" s="24"/>
      <c r="H167" s="29"/>
      <c r="J167" s="4" t="s">
        <v>314</v>
      </c>
      <c r="L167" s="4" t="s">
        <v>312</v>
      </c>
      <c r="M167" s="14"/>
      <c r="O167" s="25" t="str" cm="1">
        <f t="array" ref="O167">BIN2HEX(IF(I167&lt;&gt;"",VLOOKUP(I167,Ops!$I$2:'Ops'!$J$15,2,FALSE),IF(ISNUMBER(SEARCH("BR",D167)),"001","000"))&amp;IF(D167&lt;&gt;"",VLOOKUP(D167,Ops!$B$2:'Ops'!$C$23,2,FALSE),"0")&amp;_xlfn.IFS(ISNUMBER(SEARCH("BR",D167)),VLOOKUP(D167,Ops!$B$3:'Ops'!$D$22,3,FALSE),F167&lt;&gt;"",VLOOKUP(F167,Ops!$R$2:'Ops'!$S$11,2),L167&lt;&gt;"",VLOOKUP(L167,Ops!$R$2:'Ops'!$S$25,2,FALSE),TRUE,"0000"),2)</f>
        <v>03</v>
      </c>
      <c r="P167" s="26" t="str">
        <f>RIGHT(IF($E167&lt;&gt;"",_xlfn.XLOOKUP($E167,$C$4:$C$681,$B$4:$B$681,"NO LABEL"),BIN2HEX(IF(N167="CarryEn","1","0")&amp;IF(M167="SubXY","1","0")&amp;IF(H167&lt;&gt;"",VLOOKUP(H167,Ops!$F$2:'Ops'!$G$20,2,FALSE),"000000"),2)),2)</f>
        <v>00</v>
      </c>
      <c r="Q167" s="26" t="str" cm="1">
        <f t="array" ref="Q167">BIN2HEX(_xlfn.IFS(D167="HWINTEN","10",G167="KeyAck","01",G167="InitLp8","01",TRUE,"00")&amp;IF(OR(Ops!$O$2:'Ops'!$O$13=K167),VLOOKUP(K167,Ops!$O$2:'Ops'!$P$13,2,FALSE),"000")&amp;IF(E167&lt;&gt;"",IF(LEN(_xlfn.XLOOKUP($E167,$C$5:$C$681,$B$5:$B$681,0))=3,HEX2BIN(LEFT(_xlfn.XLOOKUP($E167,$C$5:$C$681,$B$5:$B$681,0),1),3),IF(OR(Ops!$L$2:'Ops'!$L$11=J167),VLOOKUP(J167,Ops!$L$2:'Ops'!$M$11,2,FALSE),"000")),IF(OR(Ops!$L$2:'Ops'!$L$11=J167),VLOOKUP(J167,Ops!$L$2:'Ops'!$M$11,2,FALSE),"000")),2)</f>
        <v>06</v>
      </c>
      <c r="R167" s="27"/>
      <c r="S167" s="4" t="s">
        <v>204</v>
      </c>
      <c r="Z167" s="74" t="str">
        <f t="shared" si="41"/>
        <v>0x03,</v>
      </c>
      <c r="AA167" s="75" t="str">
        <f t="shared" si="42"/>
        <v>0x00,</v>
      </c>
      <c r="AB167" s="75" t="str">
        <f t="shared" si="43"/>
        <v>0x06,</v>
      </c>
      <c r="AC167" s="76"/>
    </row>
    <row r="168" spans="1:29" x14ac:dyDescent="0.3">
      <c r="A168" s="79">
        <f t="shared" si="13"/>
        <v>510</v>
      </c>
      <c r="B168" s="80" t="str">
        <f t="shared" si="33"/>
        <v>1FE</v>
      </c>
      <c r="D168" s="29" t="s">
        <v>0</v>
      </c>
      <c r="E168" s="4" t="s">
        <v>1</v>
      </c>
      <c r="F168" s="29"/>
      <c r="G168" s="24"/>
      <c r="H168" s="29"/>
      <c r="M168" s="14"/>
      <c r="O168" s="25" t="str" cm="1">
        <f t="array" ref="O168">BIN2HEX(IF(I168&lt;&gt;"",VLOOKUP(I168,Ops!$I$2:'Ops'!$J$15,2,FALSE),IF(ISNUMBER(SEARCH("BR",D168)),"001","000"))&amp;IF(D168&lt;&gt;"",VLOOKUP(D168,Ops!$B$2:'Ops'!$C$23,2,FALSE),"0")&amp;_xlfn.IFS(ISNUMBER(SEARCH("BR",D168)),VLOOKUP(D168,Ops!$B$3:'Ops'!$D$22,3,FALSE),F168&lt;&gt;"",VLOOKUP(F168,Ops!$R$2:'Ops'!$S$11,2),L168&lt;&gt;"",VLOOKUP(L168,Ops!$R$2:'Ops'!$S$25,2,FALSE),TRUE,"0000"),2)</f>
        <v>10</v>
      </c>
      <c r="P168" s="26" t="str">
        <f>RIGHT(IF($E168&lt;&gt;"",_xlfn.XLOOKUP($E168,$C$4:$C$681,$B$4:$B$681,"NO LABEL"),BIN2HEX(IF(N168="CarryEn","1","0")&amp;IF(M168="SubXY","1","0")&amp;IF(H168&lt;&gt;"",VLOOKUP(H168,Ops!$F$2:'Ops'!$G$20,2,FALSE),"000000"),2)),2)</f>
        <v>60</v>
      </c>
      <c r="Q168" s="26" t="str" cm="1">
        <f t="array" ref="Q168">BIN2HEX(_xlfn.IFS(D168="HWINTEN","10",G168="KeyAck","01",G168="InitLp8","01",TRUE,"00")&amp;IF(OR(Ops!$O$2:'Ops'!$O$13=K168),VLOOKUP(K168,Ops!$O$2:'Ops'!$P$13,2,FALSE),"000")&amp;IF(E168&lt;&gt;"",IF(LEN(_xlfn.XLOOKUP($E168,$C$5:$C$681,$B$5:$B$681,0))=3,HEX2BIN(LEFT(_xlfn.XLOOKUP($E168,$C$5:$C$681,$B$5:$B$681,0),1),3),IF(OR(Ops!$L$2:'Ops'!$L$11=J168),VLOOKUP(J168,Ops!$L$2:'Ops'!$M$11,2,FALSE),"000")),IF(OR(Ops!$L$2:'Ops'!$L$11=J168),VLOOKUP(J168,Ops!$L$2:'Ops'!$M$11,2,FALSE),"000")),2)</f>
        <v>00</v>
      </c>
      <c r="R168" s="27"/>
      <c r="S168" s="4" t="s">
        <v>190</v>
      </c>
      <c r="Z168" s="74" t="str">
        <f t="shared" si="41"/>
        <v>0x10,</v>
      </c>
      <c r="AA168" s="75" t="str">
        <f t="shared" si="42"/>
        <v>0x60,</v>
      </c>
      <c r="AB168" s="75" t="str">
        <f t="shared" si="43"/>
        <v>0x00,</v>
      </c>
      <c r="AC168" s="76"/>
    </row>
    <row r="169" spans="1:29" x14ac:dyDescent="0.3">
      <c r="A169" s="79">
        <f t="shared" si="13"/>
        <v>513</v>
      </c>
      <c r="B169" s="80" t="str">
        <f t="shared" si="33"/>
        <v>201</v>
      </c>
      <c r="C169" s="12" t="s">
        <v>13</v>
      </c>
      <c r="D169" s="29"/>
      <c r="F169" s="29"/>
      <c r="G169" s="24"/>
      <c r="H169" s="29"/>
      <c r="J169" s="4" t="s">
        <v>421</v>
      </c>
      <c r="K169" s="4" t="s">
        <v>422</v>
      </c>
      <c r="L169" s="4" t="s">
        <v>24</v>
      </c>
      <c r="M169" s="14"/>
      <c r="O169" s="25" t="str" cm="1">
        <f t="array" ref="O169">BIN2HEX(IF(I169&lt;&gt;"",VLOOKUP(I169,Ops!$I$2:'Ops'!$J$15,2,FALSE),IF(ISNUMBER(SEARCH("BR",D169)),"001","000"))&amp;IF(D169&lt;&gt;"",VLOOKUP(D169,Ops!$B$2:'Ops'!$C$23,2,FALSE),"0")&amp;_xlfn.IFS(ISNUMBER(SEARCH("BR",D169)),VLOOKUP(D169,Ops!$B$3:'Ops'!$D$22,3,FALSE),F169&lt;&gt;"",VLOOKUP(F169,Ops!$R$2:'Ops'!$S$11,2),L169&lt;&gt;"",VLOOKUP(L169,Ops!$R$2:'Ops'!$S$25,2,FALSE),TRUE,"0000"),2)</f>
        <v>00</v>
      </c>
      <c r="P169" s="26" t="str">
        <f>RIGHT(IF($E169&lt;&gt;"",_xlfn.XLOOKUP($E169,$C$4:$C$681,$B$4:$B$681,"NO LABEL"),BIN2HEX(IF(N169="CarryEn","1","0")&amp;IF(M169="SubXY","1","0")&amp;IF(H169&lt;&gt;"",VLOOKUP(H169,Ops!$F$2:'Ops'!$G$20,2,FALSE),"000000"),2)),2)</f>
        <v>00</v>
      </c>
      <c r="Q169" s="26" t="str" cm="1">
        <f t="array" ref="Q169">BIN2HEX(_xlfn.IFS(D169="HWINTEN","10",G169="KeyAck","01",G169="InitLp8","01",TRUE,"00")&amp;IF(OR(Ops!$O$2:'Ops'!$O$13=K169),VLOOKUP(K169,Ops!$O$2:'Ops'!$P$13,2,FALSE),"000")&amp;IF(E169&lt;&gt;"",IF(LEN(_xlfn.XLOOKUP($E169,$C$5:$C$681,$B$5:$B$681,0))=3,HEX2BIN(LEFT(_xlfn.XLOOKUP($E169,$C$5:$C$681,$B$5:$B$681,0),1),3),IF(OR(Ops!$L$2:'Ops'!$L$11=J169),VLOOKUP(J169,Ops!$L$2:'Ops'!$M$11,2,FALSE),"000")),IF(OR(Ops!$L$2:'Ops'!$L$11=J169),VLOOKUP(J169,Ops!$L$2:'Ops'!$M$11,2,FALSE),"000")),2)</f>
        <v>1B</v>
      </c>
      <c r="R169" s="27"/>
      <c r="S169" s="39" t="s">
        <v>238</v>
      </c>
      <c r="Z169" s="74" t="str">
        <f t="shared" si="41"/>
        <v>0x00,</v>
      </c>
      <c r="AA169" s="75" t="str">
        <f t="shared" si="42"/>
        <v>0x00,</v>
      </c>
      <c r="AB169" s="75" t="str">
        <f t="shared" si="43"/>
        <v>0x1B,</v>
      </c>
      <c r="AC169" s="76"/>
    </row>
    <row r="170" spans="1:29" x14ac:dyDescent="0.3">
      <c r="A170" s="79">
        <f t="shared" si="13"/>
        <v>516</v>
      </c>
      <c r="B170" s="80" t="str">
        <f>DEC2HEX(A170)</f>
        <v>204</v>
      </c>
      <c r="C170" s="12"/>
      <c r="D170" s="29" t="s">
        <v>30</v>
      </c>
      <c r="E170" s="4" t="s">
        <v>57</v>
      </c>
      <c r="F170" s="29"/>
      <c r="G170" s="24"/>
      <c r="H170" s="29"/>
      <c r="M170" s="14"/>
      <c r="O170" s="25" t="str" cm="1">
        <f t="array" ref="O170">BIN2HEX(IF(I170&lt;&gt;"",VLOOKUP(I170,Ops!$I$2:'Ops'!$J$15,2,FALSE),IF(ISNUMBER(SEARCH("BR",D170)),"001","000"))&amp;IF(D170&lt;&gt;"",VLOOKUP(D170,Ops!$B$2:'Ops'!$C$23,2,FALSE),"0")&amp;_xlfn.IFS(ISNUMBER(SEARCH("BR",D170)),VLOOKUP(D170,Ops!$B$3:'Ops'!$D$22,3,FALSE),F170&lt;&gt;"",VLOOKUP(F170,Ops!$R$2:'Ops'!$S$11,2),L170&lt;&gt;"",VLOOKUP(L170,Ops!$R$2:'Ops'!$S$25,2,FALSE),TRUE,"0000"),2)</f>
        <v>32</v>
      </c>
      <c r="P170" s="26" t="str">
        <f>RIGHT(IF($E170&lt;&gt;"",_xlfn.XLOOKUP($E170,$C$4:$C$681,$B$4:$B$681,"NO LABEL"),BIN2HEX(IF(N170="CarryEn","1","0")&amp;IF(M170="SubXY","1","0")&amp;IF(H170&lt;&gt;"",VLOOKUP(H170,Ops!$F$2:'Ops'!$G$20,2,FALSE),"000000"),2)),2)</f>
        <v>0A</v>
      </c>
      <c r="Q170" s="26" t="str" cm="1">
        <f t="array" ref="Q170">BIN2HEX(_xlfn.IFS(D170="HWINTEN","10",G170="KeyAck","01",G170="InitLp8","01",TRUE,"00")&amp;IF(OR(Ops!$O$2:'Ops'!$O$13=K170),VLOOKUP(K170,Ops!$O$2:'Ops'!$P$13,2,FALSE),"000")&amp;IF(E170&lt;&gt;"",IF(LEN(_xlfn.XLOOKUP($E170,$C$5:$C$681,$B$5:$B$681,0))=3,HEX2BIN(LEFT(_xlfn.XLOOKUP($E170,$C$5:$C$681,$B$5:$B$681,0),1),3),IF(OR(Ops!$L$2:'Ops'!$L$11=J170),VLOOKUP(J170,Ops!$L$2:'Ops'!$M$11,2,FALSE),"000")),IF(OR(Ops!$L$2:'Ops'!$L$11=J170),VLOOKUP(J170,Ops!$L$2:'Ops'!$M$11,2,FALSE),"000")),2)</f>
        <v>02</v>
      </c>
      <c r="R170" s="27"/>
      <c r="S170" s="4" t="s">
        <v>235</v>
      </c>
      <c r="Z170" s="74" t="str">
        <f t="shared" si="41"/>
        <v>0x32,</v>
      </c>
      <c r="AA170" s="75" t="str">
        <f t="shared" si="42"/>
        <v>0x0A,</v>
      </c>
      <c r="AB170" s="75" t="str">
        <f t="shared" si="43"/>
        <v>0x02,</v>
      </c>
      <c r="AC170" s="76"/>
    </row>
    <row r="171" spans="1:29" x14ac:dyDescent="0.3">
      <c r="A171" s="79">
        <f t="shared" si="13"/>
        <v>519</v>
      </c>
      <c r="B171" s="80" t="str">
        <f>DEC2HEX(A171)</f>
        <v>207</v>
      </c>
      <c r="D171" s="29" t="s">
        <v>0</v>
      </c>
      <c r="E171" s="4" t="s">
        <v>237</v>
      </c>
      <c r="F171" s="29"/>
      <c r="G171" s="24"/>
      <c r="H171" s="29"/>
      <c r="M171" s="14"/>
      <c r="O171" s="25" t="str" cm="1">
        <f t="array" ref="O171">BIN2HEX(IF(I171&lt;&gt;"",VLOOKUP(I171,Ops!$I$2:'Ops'!$J$15,2,FALSE),IF(ISNUMBER(SEARCH("BR",D171)),"001","000"))&amp;IF(D171&lt;&gt;"",VLOOKUP(D171,Ops!$B$2:'Ops'!$C$23,2,FALSE),"0")&amp;_xlfn.IFS(ISNUMBER(SEARCH("BR",D171)),VLOOKUP(D171,Ops!$B$3:'Ops'!$D$22,3,FALSE),F171&lt;&gt;"",VLOOKUP(F171,Ops!$R$2:'Ops'!$S$11,2),L171&lt;&gt;"",VLOOKUP(L171,Ops!$R$2:'Ops'!$S$25,2,FALSE),TRUE,"0000"),2)</f>
        <v>10</v>
      </c>
      <c r="P171" s="26" t="str">
        <f>RIGHT(IF($E171&lt;&gt;"",_xlfn.XLOOKUP($E171,$C$4:$C$681,$B$4:$B$681,"NO LABEL"),BIN2HEX(IF(N171="CarryEn","1","0")&amp;IF(M171="SubXY","1","0")&amp;IF(H171&lt;&gt;"",VLOOKUP(H171,Ops!$F$2:'Ops'!$G$20,2,FALSE),"000000"),2)),2)</f>
        <v>19</v>
      </c>
      <c r="Q171" s="26" t="str" cm="1">
        <f t="array" ref="Q171">BIN2HEX(_xlfn.IFS(D171="HWINTEN","10",G171="KeyAck","01",G171="InitLp8","01",TRUE,"00")&amp;IF(OR(Ops!$O$2:'Ops'!$O$13=K171),VLOOKUP(K171,Ops!$O$2:'Ops'!$P$13,2,FALSE),"000")&amp;IF(E171&lt;&gt;"",IF(LEN(_xlfn.XLOOKUP($E171,$C$5:$C$681,$B$5:$B$681,0))=3,HEX2BIN(LEFT(_xlfn.XLOOKUP($E171,$C$5:$C$681,$B$5:$B$681,0),1),3),IF(OR(Ops!$L$2:'Ops'!$L$11=J171),VLOOKUP(J171,Ops!$L$2:'Ops'!$M$11,2,FALSE),"000")),IF(OR(Ops!$L$2:'Ops'!$L$11=J171),VLOOKUP(J171,Ops!$L$2:'Ops'!$M$11,2,FALSE),"000")),2)</f>
        <v>02</v>
      </c>
      <c r="R171" s="27"/>
      <c r="S171" s="4" t="s">
        <v>236</v>
      </c>
      <c r="Z171" s="74" t="str">
        <f t="shared" si="41"/>
        <v>0x10,</v>
      </c>
      <c r="AA171" s="75" t="str">
        <f t="shared" si="42"/>
        <v>0x19,</v>
      </c>
      <c r="AB171" s="75" t="str">
        <f t="shared" si="43"/>
        <v>0x02,</v>
      </c>
      <c r="AC171" s="76"/>
    </row>
    <row r="172" spans="1:29" x14ac:dyDescent="0.3">
      <c r="A172" s="79">
        <f t="shared" si="13"/>
        <v>522</v>
      </c>
      <c r="B172" s="80" t="str">
        <f>DEC2HEX(A172)</f>
        <v>20A</v>
      </c>
      <c r="C172" s="4" t="s">
        <v>57</v>
      </c>
      <c r="D172" s="29"/>
      <c r="F172" s="29"/>
      <c r="G172" s="24" t="s">
        <v>692</v>
      </c>
      <c r="H172" s="29"/>
      <c r="J172" s="4" t="s">
        <v>421</v>
      </c>
      <c r="K172" s="4" t="s">
        <v>422</v>
      </c>
      <c r="L172" s="4" t="s">
        <v>429</v>
      </c>
      <c r="M172" s="14"/>
      <c r="O172" s="25" t="str" cm="1">
        <f t="array" ref="O172">BIN2HEX(IF(I172&lt;&gt;"",VLOOKUP(I172,Ops!$I$2:'Ops'!$J$15,2,FALSE),IF(ISNUMBER(SEARCH("BR",D172)),"001","000"))&amp;IF(D172&lt;&gt;"",VLOOKUP(D172,Ops!$B$2:'Ops'!$C$23,2,FALSE),"0")&amp;_xlfn.IFS(ISNUMBER(SEARCH("BR",D172)),VLOOKUP(D172,Ops!$B$3:'Ops'!$D$22,3,FALSE),F172&lt;&gt;"",VLOOKUP(F172,Ops!$R$2:'Ops'!$S$11,2),L172&lt;&gt;"",VLOOKUP(L172,Ops!$R$2:'Ops'!$S$25,2,FALSE),TRUE,"0000"),2)</f>
        <v>01</v>
      </c>
      <c r="P172" s="26" t="str">
        <f>RIGHT(IF($E172&lt;&gt;"",_xlfn.XLOOKUP($E172,$C$4:$C$681,$B$4:$B$681,"NO LABEL"),BIN2HEX(IF(N172="CarryEn","1","0")&amp;IF(M172="SubXY","1","0")&amp;IF(H172&lt;&gt;"",VLOOKUP(H172,Ops!$F$2:'Ops'!$G$20,2,FALSE),"000000"),2)),2)</f>
        <v>00</v>
      </c>
      <c r="Q172" s="26" t="str" cm="1">
        <f t="array" ref="Q172">BIN2HEX(_xlfn.IFS(D172="HWINTEN","10",G172="KeyAck","01",G172="InitLp8","01",TRUE,"00")&amp;IF(OR(Ops!$O$2:'Ops'!$O$13=K172),VLOOKUP(K172,Ops!$O$2:'Ops'!$P$13,2,FALSE),"000")&amp;IF(E172&lt;&gt;"",IF(LEN(_xlfn.XLOOKUP($E172,$C$5:$C$681,$B$5:$B$681,0))=3,HEX2BIN(LEFT(_xlfn.XLOOKUP($E172,$C$5:$C$681,$B$5:$B$681,0),1),3),IF(OR(Ops!$L$2:'Ops'!$L$11=J172),VLOOKUP(J172,Ops!$L$2:'Ops'!$M$11,2,FALSE),"000")),IF(OR(Ops!$L$2:'Ops'!$L$11=J172),VLOOKUP(J172,Ops!$L$2:'Ops'!$M$11,2,FALSE),"000")),2)</f>
        <v>5B</v>
      </c>
      <c r="R172" s="27"/>
      <c r="S172" s="4" t="s">
        <v>580</v>
      </c>
      <c r="Z172" s="74" t="str">
        <f t="shared" si="41"/>
        <v>0x01,</v>
      </c>
      <c r="AA172" s="75" t="str">
        <f t="shared" si="42"/>
        <v>0x00,</v>
      </c>
      <c r="AB172" s="75" t="str">
        <f t="shared" si="43"/>
        <v>0x5B,</v>
      </c>
      <c r="AC172" s="76"/>
    </row>
    <row r="173" spans="1:29" x14ac:dyDescent="0.3">
      <c r="A173" s="79">
        <f t="shared" si="13"/>
        <v>525</v>
      </c>
      <c r="B173" s="80" t="str">
        <f t="shared" ref="B173:B174" si="44">DEC2HEX(A173)</f>
        <v>20D</v>
      </c>
      <c r="C173" s="4" t="s">
        <v>695</v>
      </c>
      <c r="D173" s="29"/>
      <c r="F173" s="29"/>
      <c r="G173" s="24"/>
      <c r="H173" s="29" t="s">
        <v>54</v>
      </c>
      <c r="I173" s="4" t="s">
        <v>481</v>
      </c>
      <c r="L173" s="4" t="s">
        <v>565</v>
      </c>
      <c r="M173" s="14"/>
      <c r="O173" s="25" t="str" cm="1">
        <f t="array" ref="O173">BIN2HEX(IF(I173&lt;&gt;"",VLOOKUP(I173,Ops!$I$2:'Ops'!$J$15,2,FALSE),IF(ISNUMBER(SEARCH("BR",D173)),"001","000"))&amp;IF(D173&lt;&gt;"",VLOOKUP(D173,Ops!$B$2:'Ops'!$C$23,2,FALSE),"0")&amp;_xlfn.IFS(ISNUMBER(SEARCH("BR",D173)),VLOOKUP(D173,Ops!$B$3:'Ops'!$D$22,3,FALSE),F173&lt;&gt;"",VLOOKUP(F173,Ops!$R$2:'Ops'!$S$11,2),L173&lt;&gt;"",VLOOKUP(L173,Ops!$R$2:'Ops'!$S$25,2,FALSE),TRUE,"0000"),2)</f>
        <v>0F</v>
      </c>
      <c r="P173" s="26" t="str">
        <f>RIGHT(IF($E173&lt;&gt;"",_xlfn.XLOOKUP($E173,$C$4:$C$681,$B$4:$B$681,"NO LABEL"),BIN2HEX(IF(N173="CarryEn","1","0")&amp;IF(M173="SubXY","1","0")&amp;IF(H173&lt;&gt;"",VLOOKUP(H173,Ops!$F$2:'Ops'!$G$20,2,FALSE),"000000"),2)),2)</f>
        <v>02</v>
      </c>
      <c r="Q173" s="26" t="str" cm="1">
        <f t="array" ref="Q173">BIN2HEX(_xlfn.IFS(D173="HWINTEN","10",G173="KeyAck","01",G173="InitLp8","01",TRUE,"00")&amp;IF(OR(Ops!$O$2:'Ops'!$O$13=K173),VLOOKUP(K173,Ops!$O$2:'Ops'!$P$13,2,FALSE),"000")&amp;IF(E173&lt;&gt;"",IF(LEN(_xlfn.XLOOKUP($E173,$C$5:$C$681,$B$5:$B$681,0))=3,HEX2BIN(LEFT(_xlfn.XLOOKUP($E173,$C$5:$C$681,$B$5:$B$681,0),1),3),IF(OR(Ops!$L$2:'Ops'!$L$11=J173),VLOOKUP(J173,Ops!$L$2:'Ops'!$M$11,2,FALSE),"000")),IF(OR(Ops!$L$2:'Ops'!$L$11=J173),VLOOKUP(J173,Ops!$L$2:'Ops'!$M$11,2,FALSE),"000")),2)</f>
        <v>00</v>
      </c>
      <c r="R173" s="27"/>
      <c r="S173" s="4" t="s">
        <v>696</v>
      </c>
      <c r="Z173" s="74" t="str">
        <f t="shared" ref="Z173:Z175" si="45">IF(O173="", "};", "0x"&amp;O173&amp;",")</f>
        <v>0x0F,</v>
      </c>
      <c r="AA173" s="75" t="str">
        <f t="shared" ref="AA173:AA175" si="46">"0x"&amp;P173&amp;","</f>
        <v>0x02,</v>
      </c>
      <c r="AB173" s="75" t="str">
        <f t="shared" ref="AB173:AB175" si="47">"0x"&amp;Q173&amp;","</f>
        <v>0x00,</v>
      </c>
      <c r="AC173" s="76"/>
    </row>
    <row r="174" spans="1:29" x14ac:dyDescent="0.3">
      <c r="A174" s="79">
        <f t="shared" si="13"/>
        <v>528</v>
      </c>
      <c r="B174" s="80" t="str">
        <f t="shared" si="44"/>
        <v>210</v>
      </c>
      <c r="D174" s="29" t="s">
        <v>251</v>
      </c>
      <c r="E174" s="4" t="s">
        <v>695</v>
      </c>
      <c r="F174" s="29"/>
      <c r="G174" s="24"/>
      <c r="H174" s="29"/>
      <c r="M174" s="14"/>
      <c r="O174" s="25" t="str" cm="1">
        <f t="array" ref="O174">BIN2HEX(IF(I174&lt;&gt;"",VLOOKUP(I174,Ops!$I$2:'Ops'!$J$15,2,FALSE),IF(ISNUMBER(SEARCH("BR",D174)),"001","000"))&amp;IF(D174&lt;&gt;"",VLOOKUP(D174,Ops!$B$2:'Ops'!$C$23,2,FALSE),"0")&amp;_xlfn.IFS(ISNUMBER(SEARCH("BR",D174)),VLOOKUP(D174,Ops!$B$3:'Ops'!$D$22,3,FALSE),F174&lt;&gt;"",VLOOKUP(F174,Ops!$R$2:'Ops'!$S$11,2),L174&lt;&gt;"",VLOOKUP(L174,Ops!$R$2:'Ops'!$S$25,2,FALSE),TRUE,"0000"),2)</f>
        <v>3F</v>
      </c>
      <c r="P174" s="26" t="str">
        <f>RIGHT(IF($E174&lt;&gt;"",_xlfn.XLOOKUP($E174,$C$4:$C$681,$B$4:$B$681,"NO LABEL"),BIN2HEX(IF(N174="CarryEn","1","0")&amp;IF(M174="SubXY","1","0")&amp;IF(H174&lt;&gt;"",VLOOKUP(H174,Ops!$F$2:'Ops'!$G$20,2,FALSE),"000000"),2)),2)</f>
        <v>0D</v>
      </c>
      <c r="Q174" s="26" t="str" cm="1">
        <f t="array" ref="Q174">BIN2HEX(_xlfn.IFS(D174="HWINTEN","10",G174="KeyAck","01",G174="InitLp8","01",TRUE,"00")&amp;IF(OR(Ops!$O$2:'Ops'!$O$13=K174),VLOOKUP(K174,Ops!$O$2:'Ops'!$P$13,2,FALSE),"000")&amp;IF(E174&lt;&gt;"",IF(LEN(_xlfn.XLOOKUP($E174,$C$5:$C$681,$B$5:$B$681,0))=3,HEX2BIN(LEFT(_xlfn.XLOOKUP($E174,$C$5:$C$681,$B$5:$B$681,0),1),3),IF(OR(Ops!$L$2:'Ops'!$L$11=J174),VLOOKUP(J174,Ops!$L$2:'Ops'!$M$11,2,FALSE),"000")),IF(OR(Ops!$L$2:'Ops'!$L$11=J174),VLOOKUP(J174,Ops!$L$2:'Ops'!$M$11,2,FALSE),"000")),2)</f>
        <v>02</v>
      </c>
      <c r="R174" s="27"/>
      <c r="Z174" s="74" t="str">
        <f t="shared" si="45"/>
        <v>0x3F,</v>
      </c>
      <c r="AA174" s="75" t="str">
        <f t="shared" si="46"/>
        <v>0x0D,</v>
      </c>
      <c r="AB174" s="75" t="str">
        <f t="shared" si="47"/>
        <v>0x02,</v>
      </c>
      <c r="AC174" s="76"/>
    </row>
    <row r="175" spans="1:29" x14ac:dyDescent="0.3">
      <c r="A175" s="79">
        <f t="shared" si="13"/>
        <v>531</v>
      </c>
      <c r="B175" s="80" t="str">
        <f t="shared" ref="B175:B176" si="48">DEC2HEX(A175)</f>
        <v>213</v>
      </c>
      <c r="D175" s="29"/>
      <c r="F175" s="29"/>
      <c r="G175" s="24"/>
      <c r="H175" s="29" t="s">
        <v>54</v>
      </c>
      <c r="I175" t="s">
        <v>481</v>
      </c>
      <c r="L175" s="4">
        <v>0</v>
      </c>
      <c r="M175" s="14"/>
      <c r="O175" s="25" t="str" cm="1">
        <f t="array" ref="O175">BIN2HEX(IF(I175&lt;&gt;"",VLOOKUP(I175,Ops!$I$2:'Ops'!$J$15,2,FALSE),IF(ISNUMBER(SEARCH("BR",D175)),"001","000"))&amp;IF(D175&lt;&gt;"",VLOOKUP(D175,Ops!$B$2:'Ops'!$C$23,2,FALSE),"0")&amp;_xlfn.IFS(ISNUMBER(SEARCH("BR",D175)),VLOOKUP(D175,Ops!$B$3:'Ops'!$D$22,3,FALSE),F175&lt;&gt;"",VLOOKUP(F175,Ops!$R$2:'Ops'!$S$11,2),L175&lt;&gt;"",VLOOKUP(L175,Ops!$R$2:'Ops'!$S$25,2,FALSE),TRUE,"0000"),2)</f>
        <v>00</v>
      </c>
      <c r="P175" s="26" t="str">
        <f>RIGHT(IF($E175&lt;&gt;"",_xlfn.XLOOKUP($E175,$C$4:$C$681,$B$4:$B$681,"NO LABEL"),BIN2HEX(IF(N175="CarryEn","1","0")&amp;IF(M175="SubXY","1","0")&amp;IF(H175&lt;&gt;"",VLOOKUP(H175,Ops!$F$2:'Ops'!$G$20,2,FALSE),"000000"),2)),2)</f>
        <v>02</v>
      </c>
      <c r="Q175" s="26" t="str" cm="1">
        <f t="array" ref="Q175">BIN2HEX(_xlfn.IFS(D175="HWINTEN","10",G175="KeyAck","01",G175="InitLp8","01",TRUE,"00")&amp;IF(OR(Ops!$O$2:'Ops'!$O$13=K175),VLOOKUP(K175,Ops!$O$2:'Ops'!$P$13,2,FALSE),"000")&amp;IF(E175&lt;&gt;"",IF(LEN(_xlfn.XLOOKUP($E175,$C$5:$C$681,$B$5:$B$681,0))=3,HEX2BIN(LEFT(_xlfn.XLOOKUP($E175,$C$5:$C$681,$B$5:$B$681,0),1),3),IF(OR(Ops!$L$2:'Ops'!$L$11=J175),VLOOKUP(J175,Ops!$L$2:'Ops'!$M$11,2,FALSE),"000")),IF(OR(Ops!$L$2:'Ops'!$L$11=J175),VLOOKUP(J175,Ops!$L$2:'Ops'!$M$11,2,FALSE),"000")),2)</f>
        <v>00</v>
      </c>
      <c r="R175" s="27"/>
      <c r="Z175" s="74" t="str">
        <f t="shared" si="45"/>
        <v>0x00,</v>
      </c>
      <c r="AA175" s="75" t="str">
        <f t="shared" si="46"/>
        <v>0x02,</v>
      </c>
      <c r="AB175" s="75" t="str">
        <f t="shared" si="47"/>
        <v>0x00,</v>
      </c>
      <c r="AC175" s="76"/>
    </row>
    <row r="176" spans="1:29" x14ac:dyDescent="0.3">
      <c r="A176" s="79">
        <f t="shared" si="13"/>
        <v>534</v>
      </c>
      <c r="B176" s="80" t="str">
        <f t="shared" si="48"/>
        <v>216</v>
      </c>
      <c r="D176" s="29"/>
      <c r="F176" s="29"/>
      <c r="G176" s="24"/>
      <c r="H176" s="29"/>
      <c r="J176" s="4" t="s">
        <v>314</v>
      </c>
      <c r="K176" s="4" t="s">
        <v>313</v>
      </c>
      <c r="L176" s="4" t="s">
        <v>180</v>
      </c>
      <c r="M176" s="14"/>
      <c r="O176" s="25" t="str" cm="1">
        <f t="array" ref="O176">BIN2HEX(IF(I176&lt;&gt;"",VLOOKUP(I176,Ops!$I$2:'Ops'!$J$15,2,FALSE),IF(ISNUMBER(SEARCH("BR",D176)),"001","000"))&amp;IF(D176&lt;&gt;"",VLOOKUP(D176,Ops!$B$2:'Ops'!$C$23,2,FALSE),"0")&amp;_xlfn.IFS(ISNUMBER(SEARCH("BR",D176)),VLOOKUP(D176,Ops!$B$3:'Ops'!$D$22,3,FALSE),F176&lt;&gt;"",VLOOKUP(F176,Ops!$R$2:'Ops'!$S$11,2),L176&lt;&gt;"",VLOOKUP(L176,Ops!$R$2:'Ops'!$S$25,2,FALSE),TRUE,"0000"),2)</f>
        <v>01</v>
      </c>
      <c r="P176" s="26" t="str">
        <f>RIGHT(IF($E176&lt;&gt;"",_xlfn.XLOOKUP($E176,$C$4:$C$681,$B$4:$B$681,"NO LABEL"),BIN2HEX(IF(N176="CarryEn","1","0")&amp;IF(M176="SubXY","1","0")&amp;IF(H176&lt;&gt;"",VLOOKUP(H176,Ops!$F$2:'Ops'!$G$20,2,FALSE),"000000"),2)),2)</f>
        <v>00</v>
      </c>
      <c r="Q176" s="26" t="str" cm="1">
        <f t="array" ref="Q176">BIN2HEX(_xlfn.IFS(D176="HWINTEN","10",G176="KeyAck","01",G176="InitLp8","01",TRUE,"00")&amp;IF(OR(Ops!$O$2:'Ops'!$O$13=K176),VLOOKUP(K176,Ops!$O$2:'Ops'!$P$13,2,FALSE),"000")&amp;IF(E176&lt;&gt;"",IF(LEN(_xlfn.XLOOKUP($E176,$C$5:$C$681,$B$5:$B$681,0))=3,HEX2BIN(LEFT(_xlfn.XLOOKUP($E176,$C$5:$C$681,$B$5:$B$681,0),1),3),IF(OR(Ops!$L$2:'Ops'!$L$11=J176),VLOOKUP(J176,Ops!$L$2:'Ops'!$M$11,2,FALSE),"000")),IF(OR(Ops!$L$2:'Ops'!$L$11=J176),VLOOKUP(J176,Ops!$L$2:'Ops'!$M$11,2,FALSE),"000")),2)</f>
        <v>36</v>
      </c>
      <c r="R176" s="27"/>
      <c r="S176" s="4" t="s">
        <v>233</v>
      </c>
      <c r="Z176" s="74" t="str">
        <f t="shared" ref="Z176:Z183" si="49">IF(O176="", "};", "0x"&amp;O176&amp;",")</f>
        <v>0x01,</v>
      </c>
      <c r="AA176" s="75" t="str">
        <f t="shared" ref="AA176:AB183" si="50">"0x"&amp;P176&amp;","</f>
        <v>0x00,</v>
      </c>
      <c r="AB176" s="75" t="str">
        <f t="shared" si="50"/>
        <v>0x36,</v>
      </c>
      <c r="AC176" s="76"/>
    </row>
    <row r="177" spans="1:29" x14ac:dyDescent="0.3">
      <c r="A177" s="79">
        <f t="shared" si="13"/>
        <v>537</v>
      </c>
      <c r="B177" s="80" t="str">
        <f t="shared" ref="B177:B183" si="51">DEC2HEX(A177)</f>
        <v>219</v>
      </c>
      <c r="C177" s="4" t="s">
        <v>237</v>
      </c>
      <c r="D177" s="29"/>
      <c r="F177" s="29"/>
      <c r="G177" s="24"/>
      <c r="H177" s="29"/>
      <c r="J177" s="4" t="s">
        <v>314</v>
      </c>
      <c r="L177" s="4" t="s">
        <v>311</v>
      </c>
      <c r="M177" s="14"/>
      <c r="O177" s="25" t="str" cm="1">
        <f t="array" ref="O177">BIN2HEX(IF(I177&lt;&gt;"",VLOOKUP(I177,Ops!$I$2:'Ops'!$J$15,2,FALSE),IF(ISNUMBER(SEARCH("BR",D177)),"001","000"))&amp;IF(D177&lt;&gt;"",VLOOKUP(D177,Ops!$B$2:'Ops'!$C$23,2,FALSE),"0")&amp;_xlfn.IFS(ISNUMBER(SEARCH("BR",D177)),VLOOKUP(D177,Ops!$B$3:'Ops'!$D$22,3,FALSE),F177&lt;&gt;"",VLOOKUP(F177,Ops!$R$2:'Ops'!$S$11,2),L177&lt;&gt;"",VLOOKUP(L177,Ops!$R$2:'Ops'!$S$25,2,FALSE),TRUE,"0000"),2)</f>
        <v>04</v>
      </c>
      <c r="P177" s="26" t="str">
        <f>RIGHT(IF($E177&lt;&gt;"",_xlfn.XLOOKUP($E177,$C$4:$C$681,$B$4:$B$681,"NO LABEL"),BIN2HEX(IF(N177="CarryEn","1","0")&amp;IF(M177="SubXY","1","0")&amp;IF(H177&lt;&gt;"",VLOOKUP(H177,Ops!$F$2:'Ops'!$G$20,2,FALSE),"000000"),2)),2)</f>
        <v>00</v>
      </c>
      <c r="Q177" s="26" t="str" cm="1">
        <f t="array" ref="Q177">BIN2HEX(_xlfn.IFS(D177="HWINTEN","10",G177="KeyAck","01",G177="InitLp8","01",TRUE,"00")&amp;IF(OR(Ops!$O$2:'Ops'!$O$13=K177),VLOOKUP(K177,Ops!$O$2:'Ops'!$P$13,2,FALSE),"000")&amp;IF(E177&lt;&gt;"",IF(LEN(_xlfn.XLOOKUP($E177,$C$5:$C$681,$B$5:$B$681,0))=3,HEX2BIN(LEFT(_xlfn.XLOOKUP($E177,$C$5:$C$681,$B$5:$B$681,0),1),3),IF(OR(Ops!$L$2:'Ops'!$L$11=J177),VLOOKUP(J177,Ops!$L$2:'Ops'!$M$11,2,FALSE),"000")),IF(OR(Ops!$L$2:'Ops'!$L$11=J177),VLOOKUP(J177,Ops!$L$2:'Ops'!$M$11,2,FALSE),"000")),2)</f>
        <v>06</v>
      </c>
      <c r="R177" s="27"/>
      <c r="S177" s="4" t="s">
        <v>225</v>
      </c>
      <c r="Z177" s="74" t="str">
        <f t="shared" si="49"/>
        <v>0x04,</v>
      </c>
      <c r="AA177" s="75" t="str">
        <f t="shared" si="50"/>
        <v>0x00,</v>
      </c>
      <c r="AB177" s="75" t="str">
        <f t="shared" si="50"/>
        <v>0x06,</v>
      </c>
      <c r="AC177" s="76"/>
    </row>
    <row r="178" spans="1:29" x14ac:dyDescent="0.3">
      <c r="A178" s="79">
        <f t="shared" si="13"/>
        <v>540</v>
      </c>
      <c r="B178" s="80" t="str">
        <f t="shared" si="51"/>
        <v>21C</v>
      </c>
      <c r="D178" s="29" t="s">
        <v>221</v>
      </c>
      <c r="E178" s="4" t="s">
        <v>226</v>
      </c>
      <c r="F178" s="29"/>
      <c r="G178" s="24"/>
      <c r="H178" s="29"/>
      <c r="M178" s="14"/>
      <c r="O178" s="25" t="str" cm="1">
        <f t="array" ref="O178">BIN2HEX(IF(I178&lt;&gt;"",VLOOKUP(I178,Ops!$I$2:'Ops'!$J$15,2,FALSE),IF(ISNUMBER(SEARCH("BR",D178)),"001","000"))&amp;IF(D178&lt;&gt;"",VLOOKUP(D178,Ops!$B$2:'Ops'!$C$23,2,FALSE),"0")&amp;_xlfn.IFS(ISNUMBER(SEARCH("BR",D178)),VLOOKUP(D178,Ops!$B$3:'Ops'!$D$22,3,FALSE),F178&lt;&gt;"",VLOOKUP(F178,Ops!$R$2:'Ops'!$S$11,2),L178&lt;&gt;"",VLOOKUP(L178,Ops!$R$2:'Ops'!$S$25,2,FALSE),TRUE,"0000"),2)</f>
        <v>36</v>
      </c>
      <c r="P178" s="26" t="str">
        <f>RIGHT(IF($E178&lt;&gt;"",_xlfn.XLOOKUP($E178,$C$4:$C$681,$B$4:$B$681,"NO LABEL"),BIN2HEX(IF(N178="CarryEn","1","0")&amp;IF(M178="SubXY","1","0")&amp;IF(H178&lt;&gt;"",VLOOKUP(H178,Ops!$F$2:'Ops'!$G$20,2,FALSE),"000000"),2)),2)</f>
        <v>25</v>
      </c>
      <c r="Q178" s="26" t="str" cm="1">
        <f t="array" ref="Q178">BIN2HEX(_xlfn.IFS(D178="HWINTEN","10",G178="KeyAck","01",G178="InitLp8","01",TRUE,"00")&amp;IF(OR(Ops!$O$2:'Ops'!$O$13=K178),VLOOKUP(K178,Ops!$O$2:'Ops'!$P$13,2,FALSE),"000")&amp;IF(E178&lt;&gt;"",IF(LEN(_xlfn.XLOOKUP($E178,$C$5:$C$681,$B$5:$B$681,0))=3,HEX2BIN(LEFT(_xlfn.XLOOKUP($E178,$C$5:$C$681,$B$5:$B$681,0),1),3),IF(OR(Ops!$L$2:'Ops'!$L$11=J178),VLOOKUP(J178,Ops!$L$2:'Ops'!$M$11,2,FALSE),"000")),IF(OR(Ops!$L$2:'Ops'!$L$11=J178),VLOOKUP(J178,Ops!$L$2:'Ops'!$M$11,2,FALSE),"000")),2)</f>
        <v>02</v>
      </c>
      <c r="R178" s="27"/>
      <c r="S178" s="4" t="s">
        <v>222</v>
      </c>
      <c r="Z178" s="74" t="str">
        <f t="shared" si="49"/>
        <v>0x36,</v>
      </c>
      <c r="AA178" s="75" t="str">
        <f t="shared" si="50"/>
        <v>0x25,</v>
      </c>
      <c r="AB178" s="75" t="str">
        <f t="shared" si="50"/>
        <v>0x02,</v>
      </c>
      <c r="AC178" s="76"/>
    </row>
    <row r="179" spans="1:29" x14ac:dyDescent="0.3">
      <c r="A179" s="79">
        <f t="shared" si="13"/>
        <v>543</v>
      </c>
      <c r="B179" s="80" t="str">
        <f t="shared" si="51"/>
        <v>21F</v>
      </c>
      <c r="D179" s="29"/>
      <c r="F179" s="29"/>
      <c r="G179" s="24"/>
      <c r="H179" s="29"/>
      <c r="J179" s="4" t="s">
        <v>314</v>
      </c>
      <c r="L179" s="4" t="s">
        <v>312</v>
      </c>
      <c r="M179" s="14"/>
      <c r="O179" s="25" t="str" cm="1">
        <f t="array" ref="O179">BIN2HEX(IF(I179&lt;&gt;"",VLOOKUP(I179,Ops!$I$2:'Ops'!$J$15,2,FALSE),IF(ISNUMBER(SEARCH("BR",D179)),"001","000"))&amp;IF(D179&lt;&gt;"",VLOOKUP(D179,Ops!$B$2:'Ops'!$C$23,2,FALSE),"0")&amp;_xlfn.IFS(ISNUMBER(SEARCH("BR",D179)),VLOOKUP(D179,Ops!$B$3:'Ops'!$D$22,3,FALSE),F179&lt;&gt;"",VLOOKUP(F179,Ops!$R$2:'Ops'!$S$11,2),L179&lt;&gt;"",VLOOKUP(L179,Ops!$R$2:'Ops'!$S$25,2,FALSE),TRUE,"0000"),2)</f>
        <v>03</v>
      </c>
      <c r="P179" s="26" t="str">
        <f>RIGHT(IF($E179&lt;&gt;"",_xlfn.XLOOKUP($E179,$C$4:$C$681,$B$4:$B$681,"NO LABEL"),BIN2HEX(IF(N179="CarryEn","1","0")&amp;IF(M179="SubXY","1","0")&amp;IF(H179&lt;&gt;"",VLOOKUP(H179,Ops!$F$2:'Ops'!$G$20,2,FALSE),"000000"),2)),2)</f>
        <v>00</v>
      </c>
      <c r="Q179" s="26" t="str" cm="1">
        <f t="array" ref="Q179">BIN2HEX(_xlfn.IFS(D179="HWINTEN","10",G179="KeyAck","01",G179="InitLp8","01",TRUE,"00")&amp;IF(OR(Ops!$O$2:'Ops'!$O$13=K179),VLOOKUP(K179,Ops!$O$2:'Ops'!$P$13,2,FALSE),"000")&amp;IF(E179&lt;&gt;"",IF(LEN(_xlfn.XLOOKUP($E179,$C$5:$C$681,$B$5:$B$681,0))=3,HEX2BIN(LEFT(_xlfn.XLOOKUP($E179,$C$5:$C$681,$B$5:$B$681,0),1),3),IF(OR(Ops!$L$2:'Ops'!$L$11=J179),VLOOKUP(J179,Ops!$L$2:'Ops'!$M$11,2,FALSE),"000")),IF(OR(Ops!$L$2:'Ops'!$L$11=J179),VLOOKUP(J179,Ops!$L$2:'Ops'!$M$11,2,FALSE),"000")),2)</f>
        <v>06</v>
      </c>
      <c r="R179" s="27"/>
      <c r="S179" s="4" t="s">
        <v>223</v>
      </c>
      <c r="Z179" s="74" t="str">
        <f t="shared" si="49"/>
        <v>0x03,</v>
      </c>
      <c r="AA179" s="75" t="str">
        <f t="shared" si="50"/>
        <v>0x00,</v>
      </c>
      <c r="AB179" s="75" t="str">
        <f t="shared" si="50"/>
        <v>0x06,</v>
      </c>
      <c r="AC179" s="76"/>
    </row>
    <row r="180" spans="1:29" x14ac:dyDescent="0.3">
      <c r="A180" s="79">
        <f t="shared" si="13"/>
        <v>546</v>
      </c>
      <c r="B180" s="80" t="str">
        <f t="shared" si="51"/>
        <v>222</v>
      </c>
      <c r="C180" s="12"/>
      <c r="D180" s="29" t="s">
        <v>0</v>
      </c>
      <c r="E180" s="4" t="s">
        <v>1</v>
      </c>
      <c r="F180" s="29"/>
      <c r="G180" s="24"/>
      <c r="H180" s="29"/>
      <c r="M180" s="14"/>
      <c r="O180" s="25" t="str" cm="1">
        <f t="array" ref="O180">BIN2HEX(IF(I180&lt;&gt;"",VLOOKUP(I180,Ops!$I$2:'Ops'!$J$15,2,FALSE),IF(ISNUMBER(SEARCH("BR",D180)),"001","000"))&amp;IF(D180&lt;&gt;"",VLOOKUP(D180,Ops!$B$2:'Ops'!$C$23,2,FALSE),"0")&amp;_xlfn.IFS(ISNUMBER(SEARCH("BR",D180)),VLOOKUP(D180,Ops!$B$3:'Ops'!$D$22,3,FALSE),F180&lt;&gt;"",VLOOKUP(F180,Ops!$R$2:'Ops'!$S$11,2),L180&lt;&gt;"",VLOOKUP(L180,Ops!$R$2:'Ops'!$S$25,2,FALSE),TRUE,"0000"),2)</f>
        <v>10</v>
      </c>
      <c r="P180" s="26" t="str">
        <f>RIGHT(IF($E180&lt;&gt;"",_xlfn.XLOOKUP($E180,$C$4:$C$681,$B$4:$B$681,"NO LABEL"),BIN2HEX(IF(N180="CarryEn","1","0")&amp;IF(M180="SubXY","1","0")&amp;IF(H180&lt;&gt;"",VLOOKUP(H180,Ops!$F$2:'Ops'!$G$20,2,FALSE),"000000"),2)),2)</f>
        <v>60</v>
      </c>
      <c r="Q180" s="26" t="str" cm="1">
        <f t="array" ref="Q180">BIN2HEX(_xlfn.IFS(D180="HWINTEN","10",G180="KeyAck","01",G180="InitLp8","01",TRUE,"00")&amp;IF(OR(Ops!$O$2:'Ops'!$O$13=K180),VLOOKUP(K180,Ops!$O$2:'Ops'!$P$13,2,FALSE),"000")&amp;IF(E180&lt;&gt;"",IF(LEN(_xlfn.XLOOKUP($E180,$C$5:$C$681,$B$5:$B$681,0))=3,HEX2BIN(LEFT(_xlfn.XLOOKUP($E180,$C$5:$C$681,$B$5:$B$681,0),1),3),IF(OR(Ops!$L$2:'Ops'!$L$11=J180),VLOOKUP(J180,Ops!$L$2:'Ops'!$M$11,2,FALSE),"000")),IF(OR(Ops!$L$2:'Ops'!$L$11=J180),VLOOKUP(J180,Ops!$L$2:'Ops'!$M$11,2,FALSE),"000")),2)</f>
        <v>00</v>
      </c>
      <c r="R180" s="27"/>
      <c r="S180" s="4" t="s">
        <v>224</v>
      </c>
      <c r="Z180" s="74" t="str">
        <f t="shared" si="49"/>
        <v>0x10,</v>
      </c>
      <c r="AA180" s="75" t="str">
        <f t="shared" si="50"/>
        <v>0x60,</v>
      </c>
      <c r="AB180" s="75" t="str">
        <f t="shared" si="50"/>
        <v>0x00,</v>
      </c>
      <c r="AC180" s="76"/>
    </row>
    <row r="181" spans="1:29" x14ac:dyDescent="0.3">
      <c r="A181" s="79">
        <f t="shared" si="13"/>
        <v>549</v>
      </c>
      <c r="B181" s="80" t="str">
        <f t="shared" si="51"/>
        <v>225</v>
      </c>
      <c r="C181" s="4" t="s">
        <v>226</v>
      </c>
      <c r="D181" s="29"/>
      <c r="F181" s="29"/>
      <c r="G181" s="24"/>
      <c r="H181" s="29"/>
      <c r="J181" s="4" t="s">
        <v>314</v>
      </c>
      <c r="K181" s="4" t="s">
        <v>313</v>
      </c>
      <c r="L181" s="4" t="s">
        <v>312</v>
      </c>
      <c r="M181" s="14"/>
      <c r="O181" s="25" t="str" cm="1">
        <f t="array" ref="O181">BIN2HEX(IF(I181&lt;&gt;"",VLOOKUP(I181,Ops!$I$2:'Ops'!$J$15,2,FALSE),IF(ISNUMBER(SEARCH("BR",D181)),"001","000"))&amp;IF(D181&lt;&gt;"",VLOOKUP(D181,Ops!$B$2:'Ops'!$C$23,2,FALSE),"0")&amp;_xlfn.IFS(ISNUMBER(SEARCH("BR",D181)),VLOOKUP(D181,Ops!$B$3:'Ops'!$D$22,3,FALSE),F181&lt;&gt;"",VLOOKUP(F181,Ops!$R$2:'Ops'!$S$11,2),L181&lt;&gt;"",VLOOKUP(L181,Ops!$R$2:'Ops'!$S$25,2,FALSE),TRUE,"0000"),2)</f>
        <v>03</v>
      </c>
      <c r="P181" s="26" t="str">
        <f>RIGHT(IF($E181&lt;&gt;"",_xlfn.XLOOKUP($E181,$C$4:$C$681,$B$4:$B$681,"NO LABEL"),BIN2HEX(IF(N181="CarryEn","1","0")&amp;IF(M181="SubXY","1","0")&amp;IF(H181&lt;&gt;"",VLOOKUP(H181,Ops!$F$2:'Ops'!$G$20,2,FALSE),"000000"),2)),2)</f>
        <v>00</v>
      </c>
      <c r="Q181" s="26" t="str" cm="1">
        <f t="array" ref="Q181">BIN2HEX(_xlfn.IFS(D181="HWINTEN","10",G181="KeyAck","01",G181="InitLp8","01",TRUE,"00")&amp;IF(OR(Ops!$O$2:'Ops'!$O$13=K181),VLOOKUP(K181,Ops!$O$2:'Ops'!$P$13,2,FALSE),"000")&amp;IF(E181&lt;&gt;"",IF(LEN(_xlfn.XLOOKUP($E181,$C$5:$C$681,$B$5:$B$681,0))=3,HEX2BIN(LEFT(_xlfn.XLOOKUP($E181,$C$5:$C$681,$B$5:$B$681,0),1),3),IF(OR(Ops!$L$2:'Ops'!$L$11=J181),VLOOKUP(J181,Ops!$L$2:'Ops'!$M$11,2,FALSE),"000")),IF(OR(Ops!$L$2:'Ops'!$L$11=J181),VLOOKUP(J181,Ops!$L$2:'Ops'!$M$11,2,FALSE),"000")),2)</f>
        <v>36</v>
      </c>
      <c r="R181" s="27"/>
      <c r="S181" s="4" t="s">
        <v>234</v>
      </c>
      <c r="Z181" s="74" t="str">
        <f t="shared" si="49"/>
        <v>0x03,</v>
      </c>
      <c r="AA181" s="75" t="str">
        <f t="shared" si="50"/>
        <v>0x00,</v>
      </c>
      <c r="AB181" s="75" t="str">
        <f t="shared" si="50"/>
        <v>0x36,</v>
      </c>
      <c r="AC181" s="76"/>
    </row>
    <row r="182" spans="1:29" x14ac:dyDescent="0.3">
      <c r="A182" s="79">
        <f t="shared" si="13"/>
        <v>552</v>
      </c>
      <c r="B182" s="80" t="str">
        <f t="shared" si="51"/>
        <v>228</v>
      </c>
      <c r="D182" s="29" t="s">
        <v>0</v>
      </c>
      <c r="E182" s="4" t="s">
        <v>1</v>
      </c>
      <c r="F182" s="29"/>
      <c r="G182" s="24"/>
      <c r="H182" s="29"/>
      <c r="M182" s="14"/>
      <c r="O182" s="25" t="str" cm="1">
        <f t="array" ref="O182">BIN2HEX(IF(I182&lt;&gt;"",VLOOKUP(I182,Ops!$I$2:'Ops'!$J$15,2,FALSE),IF(ISNUMBER(SEARCH("BR",D182)),"001","000"))&amp;IF(D182&lt;&gt;"",VLOOKUP(D182,Ops!$B$2:'Ops'!$C$23,2,FALSE),"0")&amp;_xlfn.IFS(ISNUMBER(SEARCH("BR",D182)),VLOOKUP(D182,Ops!$B$3:'Ops'!$D$22,3,FALSE),F182&lt;&gt;"",VLOOKUP(F182,Ops!$R$2:'Ops'!$S$11,2),L182&lt;&gt;"",VLOOKUP(L182,Ops!$R$2:'Ops'!$S$25,2,FALSE),TRUE,"0000"),2)</f>
        <v>10</v>
      </c>
      <c r="P182" s="26" t="str">
        <f>RIGHT(IF($E182&lt;&gt;"",_xlfn.XLOOKUP($E182,$C$4:$C$681,$B$4:$B$681,"NO LABEL"),BIN2HEX(IF(N182="CarryEn","1","0")&amp;IF(M182="SubXY","1","0")&amp;IF(H182&lt;&gt;"",VLOOKUP(H182,Ops!$F$2:'Ops'!$G$20,2,FALSE),"000000"),2)),2)</f>
        <v>60</v>
      </c>
      <c r="Q182" s="26" t="str" cm="1">
        <f t="array" ref="Q182">BIN2HEX(_xlfn.IFS(D182="HWINTEN","10",G182="KeyAck","01",G182="InitLp8","01",TRUE,"00")&amp;IF(OR(Ops!$O$2:'Ops'!$O$13=K182),VLOOKUP(K182,Ops!$O$2:'Ops'!$P$13,2,FALSE),"000")&amp;IF(E182&lt;&gt;"",IF(LEN(_xlfn.XLOOKUP($E182,$C$5:$C$681,$B$5:$B$681,0))=3,HEX2BIN(LEFT(_xlfn.XLOOKUP($E182,$C$5:$C$681,$B$5:$B$681,0),1),3),IF(OR(Ops!$L$2:'Ops'!$L$11=J182),VLOOKUP(J182,Ops!$L$2:'Ops'!$M$11,2,FALSE),"000")),IF(OR(Ops!$L$2:'Ops'!$L$11=J182),VLOOKUP(J182,Ops!$L$2:'Ops'!$M$11,2,FALSE),"000")),2)</f>
        <v>00</v>
      </c>
      <c r="R182" s="27"/>
      <c r="S182" s="4" t="s">
        <v>224</v>
      </c>
      <c r="Z182" s="74" t="str">
        <f t="shared" si="49"/>
        <v>0x10,</v>
      </c>
      <c r="AA182" s="75" t="str">
        <f t="shared" si="50"/>
        <v>0x60,</v>
      </c>
      <c r="AB182" s="75" t="str">
        <f t="shared" si="50"/>
        <v>0x00,</v>
      </c>
      <c r="AC182" s="76"/>
    </row>
    <row r="183" spans="1:29" x14ac:dyDescent="0.3">
      <c r="A183" s="79">
        <f t="shared" si="13"/>
        <v>555</v>
      </c>
      <c r="B183" s="80" t="str">
        <f t="shared" si="51"/>
        <v>22B</v>
      </c>
      <c r="C183" s="12" t="s">
        <v>14</v>
      </c>
      <c r="D183" s="29"/>
      <c r="F183" s="29"/>
      <c r="G183" s="24" t="s">
        <v>692</v>
      </c>
      <c r="H183" s="29"/>
      <c r="I183" s="4" t="s">
        <v>290</v>
      </c>
      <c r="J183" s="4" t="s">
        <v>60</v>
      </c>
      <c r="K183" s="4" t="s">
        <v>480</v>
      </c>
      <c r="M183" s="14"/>
      <c r="O183" s="25" t="str" cm="1">
        <f t="array" ref="O183">BIN2HEX(IF(I183&lt;&gt;"",VLOOKUP(I183,Ops!$I$2:'Ops'!$J$15,2,FALSE),IF(ISNUMBER(SEARCH("BR",D183)),"001","000"))&amp;IF(D183&lt;&gt;"",VLOOKUP(D183,Ops!$B$2:'Ops'!$C$23,2,FALSE),"0")&amp;_xlfn.IFS(ISNUMBER(SEARCH("BR",D183)),VLOOKUP(D183,Ops!$B$3:'Ops'!$D$22,3,FALSE),F183&lt;&gt;"",VLOOKUP(F183,Ops!$R$2:'Ops'!$S$11,2),L183&lt;&gt;"",VLOOKUP(L183,Ops!$R$2:'Ops'!$S$25,2,FALSE),TRUE,"0000"),2)</f>
        <v>40</v>
      </c>
      <c r="P183" s="26" t="str">
        <f>RIGHT(IF($E183&lt;&gt;"",_xlfn.XLOOKUP($E183,$C$4:$C$681,$B$4:$B$681,"NO LABEL"),BIN2HEX(IF(N183="CarryEn","1","0")&amp;IF(M183="SubXY","1","0")&amp;IF(H183&lt;&gt;"",VLOOKUP(H183,Ops!$F$2:'Ops'!$G$20,2,FALSE),"000000"),2)),2)</f>
        <v>00</v>
      </c>
      <c r="Q183" s="26" t="str" cm="1">
        <f t="array" ref="Q183">BIN2HEX(_xlfn.IFS(D183="HWINTEN","10",G183="KeyAck","01",G183="InitLp8","01",TRUE,"00")&amp;IF(OR(Ops!$O$2:'Ops'!$O$13=K183),VLOOKUP(K183,Ops!$O$2:'Ops'!$P$13,2,FALSE),"000")&amp;IF(E183&lt;&gt;"",IF(LEN(_xlfn.XLOOKUP($E183,$C$5:$C$681,$B$5:$B$681,0))=3,HEX2BIN(LEFT(_xlfn.XLOOKUP($E183,$C$5:$C$681,$B$5:$B$681,0),1),3),IF(OR(Ops!$L$2:'Ops'!$L$11=J183),VLOOKUP(J183,Ops!$L$2:'Ops'!$M$11,2,FALSE),"000")),IF(OR(Ops!$L$2:'Ops'!$L$11=J183),VLOOKUP(J183,Ops!$L$2:'Ops'!$M$11,2,FALSE),"000")),2)</f>
        <v>41</v>
      </c>
      <c r="R183" s="27"/>
      <c r="S183" s="39" t="s">
        <v>351</v>
      </c>
      <c r="Z183" s="74" t="str">
        <f t="shared" si="49"/>
        <v>0x40,</v>
      </c>
      <c r="AA183" s="75" t="str">
        <f t="shared" si="50"/>
        <v>0x00,</v>
      </c>
      <c r="AB183" s="75" t="str">
        <f t="shared" si="50"/>
        <v>0x41,</v>
      </c>
      <c r="AC183" s="76"/>
    </row>
    <row r="184" spans="1:29" x14ac:dyDescent="0.3">
      <c r="A184" s="79">
        <f t="shared" si="13"/>
        <v>558</v>
      </c>
      <c r="B184" s="80" t="str">
        <f t="shared" ref="B184:B186" si="52">DEC2HEX(A184)</f>
        <v>22E</v>
      </c>
      <c r="C184" s="12"/>
      <c r="D184" s="29"/>
      <c r="F184" s="29"/>
      <c r="G184" s="24" t="s">
        <v>692</v>
      </c>
      <c r="H184" s="29"/>
      <c r="I184" s="4" t="s">
        <v>291</v>
      </c>
      <c r="J184" s="4" t="s">
        <v>61</v>
      </c>
      <c r="K184" s="4" t="s">
        <v>483</v>
      </c>
      <c r="M184" s="14"/>
      <c r="O184" s="25" t="str" cm="1">
        <f t="array" ref="O184">BIN2HEX(IF(I184&lt;&gt;"",VLOOKUP(I184,Ops!$I$2:'Ops'!$J$15,2,FALSE),IF(ISNUMBER(SEARCH("BR",D184)),"001","000"))&amp;IF(D184&lt;&gt;"",VLOOKUP(D184,Ops!$B$2:'Ops'!$C$23,2,FALSE),"0")&amp;_xlfn.IFS(ISNUMBER(SEARCH("BR",D184)),VLOOKUP(D184,Ops!$B$3:'Ops'!$D$22,3,FALSE),F184&lt;&gt;"",VLOOKUP(F184,Ops!$R$2:'Ops'!$S$11,2),L184&lt;&gt;"",VLOOKUP(L184,Ops!$R$2:'Ops'!$S$25,2,FALSE),TRUE,"0000"),2)</f>
        <v>80</v>
      </c>
      <c r="P184" s="26" t="str">
        <f>RIGHT(IF($E184&lt;&gt;"",_xlfn.XLOOKUP($E184,$C$4:$C$681,$B$4:$B$681,"NO LABEL"),BIN2HEX(IF(N184="CarryEn","1","0")&amp;IF(M184="SubXY","1","0")&amp;IF(H184&lt;&gt;"",VLOOKUP(H184,Ops!$F$2:'Ops'!$G$20,2,FALSE),"000000"),2)),2)</f>
        <v>00</v>
      </c>
      <c r="Q184" s="26" t="str" cm="1">
        <f t="array" ref="Q184">BIN2HEX(_xlfn.IFS(D184="HWINTEN","10",G184="KeyAck","01",G184="InitLp8","01",TRUE,"00")&amp;IF(OR(Ops!$O$2:'Ops'!$O$13=K184),VLOOKUP(K184,Ops!$O$2:'Ops'!$P$13,2,FALSE),"000")&amp;IF(E184&lt;&gt;"",IF(LEN(_xlfn.XLOOKUP($E184,$C$5:$C$681,$B$5:$B$681,0))=3,HEX2BIN(LEFT(_xlfn.XLOOKUP($E184,$C$5:$C$681,$B$5:$B$681,0),1),3),IF(OR(Ops!$L$2:'Ops'!$L$11=J184),VLOOKUP(J184,Ops!$L$2:'Ops'!$M$11,2,FALSE),"000")),IF(OR(Ops!$L$2:'Ops'!$L$11=J184),VLOOKUP(J184,Ops!$L$2:'Ops'!$M$11,2,FALSE),"000")),2)</f>
        <v>42</v>
      </c>
      <c r="R184" s="27"/>
      <c r="Z184" s="74" t="str">
        <f t="shared" ref="Z184:Z188" si="53">IF(O184="", "};", "0x"&amp;O184&amp;",")</f>
        <v>0x80,</v>
      </c>
      <c r="AA184" s="75" t="str">
        <f t="shared" ref="AA184:AA188" si="54">"0x"&amp;P184&amp;","</f>
        <v>0x00,</v>
      </c>
      <c r="AB184" s="75" t="str">
        <f t="shared" ref="AB184:AB188" si="55">"0x"&amp;Q184&amp;","</f>
        <v>0x42,</v>
      </c>
      <c r="AC184" s="76"/>
    </row>
    <row r="185" spans="1:29" x14ac:dyDescent="0.3">
      <c r="A185" s="79">
        <f t="shared" si="13"/>
        <v>561</v>
      </c>
      <c r="B185" s="80" t="str">
        <f t="shared" si="52"/>
        <v>231</v>
      </c>
      <c r="C185" s="4" t="s">
        <v>693</v>
      </c>
      <c r="D185" s="29"/>
      <c r="F185" s="29"/>
      <c r="G185" s="24"/>
      <c r="H185" s="29" t="s">
        <v>54</v>
      </c>
      <c r="I185" s="4" t="s">
        <v>481</v>
      </c>
      <c r="L185" s="4" t="s">
        <v>565</v>
      </c>
      <c r="M185" s="14"/>
      <c r="O185" s="25" t="str" cm="1">
        <f t="array" ref="O185">BIN2HEX(IF(I185&lt;&gt;"",VLOOKUP(I185,Ops!$I$2:'Ops'!$J$15,2,FALSE),IF(ISNUMBER(SEARCH("BR",D185)),"001","000"))&amp;IF(D185&lt;&gt;"",VLOOKUP(D185,Ops!$B$2:'Ops'!$C$23,2,FALSE),"0")&amp;_xlfn.IFS(ISNUMBER(SEARCH("BR",D185)),VLOOKUP(D185,Ops!$B$3:'Ops'!$D$22,3,FALSE),F185&lt;&gt;"",VLOOKUP(F185,Ops!$R$2:'Ops'!$S$11,2),L185&lt;&gt;"",VLOOKUP(L185,Ops!$R$2:'Ops'!$S$25,2,FALSE),TRUE,"0000"),2)</f>
        <v>0F</v>
      </c>
      <c r="P185" s="26" t="str">
        <f>RIGHT(IF($E185&lt;&gt;"",_xlfn.XLOOKUP($E185,$C$4:$C$681,$B$4:$B$681,"NO LABEL"),BIN2HEX(IF(N185="CarryEn","1","0")&amp;IF(M185="SubXY","1","0")&amp;IF(H185&lt;&gt;"",VLOOKUP(H185,Ops!$F$2:'Ops'!$G$20,2,FALSE),"000000"),2)),2)</f>
        <v>02</v>
      </c>
      <c r="Q185" s="26" t="str" cm="1">
        <f t="array" ref="Q185">BIN2HEX(_xlfn.IFS(D185="HWINTEN","10",G185="KeyAck","01",G185="InitLp8","01",TRUE,"00")&amp;IF(OR(Ops!$O$2:'Ops'!$O$13=K185),VLOOKUP(K185,Ops!$O$2:'Ops'!$P$13,2,FALSE),"000")&amp;IF(E185&lt;&gt;"",IF(LEN(_xlfn.XLOOKUP($E185,$C$5:$C$681,$B$5:$B$681,0))=3,HEX2BIN(LEFT(_xlfn.XLOOKUP($E185,$C$5:$C$681,$B$5:$B$681,0),1),3),IF(OR(Ops!$L$2:'Ops'!$L$11=J185),VLOOKUP(J185,Ops!$L$2:'Ops'!$M$11,2,FALSE),"000")),IF(OR(Ops!$L$2:'Ops'!$L$11=J185),VLOOKUP(J185,Ops!$L$2:'Ops'!$M$11,2,FALSE),"000")),2)</f>
        <v>00</v>
      </c>
      <c r="R185" s="27"/>
      <c r="S185" s="4" t="s">
        <v>581</v>
      </c>
      <c r="Z185" s="74" t="str">
        <f t="shared" si="53"/>
        <v>0x0F,</v>
      </c>
      <c r="AA185" s="75" t="str">
        <f t="shared" si="54"/>
        <v>0x02,</v>
      </c>
      <c r="AB185" s="75" t="str">
        <f t="shared" si="55"/>
        <v>0x00,</v>
      </c>
      <c r="AC185" s="76"/>
    </row>
    <row r="186" spans="1:29" x14ac:dyDescent="0.3">
      <c r="A186" s="79">
        <f t="shared" si="13"/>
        <v>564</v>
      </c>
      <c r="B186" s="80" t="str">
        <f t="shared" si="52"/>
        <v>234</v>
      </c>
      <c r="C186" s="12"/>
      <c r="D186" s="29" t="s">
        <v>251</v>
      </c>
      <c r="E186" s="4" t="s">
        <v>693</v>
      </c>
      <c r="F186" s="29"/>
      <c r="G186" s="24"/>
      <c r="H186" s="29"/>
      <c r="M186" s="14"/>
      <c r="O186" s="25" t="str" cm="1">
        <f t="array" ref="O186">BIN2HEX(IF(I186&lt;&gt;"",VLOOKUP(I186,Ops!$I$2:'Ops'!$J$15,2,FALSE),IF(ISNUMBER(SEARCH("BR",D186)),"001","000"))&amp;IF(D186&lt;&gt;"",VLOOKUP(D186,Ops!$B$2:'Ops'!$C$23,2,FALSE),"0")&amp;_xlfn.IFS(ISNUMBER(SEARCH("BR",D186)),VLOOKUP(D186,Ops!$B$3:'Ops'!$D$22,3,FALSE),F186&lt;&gt;"",VLOOKUP(F186,Ops!$R$2:'Ops'!$S$11,2),L186&lt;&gt;"",VLOOKUP(L186,Ops!$R$2:'Ops'!$S$25,2,FALSE),TRUE,"0000"),2)</f>
        <v>3F</v>
      </c>
      <c r="P186" s="26" t="str">
        <f>RIGHT(IF($E186&lt;&gt;"",_xlfn.XLOOKUP($E186,$C$4:$C$681,$B$4:$B$681,"NO LABEL"),BIN2HEX(IF(N186="CarryEn","1","0")&amp;IF(M186="SubXY","1","0")&amp;IF(H186&lt;&gt;"",VLOOKUP(H186,Ops!$F$2:'Ops'!$G$20,2,FALSE),"000000"),2)),2)</f>
        <v>31</v>
      </c>
      <c r="Q186" s="26" t="str" cm="1">
        <f t="array" ref="Q186">BIN2HEX(_xlfn.IFS(D186="HWINTEN","10",G186="KeyAck","01",G186="InitLp8","01",TRUE,"00")&amp;IF(OR(Ops!$O$2:'Ops'!$O$13=K186),VLOOKUP(K186,Ops!$O$2:'Ops'!$P$13,2,FALSE),"000")&amp;IF(E186&lt;&gt;"",IF(LEN(_xlfn.XLOOKUP($E186,$C$5:$C$681,$B$5:$B$681,0))=3,HEX2BIN(LEFT(_xlfn.XLOOKUP($E186,$C$5:$C$681,$B$5:$B$681,0),1),3),IF(OR(Ops!$L$2:'Ops'!$L$11=J186),VLOOKUP(J186,Ops!$L$2:'Ops'!$M$11,2,FALSE),"000")),IF(OR(Ops!$L$2:'Ops'!$L$11=J186),VLOOKUP(J186,Ops!$L$2:'Ops'!$M$11,2,FALSE),"000")),2)</f>
        <v>02</v>
      </c>
      <c r="R186" s="27"/>
      <c r="Z186" s="74" t="str">
        <f t="shared" si="53"/>
        <v>0x3F,</v>
      </c>
      <c r="AA186" s="75" t="str">
        <f t="shared" si="54"/>
        <v>0x31,</v>
      </c>
      <c r="AB186" s="75" t="str">
        <f t="shared" si="55"/>
        <v>0x02,</v>
      </c>
      <c r="AC186" s="76"/>
    </row>
    <row r="187" spans="1:29" x14ac:dyDescent="0.3">
      <c r="A187" s="79">
        <f t="shared" si="13"/>
        <v>567</v>
      </c>
      <c r="B187" s="80" t="str">
        <f t="shared" ref="B187:B188" si="56">DEC2HEX(A187)</f>
        <v>237</v>
      </c>
      <c r="C187" s="12"/>
      <c r="D187" s="29"/>
      <c r="F187" s="29"/>
      <c r="G187" s="24"/>
      <c r="H187" s="29" t="s">
        <v>54</v>
      </c>
      <c r="I187" s="4" t="s">
        <v>481</v>
      </c>
      <c r="L187" s="4">
        <v>0</v>
      </c>
      <c r="M187" s="14"/>
      <c r="O187" s="25" t="str" cm="1">
        <f t="array" ref="O187">BIN2HEX(IF(I187&lt;&gt;"",VLOOKUP(I187,Ops!$I$2:'Ops'!$J$15,2,FALSE),IF(ISNUMBER(SEARCH("BR",D187)),"001","000"))&amp;IF(D187&lt;&gt;"",VLOOKUP(D187,Ops!$B$2:'Ops'!$C$23,2,FALSE),"0")&amp;_xlfn.IFS(ISNUMBER(SEARCH("BR",D187)),VLOOKUP(D187,Ops!$B$3:'Ops'!$D$22,3,FALSE),F187&lt;&gt;"",VLOOKUP(F187,Ops!$R$2:'Ops'!$S$11,2),L187&lt;&gt;"",VLOOKUP(L187,Ops!$R$2:'Ops'!$S$25,2,FALSE),TRUE,"0000"),2)</f>
        <v>00</v>
      </c>
      <c r="P187" s="26" t="str">
        <f>RIGHT(IF($E187&lt;&gt;"",_xlfn.XLOOKUP($E187,$C$4:$C$681,$B$4:$B$681,"NO LABEL"),BIN2HEX(IF(N187="CarryEn","1","0")&amp;IF(M187="SubXY","1","0")&amp;IF(H187&lt;&gt;"",VLOOKUP(H187,Ops!$F$2:'Ops'!$G$20,2,FALSE),"000000"),2)),2)</f>
        <v>02</v>
      </c>
      <c r="Q187" s="26" t="str" cm="1">
        <f t="array" ref="Q187">BIN2HEX(_xlfn.IFS(D187="HWINTEN","10",G187="KeyAck","01",G187="InitLp8","01",TRUE,"00")&amp;IF(OR(Ops!$O$2:'Ops'!$O$13=K187),VLOOKUP(K187,Ops!$O$2:'Ops'!$P$13,2,FALSE),"000")&amp;IF(E187&lt;&gt;"",IF(LEN(_xlfn.XLOOKUP($E187,$C$5:$C$681,$B$5:$B$681,0))=3,HEX2BIN(LEFT(_xlfn.XLOOKUP($E187,$C$5:$C$681,$B$5:$B$681,0),1),3),IF(OR(Ops!$L$2:'Ops'!$L$11=J187),VLOOKUP(J187,Ops!$L$2:'Ops'!$M$11,2,FALSE),"000")),IF(OR(Ops!$L$2:'Ops'!$L$11=J187),VLOOKUP(J187,Ops!$L$2:'Ops'!$M$11,2,FALSE),"000")),2)</f>
        <v>00</v>
      </c>
      <c r="R187" s="27"/>
      <c r="Z187" s="74" t="str">
        <f t="shared" si="53"/>
        <v>0x00,</v>
      </c>
      <c r="AA187" s="75" t="str">
        <f t="shared" si="54"/>
        <v>0x02,</v>
      </c>
      <c r="AB187" s="75" t="str">
        <f t="shared" si="55"/>
        <v>0x00,</v>
      </c>
      <c r="AC187" s="76"/>
    </row>
    <row r="188" spans="1:29" x14ac:dyDescent="0.3">
      <c r="A188" s="79">
        <f t="shared" si="13"/>
        <v>570</v>
      </c>
      <c r="B188" s="80" t="str">
        <f t="shared" si="56"/>
        <v>23A</v>
      </c>
      <c r="C188" s="12"/>
      <c r="D188" s="29" t="s">
        <v>0</v>
      </c>
      <c r="E188" s="4" t="s">
        <v>1</v>
      </c>
      <c r="F188" s="29"/>
      <c r="G188" s="24"/>
      <c r="H188" s="29"/>
      <c r="M188" s="14"/>
      <c r="O188" s="25" t="str" cm="1">
        <f t="array" ref="O188">BIN2HEX(IF(I188&lt;&gt;"",VLOOKUP(I188,Ops!$I$2:'Ops'!$J$15,2,FALSE),IF(ISNUMBER(SEARCH("BR",D188)),"001","000"))&amp;IF(D188&lt;&gt;"",VLOOKUP(D188,Ops!$B$2:'Ops'!$C$23,2,FALSE),"0")&amp;_xlfn.IFS(ISNUMBER(SEARCH("BR",D188)),VLOOKUP(D188,Ops!$B$3:'Ops'!$D$22,3,FALSE),F188&lt;&gt;"",VLOOKUP(F188,Ops!$R$2:'Ops'!$S$11,2),L188&lt;&gt;"",VLOOKUP(L188,Ops!$R$2:'Ops'!$S$25,2,FALSE),TRUE,"0000"),2)</f>
        <v>10</v>
      </c>
      <c r="P188" s="26" t="str">
        <f>RIGHT(IF($E188&lt;&gt;"",_xlfn.XLOOKUP($E188,$C$4:$C$681,$B$4:$B$681,"NO LABEL"),BIN2HEX(IF(N188="CarryEn","1","0")&amp;IF(M188="SubXY","1","0")&amp;IF(H188&lt;&gt;"",VLOOKUP(H188,Ops!$F$2:'Ops'!$G$20,2,FALSE),"000000"),2)),2)</f>
        <v>60</v>
      </c>
      <c r="Q188" s="26" t="str" cm="1">
        <f t="array" ref="Q188">BIN2HEX(_xlfn.IFS(D188="HWINTEN","10",G188="KeyAck","01",G188="InitLp8","01",TRUE,"00")&amp;IF(OR(Ops!$O$2:'Ops'!$O$13=K188),VLOOKUP(K188,Ops!$O$2:'Ops'!$P$13,2,FALSE),"000")&amp;IF(E188&lt;&gt;"",IF(LEN(_xlfn.XLOOKUP($E188,$C$5:$C$681,$B$5:$B$681,0))=3,HEX2BIN(LEFT(_xlfn.XLOOKUP($E188,$C$5:$C$681,$B$5:$B$681,0),1),3),IF(OR(Ops!$L$2:'Ops'!$L$11=J188),VLOOKUP(J188,Ops!$L$2:'Ops'!$M$11,2,FALSE),"000")),IF(OR(Ops!$L$2:'Ops'!$L$11=J188),VLOOKUP(J188,Ops!$L$2:'Ops'!$M$11,2,FALSE),"000")),2)</f>
        <v>00</v>
      </c>
      <c r="R188" s="27"/>
      <c r="Z188" s="74" t="str">
        <f t="shared" si="53"/>
        <v>0x10,</v>
      </c>
      <c r="AA188" s="75" t="str">
        <f t="shared" si="54"/>
        <v>0x60,</v>
      </c>
      <c r="AB188" s="75" t="str">
        <f t="shared" si="55"/>
        <v>0x00,</v>
      </c>
      <c r="AC188" s="76"/>
    </row>
    <row r="189" spans="1:29" x14ac:dyDescent="0.3">
      <c r="A189" s="79">
        <f t="shared" si="13"/>
        <v>573</v>
      </c>
      <c r="B189" s="80" t="str">
        <f t="shared" ref="B189:B234" si="57">DEC2HEX(A189)</f>
        <v>23D</v>
      </c>
      <c r="C189" s="12" t="s">
        <v>697</v>
      </c>
      <c r="D189" s="29" t="s">
        <v>30</v>
      </c>
      <c r="E189" s="4" t="s">
        <v>1</v>
      </c>
      <c r="F189" s="29"/>
      <c r="G189" s="24"/>
      <c r="H189" s="29"/>
      <c r="M189" s="14"/>
      <c r="O189" s="25" t="str" cm="1">
        <f t="array" ref="O189">BIN2HEX(IF(I189&lt;&gt;"",VLOOKUP(I189,Ops!$I$2:'Ops'!$J$15,2,FALSE),IF(ISNUMBER(SEARCH("BR",D189)),"001","000"))&amp;IF(D189&lt;&gt;"",VLOOKUP(D189,Ops!$B$2:'Ops'!$C$23,2,FALSE),"0")&amp;_xlfn.IFS(ISNUMBER(SEARCH("BR",D189)),VLOOKUP(D189,Ops!$B$3:'Ops'!$D$22,3,FALSE),F189&lt;&gt;"",VLOOKUP(F189,Ops!$R$2:'Ops'!$S$11,2),L189&lt;&gt;"",VLOOKUP(L189,Ops!$R$2:'Ops'!$S$25,2,FALSE),TRUE,"0000"),2)</f>
        <v>32</v>
      </c>
      <c r="P189" s="26" t="str">
        <f>RIGHT(IF($E189&lt;&gt;"",_xlfn.XLOOKUP($E189,$C$4:$C$681,$B$4:$B$681,"NO LABEL"),BIN2HEX(IF(N189="CarryEn","1","0")&amp;IF(M189="SubXY","1","0")&amp;IF(H189&lt;&gt;"",VLOOKUP(H189,Ops!$F$2:'Ops'!$G$20,2,FALSE),"000000"),2)),2)</f>
        <v>60</v>
      </c>
      <c r="Q189" s="26" t="str" cm="1">
        <f t="array" ref="Q189">BIN2HEX(_xlfn.IFS(D189="HWINTEN","10",G189="KeyAck","01",G189="InitLp8","01",TRUE,"00")&amp;IF(OR(Ops!$O$2:'Ops'!$O$13=K189),VLOOKUP(K189,Ops!$O$2:'Ops'!$P$13,2,FALSE),"000")&amp;IF(E189&lt;&gt;"",IF(LEN(_xlfn.XLOOKUP($E189,$C$5:$C$681,$B$5:$B$681,0))=3,HEX2BIN(LEFT(_xlfn.XLOOKUP($E189,$C$5:$C$681,$B$5:$B$681,0),1),3),IF(OR(Ops!$L$2:'Ops'!$L$11=J189),VLOOKUP(J189,Ops!$L$2:'Ops'!$M$11,2,FALSE),"000")),IF(OR(Ops!$L$2:'Ops'!$L$11=J189),VLOOKUP(J189,Ops!$L$2:'Ops'!$M$11,2,FALSE),"000")),2)</f>
        <v>00</v>
      </c>
      <c r="R189" s="27"/>
      <c r="S189" s="4" t="s">
        <v>710</v>
      </c>
      <c r="Z189" s="74" t="str">
        <f t="shared" ref="Z189:Z233" si="58">IF(O189="", "};", "0x"&amp;O189&amp;",")</f>
        <v>0x32,</v>
      </c>
      <c r="AA189" s="75" t="str">
        <f t="shared" ref="AA189:AA233" si="59">"0x"&amp;P189&amp;","</f>
        <v>0x60,</v>
      </c>
      <c r="AB189" s="75" t="str">
        <f t="shared" ref="AB189:AB233" si="60">"0x"&amp;Q189&amp;","</f>
        <v>0x00,</v>
      </c>
      <c r="AC189" s="76"/>
    </row>
    <row r="190" spans="1:29" x14ac:dyDescent="0.3">
      <c r="A190" s="79">
        <f t="shared" si="13"/>
        <v>576</v>
      </c>
      <c r="B190" s="80" t="str">
        <f t="shared" si="57"/>
        <v>240</v>
      </c>
      <c r="D190" s="29" t="s">
        <v>186</v>
      </c>
      <c r="E190" s="4" t="s">
        <v>702</v>
      </c>
      <c r="F190" s="29"/>
      <c r="G190" s="24"/>
      <c r="H190" s="29"/>
      <c r="M190" s="14"/>
      <c r="O190" s="25" t="str" cm="1">
        <f t="array" ref="O190">BIN2HEX(IF(I190&lt;&gt;"",VLOOKUP(I190,Ops!$I$2:'Ops'!$J$15,2,FALSE),IF(ISNUMBER(SEARCH("BR",D190)),"001","000"))&amp;IF(D190&lt;&gt;"",VLOOKUP(D190,Ops!$B$2:'Ops'!$C$23,2,FALSE),"0")&amp;_xlfn.IFS(ISNUMBER(SEARCH("BR",D190)),VLOOKUP(D190,Ops!$B$3:'Ops'!$D$22,3,FALSE),F190&lt;&gt;"",VLOOKUP(F190,Ops!$R$2:'Ops'!$S$11,2),L190&lt;&gt;"",VLOOKUP(L190,Ops!$R$2:'Ops'!$S$25,2,FALSE),TRUE,"0000"),2)</f>
        <v>36</v>
      </c>
      <c r="P190" s="26" t="str">
        <f>RIGHT(IF($E190&lt;&gt;"",_xlfn.XLOOKUP($E190,$C$4:$C$681,$B$4:$B$681,"NO LABEL"),BIN2HEX(IF(N190="CarryEn","1","0")&amp;IF(M190="SubXY","1","0")&amp;IF(H190&lt;&gt;"",VLOOKUP(H190,Ops!$F$2:'Ops'!$G$20,2,FALSE),"000000"),2)),2)</f>
        <v>46</v>
      </c>
      <c r="Q190" s="26" t="str" cm="1">
        <f t="array" ref="Q190">BIN2HEX(_xlfn.IFS(D190="HWINTEN","10",G190="KeyAck","01",G190="InitLp8","01",TRUE,"00")&amp;IF(OR(Ops!$O$2:'Ops'!$O$13=K190),VLOOKUP(K190,Ops!$O$2:'Ops'!$P$13,2,FALSE),"000")&amp;IF(E190&lt;&gt;"",IF(LEN(_xlfn.XLOOKUP($E190,$C$5:$C$681,$B$5:$B$681,0))=3,HEX2BIN(LEFT(_xlfn.XLOOKUP($E190,$C$5:$C$681,$B$5:$B$681,0),1),3),IF(OR(Ops!$L$2:'Ops'!$L$11=J190),VLOOKUP(J190,Ops!$L$2:'Ops'!$M$11,2,FALSE),"000")),IF(OR(Ops!$L$2:'Ops'!$L$11=J190),VLOOKUP(J190,Ops!$L$2:'Ops'!$M$11,2,FALSE),"000")),2)</f>
        <v>02</v>
      </c>
      <c r="R190" s="27"/>
      <c r="S190" s="4" t="s">
        <v>711</v>
      </c>
      <c r="Z190" s="74" t="str">
        <f t="shared" si="58"/>
        <v>0x36,</v>
      </c>
      <c r="AA190" s="75" t="str">
        <f t="shared" si="59"/>
        <v>0x46,</v>
      </c>
      <c r="AB190" s="75" t="str">
        <f t="shared" si="60"/>
        <v>0x02,</v>
      </c>
      <c r="AC190" s="76"/>
    </row>
    <row r="191" spans="1:29" x14ac:dyDescent="0.3">
      <c r="A191" s="79">
        <f t="shared" si="13"/>
        <v>579</v>
      </c>
      <c r="B191" s="80" t="str">
        <f t="shared" si="57"/>
        <v>243</v>
      </c>
      <c r="D191" s="29" t="s">
        <v>0</v>
      </c>
      <c r="E191" s="4" t="s">
        <v>14</v>
      </c>
      <c r="F191" s="29"/>
      <c r="G191" s="24"/>
      <c r="H191" s="29"/>
      <c r="M191" s="14"/>
      <c r="O191" s="25" t="str" cm="1">
        <f t="array" ref="O191">BIN2HEX(IF(I191&lt;&gt;"",VLOOKUP(I191,Ops!$I$2:'Ops'!$J$15,2,FALSE),IF(ISNUMBER(SEARCH("BR",D191)),"001","000"))&amp;IF(D191&lt;&gt;"",VLOOKUP(D191,Ops!$B$2:'Ops'!$C$23,2,FALSE),"0")&amp;_xlfn.IFS(ISNUMBER(SEARCH("BR",D191)),VLOOKUP(D191,Ops!$B$3:'Ops'!$D$22,3,FALSE),F191&lt;&gt;"",VLOOKUP(F191,Ops!$R$2:'Ops'!$S$11,2),L191&lt;&gt;"",VLOOKUP(L191,Ops!$R$2:'Ops'!$S$25,2,FALSE),TRUE,"0000"),2)</f>
        <v>10</v>
      </c>
      <c r="P191" s="26" t="str">
        <f>RIGHT(IF($E191&lt;&gt;"",_xlfn.XLOOKUP($E191,$C$4:$C$681,$B$4:$B$681,"NO LABEL"),BIN2HEX(IF(N191="CarryEn","1","0")&amp;IF(M191="SubXY","1","0")&amp;IF(H191&lt;&gt;"",VLOOKUP(H191,Ops!$F$2:'Ops'!$G$20,2,FALSE),"000000"),2)),2)</f>
        <v>2B</v>
      </c>
      <c r="Q191" s="26" t="str" cm="1">
        <f t="array" ref="Q191">BIN2HEX(_xlfn.IFS(D191="HWINTEN","10",G191="KeyAck","01",G191="InitLp8","01",TRUE,"00")&amp;IF(OR(Ops!$O$2:'Ops'!$O$13=K191),VLOOKUP(K191,Ops!$O$2:'Ops'!$P$13,2,FALSE),"000")&amp;IF(E191&lt;&gt;"",IF(LEN(_xlfn.XLOOKUP($E191,$C$5:$C$681,$B$5:$B$681,0))=3,HEX2BIN(LEFT(_xlfn.XLOOKUP($E191,$C$5:$C$681,$B$5:$B$681,0),1),3),IF(OR(Ops!$L$2:'Ops'!$L$11=J191),VLOOKUP(J191,Ops!$L$2:'Ops'!$M$11,2,FALSE),"000")),IF(OR(Ops!$L$2:'Ops'!$L$11=J191),VLOOKUP(J191,Ops!$L$2:'Ops'!$M$11,2,FALSE),"000")),2)</f>
        <v>02</v>
      </c>
      <c r="R191" s="27"/>
      <c r="S191" s="4" t="s">
        <v>712</v>
      </c>
      <c r="Z191" s="74" t="str">
        <f t="shared" si="58"/>
        <v>0x10,</v>
      </c>
      <c r="AA191" s="75" t="str">
        <f t="shared" si="59"/>
        <v>0x2B,</v>
      </c>
      <c r="AB191" s="75" t="str">
        <f t="shared" si="60"/>
        <v>0x02,</v>
      </c>
      <c r="AC191" s="76"/>
    </row>
    <row r="192" spans="1:29" x14ac:dyDescent="0.3">
      <c r="A192" s="79">
        <f t="shared" si="13"/>
        <v>582</v>
      </c>
      <c r="B192" s="80" t="str">
        <f t="shared" si="57"/>
        <v>246</v>
      </c>
      <c r="C192" s="4" t="s">
        <v>702</v>
      </c>
      <c r="D192" s="29" t="s">
        <v>430</v>
      </c>
      <c r="E192" s="4" t="s">
        <v>703</v>
      </c>
      <c r="F192" s="29"/>
      <c r="G192" s="24"/>
      <c r="H192" s="29"/>
      <c r="M192" s="14"/>
      <c r="O192" s="25" t="str" cm="1">
        <f t="array" ref="O192">BIN2HEX(IF(I192&lt;&gt;"",VLOOKUP(I192,Ops!$I$2:'Ops'!$J$15,2,FALSE),IF(ISNUMBER(SEARCH("BR",D192)),"001","000"))&amp;IF(D192&lt;&gt;"",VLOOKUP(D192,Ops!$B$2:'Ops'!$C$23,2,FALSE),"0")&amp;_xlfn.IFS(ISNUMBER(SEARCH("BR",D192)),VLOOKUP(D192,Ops!$B$3:'Ops'!$D$22,3,FALSE),F192&lt;&gt;"",VLOOKUP(F192,Ops!$R$2:'Ops'!$S$11,2),L192&lt;&gt;"",VLOOKUP(L192,Ops!$R$2:'Ops'!$S$25,2,FALSE),TRUE,"0000"),2)</f>
        <v>3E</v>
      </c>
      <c r="P192" s="26" t="str">
        <f>RIGHT(IF($E192&lt;&gt;"",_xlfn.XLOOKUP($E192,$C$4:$C$681,$B$4:$B$681,"NO LABEL"),BIN2HEX(IF(N192="CarryEn","1","0")&amp;IF(M192="SubXY","1","0")&amp;IF(H192&lt;&gt;"",VLOOKUP(H192,Ops!$F$2:'Ops'!$G$20,2,FALSE),"000000"),2)),2)</f>
        <v>6A</v>
      </c>
      <c r="Q192" s="26" t="str" cm="1">
        <f t="array" ref="Q192">BIN2HEX(_xlfn.IFS(D192="HWINTEN","10",G192="KeyAck","01",G192="InitLp8","01",TRUE,"00")&amp;IF(OR(Ops!$O$2:'Ops'!$O$13=K192),VLOOKUP(K192,Ops!$O$2:'Ops'!$P$13,2,FALSE),"000")&amp;IF(E192&lt;&gt;"",IF(LEN(_xlfn.XLOOKUP($E192,$C$5:$C$681,$B$5:$B$681,0))=3,HEX2BIN(LEFT(_xlfn.XLOOKUP($E192,$C$5:$C$681,$B$5:$B$681,0),1),3),IF(OR(Ops!$L$2:'Ops'!$L$11=J192),VLOOKUP(J192,Ops!$L$2:'Ops'!$M$11,2,FALSE),"000")),IF(OR(Ops!$L$2:'Ops'!$L$11=J192),VLOOKUP(J192,Ops!$L$2:'Ops'!$M$11,2,FALSE),"000")),2)</f>
        <v>02</v>
      </c>
      <c r="R192" s="27"/>
      <c r="S192" s="4" t="s">
        <v>713</v>
      </c>
      <c r="Z192" s="74" t="str">
        <f t="shared" si="58"/>
        <v>0x3E,</v>
      </c>
      <c r="AA192" s="75" t="str">
        <f t="shared" si="59"/>
        <v>0x6A,</v>
      </c>
      <c r="AB192" s="75" t="str">
        <f t="shared" si="60"/>
        <v>0x02,</v>
      </c>
      <c r="AC192" s="76"/>
    </row>
    <row r="193" spans="1:29" x14ac:dyDescent="0.3">
      <c r="A193" s="79">
        <f t="shared" si="13"/>
        <v>585</v>
      </c>
      <c r="B193" s="80" t="str">
        <f t="shared" si="57"/>
        <v>249</v>
      </c>
      <c r="C193" s="4" t="s">
        <v>704</v>
      </c>
      <c r="D193" s="29"/>
      <c r="F193" s="29"/>
      <c r="G193" s="24"/>
      <c r="H193" s="29"/>
      <c r="J193" s="4" t="s">
        <v>314</v>
      </c>
      <c r="L193" s="4" t="s">
        <v>698</v>
      </c>
      <c r="M193" s="14"/>
      <c r="O193" s="25" t="str" cm="1">
        <f t="array" ref="O193">BIN2HEX(IF(I193&lt;&gt;"",VLOOKUP(I193,Ops!$I$2:'Ops'!$J$15,2,FALSE),IF(ISNUMBER(SEARCH("BR",D193)),"001","000"))&amp;IF(D193&lt;&gt;"",VLOOKUP(D193,Ops!$B$2:'Ops'!$C$23,2,FALSE),"0")&amp;_xlfn.IFS(ISNUMBER(SEARCH("BR",D193)),VLOOKUP(D193,Ops!$B$3:'Ops'!$D$22,3,FALSE),F193&lt;&gt;"",VLOOKUP(F193,Ops!$R$2:'Ops'!$S$11,2),L193&lt;&gt;"",VLOOKUP(L193,Ops!$R$2:'Ops'!$S$25,2,FALSE),TRUE,"0000"),2)</f>
        <v>02</v>
      </c>
      <c r="P193" s="26" t="str">
        <f>RIGHT(IF($E193&lt;&gt;"",_xlfn.XLOOKUP($E193,$C$4:$C$681,$B$4:$B$681,"NO LABEL"),BIN2HEX(IF(N193="CarryEn","1","0")&amp;IF(M193="SubXY","1","0")&amp;IF(H193&lt;&gt;"",VLOOKUP(H193,Ops!$F$2:'Ops'!$G$20,2,FALSE),"000000"),2)),2)</f>
        <v>00</v>
      </c>
      <c r="Q193" s="26" t="str" cm="1">
        <f t="array" ref="Q193">BIN2HEX(_xlfn.IFS(D193="HWINTEN","10",G193="KeyAck","01",G193="InitLp8","01",TRUE,"00")&amp;IF(OR(Ops!$O$2:'Ops'!$O$13=K193),VLOOKUP(K193,Ops!$O$2:'Ops'!$P$13,2,FALSE),"000")&amp;IF(E193&lt;&gt;"",IF(LEN(_xlfn.XLOOKUP($E193,$C$5:$C$681,$B$5:$B$681,0))=3,HEX2BIN(LEFT(_xlfn.XLOOKUP($E193,$C$5:$C$681,$B$5:$B$681,0),1),3),IF(OR(Ops!$L$2:'Ops'!$L$11=J193),VLOOKUP(J193,Ops!$L$2:'Ops'!$M$11,2,FALSE),"000")),IF(OR(Ops!$L$2:'Ops'!$L$11=J193),VLOOKUP(J193,Ops!$L$2:'Ops'!$M$11,2,FALSE),"000")),2)</f>
        <v>06</v>
      </c>
      <c r="R193" s="27"/>
      <c r="S193" s="4" t="s">
        <v>714</v>
      </c>
      <c r="Z193" s="74" t="str">
        <f t="shared" si="58"/>
        <v>0x02,</v>
      </c>
      <c r="AA193" s="75" t="str">
        <f t="shared" si="59"/>
        <v>0x00,</v>
      </c>
      <c r="AB193" s="75" t="str">
        <f t="shared" si="60"/>
        <v>0x06,</v>
      </c>
      <c r="AC193" s="76"/>
    </row>
    <row r="194" spans="1:29" x14ac:dyDescent="0.3">
      <c r="A194" s="79">
        <f t="shared" si="13"/>
        <v>588</v>
      </c>
      <c r="B194" s="80" t="str">
        <f t="shared" si="57"/>
        <v>24C</v>
      </c>
      <c r="D194" s="29"/>
      <c r="F194" s="29"/>
      <c r="G194" s="24"/>
      <c r="H194" s="29"/>
      <c r="J194" s="4" t="s">
        <v>314</v>
      </c>
      <c r="L194" s="4" t="s">
        <v>180</v>
      </c>
      <c r="M194" s="14"/>
      <c r="O194" s="25" t="str" cm="1">
        <f t="array" ref="O194">BIN2HEX(IF(I194&lt;&gt;"",VLOOKUP(I194,Ops!$I$2:'Ops'!$J$15,2,FALSE),IF(ISNUMBER(SEARCH("BR",D194)),"001","000"))&amp;IF(D194&lt;&gt;"",VLOOKUP(D194,Ops!$B$2:'Ops'!$C$23,2,FALSE),"0")&amp;_xlfn.IFS(ISNUMBER(SEARCH("BR",D194)),VLOOKUP(D194,Ops!$B$3:'Ops'!$D$22,3,FALSE),F194&lt;&gt;"",VLOOKUP(F194,Ops!$R$2:'Ops'!$S$11,2),L194&lt;&gt;"",VLOOKUP(L194,Ops!$R$2:'Ops'!$S$25,2,FALSE),TRUE,"0000"),2)</f>
        <v>01</v>
      </c>
      <c r="P194" s="26" t="str">
        <f>RIGHT(IF($E194&lt;&gt;"",_xlfn.XLOOKUP($E194,$C$4:$C$681,$B$4:$B$681,"NO LABEL"),BIN2HEX(IF(N194="CarryEn","1","0")&amp;IF(M194="SubXY","1","0")&amp;IF(H194&lt;&gt;"",VLOOKUP(H194,Ops!$F$2:'Ops'!$G$20,2,FALSE),"000000"),2)),2)</f>
        <v>00</v>
      </c>
      <c r="Q194" s="26" t="str" cm="1">
        <f t="array" ref="Q194">BIN2HEX(_xlfn.IFS(D194="HWINTEN","10",G194="KeyAck","01",G194="InitLp8","01",TRUE,"00")&amp;IF(OR(Ops!$O$2:'Ops'!$O$13=K194),VLOOKUP(K194,Ops!$O$2:'Ops'!$P$13,2,FALSE),"000")&amp;IF(E194&lt;&gt;"",IF(LEN(_xlfn.XLOOKUP($E194,$C$5:$C$681,$B$5:$B$681,0))=3,HEX2BIN(LEFT(_xlfn.XLOOKUP($E194,$C$5:$C$681,$B$5:$B$681,0),1),3),IF(OR(Ops!$L$2:'Ops'!$L$11=J194),VLOOKUP(J194,Ops!$L$2:'Ops'!$M$11,2,FALSE),"000")),IF(OR(Ops!$L$2:'Ops'!$L$11=J194),VLOOKUP(J194,Ops!$L$2:'Ops'!$M$11,2,FALSE),"000")),2)</f>
        <v>06</v>
      </c>
      <c r="R194" s="27"/>
      <c r="S194" s="4" t="s">
        <v>715</v>
      </c>
      <c r="Z194" s="74" t="str">
        <f t="shared" si="58"/>
        <v>0x01,</v>
      </c>
      <c r="AA194" s="75" t="str">
        <f t="shared" si="59"/>
        <v>0x00,</v>
      </c>
      <c r="AB194" s="75" t="str">
        <f t="shared" si="60"/>
        <v>0x06,</v>
      </c>
      <c r="AC194" s="76"/>
    </row>
    <row r="195" spans="1:29" x14ac:dyDescent="0.3">
      <c r="A195" s="79">
        <f t="shared" si="13"/>
        <v>591</v>
      </c>
      <c r="B195" s="80" t="str">
        <f t="shared" si="57"/>
        <v>24F</v>
      </c>
      <c r="D195" s="29" t="s">
        <v>175</v>
      </c>
      <c r="E195" s="4" t="s">
        <v>707</v>
      </c>
      <c r="F195" s="29"/>
      <c r="G195" s="24"/>
      <c r="H195" s="29"/>
      <c r="M195" s="14"/>
      <c r="O195" s="25" t="str" cm="1">
        <f t="array" ref="O195">BIN2HEX(IF(I195&lt;&gt;"",VLOOKUP(I195,Ops!$I$2:'Ops'!$J$15,2,FALSE),IF(ISNUMBER(SEARCH("BR",D195)),"001","000"))&amp;IF(D195&lt;&gt;"",VLOOKUP(D195,Ops!$B$2:'Ops'!$C$23,2,FALSE),"0")&amp;_xlfn.IFS(ISNUMBER(SEARCH("BR",D195)),VLOOKUP(D195,Ops!$B$3:'Ops'!$D$22,3,FALSE),F195&lt;&gt;"",VLOOKUP(F195,Ops!$R$2:'Ops'!$S$11,2),L195&lt;&gt;"",VLOOKUP(L195,Ops!$R$2:'Ops'!$S$25,2,FALSE),TRUE,"0000"),2)</f>
        <v>3A</v>
      </c>
      <c r="P195" s="26" t="str">
        <f>RIGHT(IF($E195&lt;&gt;"",_xlfn.XLOOKUP($E195,$C$4:$C$681,$B$4:$B$681,"NO LABEL"),BIN2HEX(IF(N195="CarryEn","1","0")&amp;IF(M195="SubXY","1","0")&amp;IF(H195&lt;&gt;"",VLOOKUP(H195,Ops!$F$2:'Ops'!$G$20,2,FALSE),"000000"),2)),2)</f>
        <v>55</v>
      </c>
      <c r="Q195" s="26" t="str" cm="1">
        <f t="array" ref="Q195">BIN2HEX(_xlfn.IFS(D195="HWINTEN","10",G195="KeyAck","01",G195="InitLp8","01",TRUE,"00")&amp;IF(OR(Ops!$O$2:'Ops'!$O$13=K195),VLOOKUP(K195,Ops!$O$2:'Ops'!$P$13,2,FALSE),"000")&amp;IF(E195&lt;&gt;"",IF(LEN(_xlfn.XLOOKUP($E195,$C$5:$C$681,$B$5:$B$681,0))=3,HEX2BIN(LEFT(_xlfn.XLOOKUP($E195,$C$5:$C$681,$B$5:$B$681,0),1),3),IF(OR(Ops!$L$2:'Ops'!$L$11=J195),VLOOKUP(J195,Ops!$L$2:'Ops'!$M$11,2,FALSE),"000")),IF(OR(Ops!$L$2:'Ops'!$L$11=J195),VLOOKUP(J195,Ops!$L$2:'Ops'!$M$11,2,FALSE),"000")),2)</f>
        <v>02</v>
      </c>
      <c r="R195" s="27"/>
      <c r="Z195" s="74" t="str">
        <f t="shared" si="58"/>
        <v>0x3A,</v>
      </c>
      <c r="AA195" s="75" t="str">
        <f t="shared" si="59"/>
        <v>0x55,</v>
      </c>
      <c r="AB195" s="75" t="str">
        <f t="shared" si="60"/>
        <v>0x02,</v>
      </c>
      <c r="AC195" s="76"/>
    </row>
    <row r="196" spans="1:29" x14ac:dyDescent="0.3">
      <c r="A196" s="79">
        <f t="shared" si="13"/>
        <v>594</v>
      </c>
      <c r="B196" s="80" t="str">
        <f t="shared" si="57"/>
        <v>252</v>
      </c>
      <c r="D196" s="29" t="s">
        <v>0</v>
      </c>
      <c r="E196" s="4" t="s">
        <v>704</v>
      </c>
      <c r="F196" s="29"/>
      <c r="G196" s="24"/>
      <c r="H196" s="29"/>
      <c r="M196" s="14"/>
      <c r="O196" s="25" t="str" cm="1">
        <f t="array" ref="O196">BIN2HEX(IF(I196&lt;&gt;"",VLOOKUP(I196,Ops!$I$2:'Ops'!$J$15,2,FALSE),IF(ISNUMBER(SEARCH("BR",D196)),"001","000"))&amp;IF(D196&lt;&gt;"",VLOOKUP(D196,Ops!$B$2:'Ops'!$C$23,2,FALSE),"0")&amp;_xlfn.IFS(ISNUMBER(SEARCH("BR",D196)),VLOOKUP(D196,Ops!$B$3:'Ops'!$D$22,3,FALSE),F196&lt;&gt;"",VLOOKUP(F196,Ops!$R$2:'Ops'!$S$11,2),L196&lt;&gt;"",VLOOKUP(L196,Ops!$R$2:'Ops'!$S$25,2,FALSE),TRUE,"0000"),2)</f>
        <v>10</v>
      </c>
      <c r="P196" s="26" t="str">
        <f>RIGHT(IF($E196&lt;&gt;"",_xlfn.XLOOKUP($E196,$C$4:$C$681,$B$4:$B$681,"NO LABEL"),BIN2HEX(IF(N196="CarryEn","1","0")&amp;IF(M196="SubXY","1","0")&amp;IF(H196&lt;&gt;"",VLOOKUP(H196,Ops!$F$2:'Ops'!$G$20,2,FALSE),"000000"),2)),2)</f>
        <v>49</v>
      </c>
      <c r="Q196" s="26" t="str" cm="1">
        <f t="array" ref="Q196">BIN2HEX(_xlfn.IFS(D196="HWINTEN","10",G196="KeyAck","01",G196="InitLp8","01",TRUE,"00")&amp;IF(OR(Ops!$O$2:'Ops'!$O$13=K196),VLOOKUP(K196,Ops!$O$2:'Ops'!$P$13,2,FALSE),"000")&amp;IF(E196&lt;&gt;"",IF(LEN(_xlfn.XLOOKUP($E196,$C$5:$C$681,$B$5:$B$681,0))=3,HEX2BIN(LEFT(_xlfn.XLOOKUP($E196,$C$5:$C$681,$B$5:$B$681,0),1),3),IF(OR(Ops!$L$2:'Ops'!$L$11=J196),VLOOKUP(J196,Ops!$L$2:'Ops'!$M$11,2,FALSE),"000")),IF(OR(Ops!$L$2:'Ops'!$L$11=J196),VLOOKUP(J196,Ops!$L$2:'Ops'!$M$11,2,FALSE),"000")),2)</f>
        <v>02</v>
      </c>
      <c r="R196" s="27"/>
      <c r="Z196" s="74" t="str">
        <f t="shared" si="58"/>
        <v>0x10,</v>
      </c>
      <c r="AA196" s="75" t="str">
        <f t="shared" si="59"/>
        <v>0x49,</v>
      </c>
      <c r="AB196" s="75" t="str">
        <f t="shared" si="60"/>
        <v>0x02,</v>
      </c>
      <c r="AC196" s="76"/>
    </row>
    <row r="197" spans="1:29" x14ac:dyDescent="0.3">
      <c r="A197" s="79">
        <f t="shared" si="13"/>
        <v>597</v>
      </c>
      <c r="B197" s="80" t="str">
        <f t="shared" si="57"/>
        <v>255</v>
      </c>
      <c r="C197" s="4" t="s">
        <v>707</v>
      </c>
      <c r="D197" s="29" t="s">
        <v>183</v>
      </c>
      <c r="E197" s="4" t="s">
        <v>708</v>
      </c>
      <c r="F197" s="29"/>
      <c r="G197" s="24"/>
      <c r="H197" s="29"/>
      <c r="M197" s="14"/>
      <c r="O197" s="25" t="str" cm="1">
        <f t="array" ref="O197">BIN2HEX(IF(I197&lt;&gt;"",VLOOKUP(I197,Ops!$I$2:'Ops'!$J$15,2,FALSE),IF(ISNUMBER(SEARCH("BR",D197)),"001","000"))&amp;IF(D197&lt;&gt;"",VLOOKUP(D197,Ops!$B$2:'Ops'!$C$23,2,FALSE),"0")&amp;_xlfn.IFS(ISNUMBER(SEARCH("BR",D197)),VLOOKUP(D197,Ops!$B$3:'Ops'!$D$22,3,FALSE),F197&lt;&gt;"",VLOOKUP(F197,Ops!$R$2:'Ops'!$S$11,2),L197&lt;&gt;"",VLOOKUP(L197,Ops!$R$2:'Ops'!$S$25,2,FALSE),TRUE,"0000"),2)</f>
        <v>37</v>
      </c>
      <c r="P197" s="26" t="str">
        <f>RIGHT(IF($E197&lt;&gt;"",_xlfn.XLOOKUP($E197,$C$4:$C$681,$B$4:$B$681,"NO LABEL"),BIN2HEX(IF(N197="CarryEn","1","0")&amp;IF(M197="SubXY","1","0")&amp;IF(H197&lt;&gt;"",VLOOKUP(H197,Ops!$F$2:'Ops'!$G$20,2,FALSE),"000000"),2)),2)</f>
        <v>5B</v>
      </c>
      <c r="Q197" s="26" t="str" cm="1">
        <f t="array" ref="Q197">BIN2HEX(_xlfn.IFS(D197="HWINTEN","10",G197="KeyAck","01",G197="InitLp8","01",TRUE,"00")&amp;IF(OR(Ops!$O$2:'Ops'!$O$13=K197),VLOOKUP(K197,Ops!$O$2:'Ops'!$P$13,2,FALSE),"000")&amp;IF(E197&lt;&gt;"",IF(LEN(_xlfn.XLOOKUP($E197,$C$5:$C$681,$B$5:$B$681,0))=3,HEX2BIN(LEFT(_xlfn.XLOOKUP($E197,$C$5:$C$681,$B$5:$B$681,0),1),3),IF(OR(Ops!$L$2:'Ops'!$L$11=J197),VLOOKUP(J197,Ops!$L$2:'Ops'!$M$11,2,FALSE),"000")),IF(OR(Ops!$L$2:'Ops'!$L$11=J197),VLOOKUP(J197,Ops!$L$2:'Ops'!$M$11,2,FALSE),"000")),2)</f>
        <v>02</v>
      </c>
      <c r="R197" s="27"/>
      <c r="S197" s="4" t="s">
        <v>716</v>
      </c>
      <c r="Z197" s="74" t="str">
        <f t="shared" si="58"/>
        <v>0x37,</v>
      </c>
      <c r="AA197" s="75" t="str">
        <f t="shared" si="59"/>
        <v>0x5B,</v>
      </c>
      <c r="AB197" s="75" t="str">
        <f t="shared" si="60"/>
        <v>0x02,</v>
      </c>
      <c r="AC197" s="76"/>
    </row>
    <row r="198" spans="1:29" x14ac:dyDescent="0.3">
      <c r="A198" s="79">
        <f t="shared" si="13"/>
        <v>600</v>
      </c>
      <c r="B198" s="80" t="str">
        <f t="shared" ref="B198:B201" si="61">DEC2HEX(A198)</f>
        <v>258</v>
      </c>
      <c r="D198" s="29" t="s">
        <v>0</v>
      </c>
      <c r="E198" s="4" t="s">
        <v>705</v>
      </c>
      <c r="F198" s="29"/>
      <c r="G198" s="24"/>
      <c r="H198" s="29"/>
      <c r="M198" s="14"/>
      <c r="O198" s="25" t="str" cm="1">
        <f t="array" ref="O198">BIN2HEX(IF(I198&lt;&gt;"",VLOOKUP(I198,Ops!$I$2:'Ops'!$J$15,2,FALSE),IF(ISNUMBER(SEARCH("BR",D198)),"001","000"))&amp;IF(D198&lt;&gt;"",VLOOKUP(D198,Ops!$B$2:'Ops'!$C$23,2,FALSE),"0")&amp;_xlfn.IFS(ISNUMBER(SEARCH("BR",D198)),VLOOKUP(D198,Ops!$B$3:'Ops'!$D$22,3,FALSE),F198&lt;&gt;"",VLOOKUP(F198,Ops!$R$2:'Ops'!$S$11,2),L198&lt;&gt;"",VLOOKUP(L198,Ops!$R$2:'Ops'!$S$25,2,FALSE),TRUE,"0000"),2)</f>
        <v>10</v>
      </c>
      <c r="P198" s="26" t="str">
        <f>RIGHT(IF($E198&lt;&gt;"",_xlfn.XLOOKUP($E198,$C$4:$C$681,$B$4:$B$681,"NO LABEL"),BIN2HEX(IF(N198="CarryEn","1","0")&amp;IF(M198="SubXY","1","0")&amp;IF(H198&lt;&gt;"",VLOOKUP(H198,Ops!$F$2:'Ops'!$G$20,2,FALSE),"000000"),2)),2)</f>
        <v>5E</v>
      </c>
      <c r="Q198" s="26" t="str" cm="1">
        <f t="array" ref="Q198">BIN2HEX(_xlfn.IFS(D198="HWINTEN","10",G198="KeyAck","01",G198="InitLp8","01",TRUE,"00")&amp;IF(OR(Ops!$O$2:'Ops'!$O$13=K198),VLOOKUP(K198,Ops!$O$2:'Ops'!$P$13,2,FALSE),"000")&amp;IF(E198&lt;&gt;"",IF(LEN(_xlfn.XLOOKUP($E198,$C$5:$C$681,$B$5:$B$681,0))=3,HEX2BIN(LEFT(_xlfn.XLOOKUP($E198,$C$5:$C$681,$B$5:$B$681,0),1),3),IF(OR(Ops!$L$2:'Ops'!$L$11=J198),VLOOKUP(J198,Ops!$L$2:'Ops'!$M$11,2,FALSE),"000")),IF(OR(Ops!$L$2:'Ops'!$L$11=J198),VLOOKUP(J198,Ops!$L$2:'Ops'!$M$11,2,FALSE),"000")),2)</f>
        <v>02</v>
      </c>
      <c r="R198" s="27"/>
      <c r="S198" s="4" t="s">
        <v>717</v>
      </c>
      <c r="Z198" s="74" t="str">
        <f t="shared" si="58"/>
        <v>0x10,</v>
      </c>
      <c r="AA198" s="75" t="str">
        <f t="shared" si="59"/>
        <v>0x5E,</v>
      </c>
      <c r="AB198" s="75" t="str">
        <f t="shared" si="60"/>
        <v>0x02,</v>
      </c>
      <c r="AC198" s="76"/>
    </row>
    <row r="199" spans="1:29" x14ac:dyDescent="0.3">
      <c r="A199" s="79">
        <f t="shared" si="13"/>
        <v>603</v>
      </c>
      <c r="B199" s="80" t="str">
        <f t="shared" si="61"/>
        <v>25B</v>
      </c>
      <c r="C199" s="4" t="s">
        <v>708</v>
      </c>
      <c r="D199" s="29"/>
      <c r="F199" s="29"/>
      <c r="G199" s="24"/>
      <c r="H199" s="29"/>
      <c r="J199" s="4" t="s">
        <v>314</v>
      </c>
      <c r="L199" s="4" t="s">
        <v>311</v>
      </c>
      <c r="M199" s="14"/>
      <c r="O199" s="25" t="str" cm="1">
        <f t="array" ref="O199">BIN2HEX(IF(I199&lt;&gt;"",VLOOKUP(I199,Ops!$I$2:'Ops'!$J$15,2,FALSE),IF(ISNUMBER(SEARCH("BR",D199)),"001","000"))&amp;IF(D199&lt;&gt;"",VLOOKUP(D199,Ops!$B$2:'Ops'!$C$23,2,FALSE),"0")&amp;_xlfn.IFS(ISNUMBER(SEARCH("BR",D199)),VLOOKUP(D199,Ops!$B$3:'Ops'!$D$22,3,FALSE),F199&lt;&gt;"",VLOOKUP(F199,Ops!$R$2:'Ops'!$S$11,2),L199&lt;&gt;"",VLOOKUP(L199,Ops!$R$2:'Ops'!$S$25,2,FALSE),TRUE,"0000"),2)</f>
        <v>04</v>
      </c>
      <c r="P199" s="26" t="str">
        <f>RIGHT(IF($E199&lt;&gt;"",_xlfn.XLOOKUP($E199,$C$4:$C$681,$B$4:$B$681,"NO LABEL"),BIN2HEX(IF(N199="CarryEn","1","0")&amp;IF(M199="SubXY","1","0")&amp;IF(H199&lt;&gt;"",VLOOKUP(H199,Ops!$F$2:'Ops'!$G$20,2,FALSE),"000000"),2)),2)</f>
        <v>00</v>
      </c>
      <c r="Q199" s="26" t="str" cm="1">
        <f t="array" ref="Q199">BIN2HEX(_xlfn.IFS(D199="HWINTEN","10",G199="KeyAck","01",G199="InitLp8","01",TRUE,"00")&amp;IF(OR(Ops!$O$2:'Ops'!$O$13=K199),VLOOKUP(K199,Ops!$O$2:'Ops'!$P$13,2,FALSE),"000")&amp;IF(E199&lt;&gt;"",IF(LEN(_xlfn.XLOOKUP($E199,$C$5:$C$681,$B$5:$B$681,0))=3,HEX2BIN(LEFT(_xlfn.XLOOKUP($E199,$C$5:$C$681,$B$5:$B$681,0),1),3),IF(OR(Ops!$L$2:'Ops'!$L$11=J199),VLOOKUP(J199,Ops!$L$2:'Ops'!$M$11,2,FALSE),"000")),IF(OR(Ops!$L$2:'Ops'!$L$11=J199),VLOOKUP(J199,Ops!$L$2:'Ops'!$M$11,2,FALSE),"000")),2)</f>
        <v>06</v>
      </c>
      <c r="R199" s="27"/>
      <c r="S199" s="4" t="s">
        <v>718</v>
      </c>
      <c r="Z199" s="74" t="str">
        <f t="shared" si="58"/>
        <v>0x04,</v>
      </c>
      <c r="AA199" s="75" t="str">
        <f t="shared" si="59"/>
        <v>0x00,</v>
      </c>
      <c r="AB199" s="75" t="str">
        <f t="shared" si="60"/>
        <v>0x06,</v>
      </c>
      <c r="AC199" s="76"/>
    </row>
    <row r="200" spans="1:29" x14ac:dyDescent="0.3">
      <c r="A200" s="79">
        <f t="shared" si="13"/>
        <v>606</v>
      </c>
      <c r="B200" s="80" t="str">
        <f t="shared" si="61"/>
        <v>25E</v>
      </c>
      <c r="C200" s="4" t="s">
        <v>705</v>
      </c>
      <c r="D200" s="29"/>
      <c r="F200" s="29"/>
      <c r="G200" s="24"/>
      <c r="H200" s="29"/>
      <c r="J200" s="4" t="s">
        <v>314</v>
      </c>
      <c r="L200" s="4" t="s">
        <v>311</v>
      </c>
      <c r="M200" s="14"/>
      <c r="O200" s="25" t="str" cm="1">
        <f t="array" ref="O200">BIN2HEX(IF(I200&lt;&gt;"",VLOOKUP(I200,Ops!$I$2:'Ops'!$J$15,2,FALSE),IF(ISNUMBER(SEARCH("BR",D200)),"001","000"))&amp;IF(D200&lt;&gt;"",VLOOKUP(D200,Ops!$B$2:'Ops'!$C$23,2,FALSE),"0")&amp;_xlfn.IFS(ISNUMBER(SEARCH("BR",D200)),VLOOKUP(D200,Ops!$B$3:'Ops'!$D$22,3,FALSE),F200&lt;&gt;"",VLOOKUP(F200,Ops!$R$2:'Ops'!$S$11,2),L200&lt;&gt;"",VLOOKUP(L200,Ops!$R$2:'Ops'!$S$25,2,FALSE),TRUE,"0000"),2)</f>
        <v>04</v>
      </c>
      <c r="P200" s="26" t="str">
        <f>RIGHT(IF($E200&lt;&gt;"",_xlfn.XLOOKUP($E200,$C$4:$C$681,$B$4:$B$681,"NO LABEL"),BIN2HEX(IF(N200="CarryEn","1","0")&amp;IF(M200="SubXY","1","0")&amp;IF(H200&lt;&gt;"",VLOOKUP(H200,Ops!$F$2:'Ops'!$G$20,2,FALSE),"000000"),2)),2)</f>
        <v>00</v>
      </c>
      <c r="Q200" s="26" t="str" cm="1">
        <f t="array" ref="Q200">BIN2HEX(_xlfn.IFS(D200="HWINTEN","10",G200="KeyAck","01",G200="InitLp8","01",TRUE,"00")&amp;IF(OR(Ops!$O$2:'Ops'!$O$13=K200),VLOOKUP(K200,Ops!$O$2:'Ops'!$P$13,2,FALSE),"000")&amp;IF(E200&lt;&gt;"",IF(LEN(_xlfn.XLOOKUP($E200,$C$5:$C$681,$B$5:$B$681,0))=3,HEX2BIN(LEFT(_xlfn.XLOOKUP($E200,$C$5:$C$681,$B$5:$B$681,0),1),3),IF(OR(Ops!$L$2:'Ops'!$L$11=J200),VLOOKUP(J200,Ops!$L$2:'Ops'!$M$11,2,FALSE),"000")),IF(OR(Ops!$L$2:'Ops'!$L$11=J200),VLOOKUP(J200,Ops!$L$2:'Ops'!$M$11,2,FALSE),"000")),2)</f>
        <v>06</v>
      </c>
      <c r="R200" s="27"/>
      <c r="S200" s="4" t="s">
        <v>719</v>
      </c>
      <c r="Z200" s="74" t="str">
        <f t="shared" si="58"/>
        <v>0x04,</v>
      </c>
      <c r="AA200" s="75" t="str">
        <f t="shared" si="59"/>
        <v>0x00,</v>
      </c>
      <c r="AB200" s="75" t="str">
        <f t="shared" si="60"/>
        <v>0x06,</v>
      </c>
      <c r="AC200" s="76"/>
    </row>
    <row r="201" spans="1:29" x14ac:dyDescent="0.3">
      <c r="A201" s="79">
        <f t="shared" si="13"/>
        <v>609</v>
      </c>
      <c r="B201" s="80" t="str">
        <f t="shared" si="61"/>
        <v>261</v>
      </c>
      <c r="D201" s="29"/>
      <c r="F201" s="29"/>
      <c r="G201" s="24"/>
      <c r="H201" s="29"/>
      <c r="J201" s="4" t="s">
        <v>314</v>
      </c>
      <c r="L201" s="4" t="s">
        <v>180</v>
      </c>
      <c r="M201" s="14"/>
      <c r="O201" s="25" t="str" cm="1">
        <f t="array" ref="O201">BIN2HEX(IF(I201&lt;&gt;"",VLOOKUP(I201,Ops!$I$2:'Ops'!$J$15,2,FALSE),IF(ISNUMBER(SEARCH("BR",D201)),"001","000"))&amp;IF(D201&lt;&gt;"",VLOOKUP(D201,Ops!$B$2:'Ops'!$C$23,2,FALSE),"0")&amp;_xlfn.IFS(ISNUMBER(SEARCH("BR",D201)),VLOOKUP(D201,Ops!$B$3:'Ops'!$D$22,3,FALSE),F201&lt;&gt;"",VLOOKUP(F201,Ops!$R$2:'Ops'!$S$11,2),L201&lt;&gt;"",VLOOKUP(L201,Ops!$R$2:'Ops'!$S$25,2,FALSE),TRUE,"0000"),2)</f>
        <v>01</v>
      </c>
      <c r="P201" s="26" t="str">
        <f>RIGHT(IF($E201&lt;&gt;"",_xlfn.XLOOKUP($E201,$C$4:$C$681,$B$4:$B$681,"NO LABEL"),BIN2HEX(IF(N201="CarryEn","1","0")&amp;IF(M201="SubXY","1","0")&amp;IF(H201&lt;&gt;"",VLOOKUP(H201,Ops!$F$2:'Ops'!$G$20,2,FALSE),"000000"),2)),2)</f>
        <v>00</v>
      </c>
      <c r="Q201" s="26" t="str" cm="1">
        <f t="array" ref="Q201">BIN2HEX(_xlfn.IFS(D201="HWINTEN","10",G201="KeyAck","01",G201="InitLp8","01",TRUE,"00")&amp;IF(OR(Ops!$O$2:'Ops'!$O$13=K201),VLOOKUP(K201,Ops!$O$2:'Ops'!$P$13,2,FALSE),"000")&amp;IF(E201&lt;&gt;"",IF(LEN(_xlfn.XLOOKUP($E201,$C$5:$C$681,$B$5:$B$681,0))=3,HEX2BIN(LEFT(_xlfn.XLOOKUP($E201,$C$5:$C$681,$B$5:$B$681,0),1),3),IF(OR(Ops!$L$2:'Ops'!$L$11=J201),VLOOKUP(J201,Ops!$L$2:'Ops'!$M$11,2,FALSE),"000")),IF(OR(Ops!$L$2:'Ops'!$L$11=J201),VLOOKUP(J201,Ops!$L$2:'Ops'!$M$11,2,FALSE),"000")),2)</f>
        <v>06</v>
      </c>
      <c r="R201" s="27"/>
      <c r="S201" s="4" t="s">
        <v>720</v>
      </c>
      <c r="Z201" s="74" t="str">
        <f t="shared" si="58"/>
        <v>0x01,</v>
      </c>
      <c r="AA201" s="75" t="str">
        <f t="shared" si="59"/>
        <v>0x00,</v>
      </c>
      <c r="AB201" s="75" t="str">
        <f t="shared" si="60"/>
        <v>0x06,</v>
      </c>
      <c r="AC201" s="76"/>
    </row>
    <row r="202" spans="1:29" x14ac:dyDescent="0.3">
      <c r="A202" s="79">
        <f t="shared" si="13"/>
        <v>612</v>
      </c>
      <c r="B202" s="80" t="str">
        <f t="shared" si="57"/>
        <v>264</v>
      </c>
      <c r="D202" s="29" t="s">
        <v>30</v>
      </c>
      <c r="E202" s="4" t="s">
        <v>699</v>
      </c>
      <c r="F202" s="29"/>
      <c r="G202" s="24"/>
      <c r="H202" s="29"/>
      <c r="M202" s="14"/>
      <c r="O202" s="25" t="str" cm="1">
        <f t="array" ref="O202">BIN2HEX(IF(I202&lt;&gt;"",VLOOKUP(I202,Ops!$I$2:'Ops'!$J$15,2,FALSE),IF(ISNUMBER(SEARCH("BR",D202)),"001","000"))&amp;IF(D202&lt;&gt;"",VLOOKUP(D202,Ops!$B$2:'Ops'!$C$23,2,FALSE),"0")&amp;_xlfn.IFS(ISNUMBER(SEARCH("BR",D202)),VLOOKUP(D202,Ops!$B$3:'Ops'!$D$22,3,FALSE),F202&lt;&gt;"",VLOOKUP(F202,Ops!$R$2:'Ops'!$S$11,2),L202&lt;&gt;"",VLOOKUP(L202,Ops!$R$2:'Ops'!$S$25,2,FALSE),TRUE,"0000"),2)</f>
        <v>32</v>
      </c>
      <c r="P202" s="26" t="str">
        <f>RIGHT(IF($E202&lt;&gt;"",_xlfn.XLOOKUP($E202,$C$4:$C$681,$B$4:$B$681,"NO LABEL"),BIN2HEX(IF(N202="CarryEn","1","0")&amp;IF(M202="SubXY","1","0")&amp;IF(H202&lt;&gt;"",VLOOKUP(H202,Ops!$F$2:'Ops'!$G$20,2,FALSE),"000000"),2)),2)</f>
        <v>91</v>
      </c>
      <c r="Q202" s="26" t="str" cm="1">
        <f t="array" ref="Q202">BIN2HEX(_xlfn.IFS(D202="HWINTEN","10",G202="KeyAck","01",G202="InitLp8","01",TRUE,"00")&amp;IF(OR(Ops!$O$2:'Ops'!$O$13=K202),VLOOKUP(K202,Ops!$O$2:'Ops'!$P$13,2,FALSE),"000")&amp;IF(E202&lt;&gt;"",IF(LEN(_xlfn.XLOOKUP($E202,$C$5:$C$681,$B$5:$B$681,0))=3,HEX2BIN(LEFT(_xlfn.XLOOKUP($E202,$C$5:$C$681,$B$5:$B$681,0),1),3),IF(OR(Ops!$L$2:'Ops'!$L$11=J202),VLOOKUP(J202,Ops!$L$2:'Ops'!$M$11,2,FALSE),"000")),IF(OR(Ops!$L$2:'Ops'!$L$11=J202),VLOOKUP(J202,Ops!$L$2:'Ops'!$M$11,2,FALSE),"000")),2)</f>
        <v>02</v>
      </c>
      <c r="R202" s="27"/>
      <c r="Z202" s="74" t="str">
        <f t="shared" si="58"/>
        <v>0x32,</v>
      </c>
      <c r="AA202" s="75" t="str">
        <f t="shared" si="59"/>
        <v>0x91,</v>
      </c>
      <c r="AB202" s="75" t="str">
        <f t="shared" si="60"/>
        <v>0x02,</v>
      </c>
      <c r="AC202" s="76"/>
    </row>
    <row r="203" spans="1:29" x14ac:dyDescent="0.3">
      <c r="A203" s="79">
        <f t="shared" si="13"/>
        <v>615</v>
      </c>
      <c r="B203" s="80" t="str">
        <f t="shared" si="57"/>
        <v>267</v>
      </c>
      <c r="D203" s="29" t="s">
        <v>0</v>
      </c>
      <c r="E203" s="4" t="s">
        <v>705</v>
      </c>
      <c r="F203" s="29"/>
      <c r="G203" s="24"/>
      <c r="H203" s="29"/>
      <c r="M203" s="14"/>
      <c r="O203" s="25" t="str" cm="1">
        <f t="array" ref="O203">BIN2HEX(IF(I203&lt;&gt;"",VLOOKUP(I203,Ops!$I$2:'Ops'!$J$15,2,FALSE),IF(ISNUMBER(SEARCH("BR",D203)),"001","000"))&amp;IF(D203&lt;&gt;"",VLOOKUP(D203,Ops!$B$2:'Ops'!$C$23,2,FALSE),"0")&amp;_xlfn.IFS(ISNUMBER(SEARCH("BR",D203)),VLOOKUP(D203,Ops!$B$3:'Ops'!$D$22,3,FALSE),F203&lt;&gt;"",VLOOKUP(F203,Ops!$R$2:'Ops'!$S$11,2),L203&lt;&gt;"",VLOOKUP(L203,Ops!$R$2:'Ops'!$S$25,2,FALSE),TRUE,"0000"),2)</f>
        <v>10</v>
      </c>
      <c r="P203" s="26" t="str">
        <f>RIGHT(IF($E203&lt;&gt;"",_xlfn.XLOOKUP($E203,$C$4:$C$681,$B$4:$B$681,"NO LABEL"),BIN2HEX(IF(N203="CarryEn","1","0")&amp;IF(M203="SubXY","1","0")&amp;IF(H203&lt;&gt;"",VLOOKUP(H203,Ops!$F$2:'Ops'!$G$20,2,FALSE),"000000"),2)),2)</f>
        <v>5E</v>
      </c>
      <c r="Q203" s="26" t="str" cm="1">
        <f t="array" ref="Q203">BIN2HEX(_xlfn.IFS(D203="HWINTEN","10",G203="KeyAck","01",G203="InitLp8","01",TRUE,"00")&amp;IF(OR(Ops!$O$2:'Ops'!$O$13=K203),VLOOKUP(K203,Ops!$O$2:'Ops'!$P$13,2,FALSE),"000")&amp;IF(E203&lt;&gt;"",IF(LEN(_xlfn.XLOOKUP($E203,$C$5:$C$681,$B$5:$B$681,0))=3,HEX2BIN(LEFT(_xlfn.XLOOKUP($E203,$C$5:$C$681,$B$5:$B$681,0),1),3),IF(OR(Ops!$L$2:'Ops'!$L$11=J203),VLOOKUP(J203,Ops!$L$2:'Ops'!$M$11,2,FALSE),"000")),IF(OR(Ops!$L$2:'Ops'!$L$11=J203),VLOOKUP(J203,Ops!$L$2:'Ops'!$M$11,2,FALSE),"000")),2)</f>
        <v>02</v>
      </c>
      <c r="R203" s="27"/>
      <c r="Z203" s="74" t="str">
        <f t="shared" si="58"/>
        <v>0x10,</v>
      </c>
      <c r="AA203" s="75" t="str">
        <f t="shared" si="59"/>
        <v>0x5E,</v>
      </c>
      <c r="AB203" s="75" t="str">
        <f t="shared" si="60"/>
        <v>0x02,</v>
      </c>
      <c r="AC203" s="76"/>
    </row>
    <row r="204" spans="1:29" x14ac:dyDescent="0.3">
      <c r="A204" s="79">
        <f t="shared" si="13"/>
        <v>618</v>
      </c>
      <c r="B204" s="80" t="str">
        <f t="shared" si="57"/>
        <v>26A</v>
      </c>
      <c r="C204" s="4" t="s">
        <v>703</v>
      </c>
      <c r="D204" s="29"/>
      <c r="F204" s="29"/>
      <c r="G204" s="24"/>
      <c r="H204" s="29"/>
      <c r="I204" s="4" t="s">
        <v>290</v>
      </c>
      <c r="K204" s="4" t="s">
        <v>515</v>
      </c>
      <c r="M204" s="14"/>
      <c r="O204" s="25" t="str" cm="1">
        <f t="array" ref="O204">BIN2HEX(IF(I204&lt;&gt;"",VLOOKUP(I204,Ops!$I$2:'Ops'!$J$15,2,FALSE),IF(ISNUMBER(SEARCH("BR",D204)),"001","000"))&amp;IF(D204&lt;&gt;"",VLOOKUP(D204,Ops!$B$2:'Ops'!$C$23,2,FALSE),"0")&amp;_xlfn.IFS(ISNUMBER(SEARCH("BR",D204)),VLOOKUP(D204,Ops!$B$3:'Ops'!$D$22,3,FALSE),F204&lt;&gt;"",VLOOKUP(F204,Ops!$R$2:'Ops'!$S$11,2),L204&lt;&gt;"",VLOOKUP(L204,Ops!$R$2:'Ops'!$S$25,2,FALSE),TRUE,"0000"),2)</f>
        <v>40</v>
      </c>
      <c r="P204" s="26" t="str">
        <f>RIGHT(IF($E204&lt;&gt;"",_xlfn.XLOOKUP($E204,$C$4:$C$681,$B$4:$B$681,"NO LABEL"),BIN2HEX(IF(N204="CarryEn","1","0")&amp;IF(M204="SubXY","1","0")&amp;IF(H204&lt;&gt;"",VLOOKUP(H204,Ops!$F$2:'Ops'!$G$20,2,FALSE),"000000"),2)),2)</f>
        <v>00</v>
      </c>
      <c r="Q204" s="26" t="str" cm="1">
        <f t="array" ref="Q204">BIN2HEX(_xlfn.IFS(D204="HWINTEN","10",G204="KeyAck","01",G204="InitLp8","01",TRUE,"00")&amp;IF(OR(Ops!$O$2:'Ops'!$O$13=K204),VLOOKUP(K204,Ops!$O$2:'Ops'!$P$13,2,FALSE),"000")&amp;IF(E204&lt;&gt;"",IF(LEN(_xlfn.XLOOKUP($E204,$C$5:$C$681,$B$5:$B$681,0))=3,HEX2BIN(LEFT(_xlfn.XLOOKUP($E204,$C$5:$C$681,$B$5:$B$681,0),1),3),IF(OR(Ops!$L$2:'Ops'!$L$11=J204),VLOOKUP(J204,Ops!$L$2:'Ops'!$M$11,2,FALSE),"000")),IF(OR(Ops!$L$2:'Ops'!$L$11=J204),VLOOKUP(J204,Ops!$L$2:'Ops'!$M$11,2,FALSE),"000")),2)</f>
        <v>20</v>
      </c>
      <c r="R204" s="27"/>
      <c r="S204" s="4" t="s">
        <v>721</v>
      </c>
      <c r="Z204" s="74" t="str">
        <f t="shared" si="58"/>
        <v>0x40,</v>
      </c>
      <c r="AA204" s="75" t="str">
        <f t="shared" si="59"/>
        <v>0x00,</v>
      </c>
      <c r="AB204" s="75" t="str">
        <f t="shared" si="60"/>
        <v>0x20,</v>
      </c>
      <c r="AC204" s="76"/>
    </row>
    <row r="205" spans="1:29" x14ac:dyDescent="0.3">
      <c r="A205" s="79">
        <f t="shared" si="13"/>
        <v>621</v>
      </c>
      <c r="B205" s="80" t="str">
        <f t="shared" si="57"/>
        <v>26D</v>
      </c>
      <c r="D205" s="29"/>
      <c r="F205" s="29"/>
      <c r="G205" s="24"/>
      <c r="H205" s="29" t="s">
        <v>569</v>
      </c>
      <c r="I205" s="4" t="s">
        <v>481</v>
      </c>
      <c r="L205" s="4">
        <v>0</v>
      </c>
      <c r="M205" s="14"/>
      <c r="O205" s="25" t="str" cm="1">
        <f t="array" ref="O205">BIN2HEX(IF(I205&lt;&gt;"",VLOOKUP(I205,Ops!$I$2:'Ops'!$J$15,2,FALSE),IF(ISNUMBER(SEARCH("BR",D205)),"001","000"))&amp;IF(D205&lt;&gt;"",VLOOKUP(D205,Ops!$B$2:'Ops'!$C$23,2,FALSE),"0")&amp;_xlfn.IFS(ISNUMBER(SEARCH("BR",D205)),VLOOKUP(D205,Ops!$B$3:'Ops'!$D$22,3,FALSE),F205&lt;&gt;"",VLOOKUP(F205,Ops!$R$2:'Ops'!$S$11,2),L205&lt;&gt;"",VLOOKUP(L205,Ops!$R$2:'Ops'!$S$25,2,FALSE),TRUE,"0000"),2)</f>
        <v>00</v>
      </c>
      <c r="P205" s="26" t="str">
        <f>RIGHT(IF($E205&lt;&gt;"",_xlfn.XLOOKUP($E205,$C$4:$C$681,$B$4:$B$681,"NO LABEL"),BIN2HEX(IF(N205="CarryEn","1","0")&amp;IF(M205="SubXY","1","0")&amp;IF(H205&lt;&gt;"",VLOOKUP(H205,Ops!$F$2:'Ops'!$G$20,2,FALSE),"000000"),2)),2)</f>
        <v>02</v>
      </c>
      <c r="Q205" s="26" t="str" cm="1">
        <f t="array" ref="Q205">BIN2HEX(_xlfn.IFS(D205="HWINTEN","10",G205="KeyAck","01",G205="InitLp8","01",TRUE,"00")&amp;IF(OR(Ops!$O$2:'Ops'!$O$13=K205),VLOOKUP(K205,Ops!$O$2:'Ops'!$P$13,2,FALSE),"000")&amp;IF(E205&lt;&gt;"",IF(LEN(_xlfn.XLOOKUP($E205,$C$5:$C$681,$B$5:$B$681,0))=3,HEX2BIN(LEFT(_xlfn.XLOOKUP($E205,$C$5:$C$681,$B$5:$B$681,0),1),3),IF(OR(Ops!$L$2:'Ops'!$L$11=J205),VLOOKUP(J205,Ops!$L$2:'Ops'!$M$11,2,FALSE),"000")),IF(OR(Ops!$L$2:'Ops'!$L$11=J205),VLOOKUP(J205,Ops!$L$2:'Ops'!$M$11,2,FALSE),"000")),2)</f>
        <v>00</v>
      </c>
      <c r="R205" s="27"/>
      <c r="S205" s="4" t="s">
        <v>724</v>
      </c>
      <c r="Z205" s="74" t="str">
        <f t="shared" si="58"/>
        <v>0x00,</v>
      </c>
      <c r="AA205" s="75" t="str">
        <f t="shared" si="59"/>
        <v>0x02,</v>
      </c>
      <c r="AB205" s="75" t="str">
        <f t="shared" si="60"/>
        <v>0x00,</v>
      </c>
      <c r="AC205" s="76"/>
    </row>
    <row r="206" spans="1:29" x14ac:dyDescent="0.3">
      <c r="A206" s="79">
        <f t="shared" si="13"/>
        <v>624</v>
      </c>
      <c r="B206" s="80" t="str">
        <f t="shared" si="57"/>
        <v>270</v>
      </c>
      <c r="D206" s="29" t="s">
        <v>99</v>
      </c>
      <c r="E206" s="4" t="s">
        <v>706</v>
      </c>
      <c r="F206" s="29"/>
      <c r="G206" s="24"/>
      <c r="H206" s="29"/>
      <c r="M206" s="14"/>
      <c r="O206" s="25" t="str" cm="1">
        <f t="array" ref="O206">BIN2HEX(IF(I206&lt;&gt;"",VLOOKUP(I206,Ops!$I$2:'Ops'!$J$15,2,FALSE),IF(ISNUMBER(SEARCH("BR",D206)),"001","000"))&amp;IF(D206&lt;&gt;"",VLOOKUP(D206,Ops!$B$2:'Ops'!$C$23,2,FALSE),"0")&amp;_xlfn.IFS(ISNUMBER(SEARCH("BR",D206)),VLOOKUP(D206,Ops!$B$3:'Ops'!$D$22,3,FALSE),F206&lt;&gt;"",VLOOKUP(F206,Ops!$R$2:'Ops'!$S$11,2),L206&lt;&gt;"",VLOOKUP(L206,Ops!$R$2:'Ops'!$S$25,2,FALSE),TRUE,"0000"),2)</f>
        <v>39</v>
      </c>
      <c r="P206" s="26" t="str">
        <f>RIGHT(IF($E206&lt;&gt;"",_xlfn.XLOOKUP($E206,$C$4:$C$681,$B$4:$B$681,"NO LABEL"),BIN2HEX(IF(N206="CarryEn","1","0")&amp;IF(M206="SubXY","1","0")&amp;IF(H206&lt;&gt;"",VLOOKUP(H206,Ops!$F$2:'Ops'!$G$20,2,FALSE),"000000"),2)),2)</f>
        <v>76</v>
      </c>
      <c r="Q206" s="26" t="str" cm="1">
        <f t="array" ref="Q206">BIN2HEX(_xlfn.IFS(D206="HWINTEN","10",G206="KeyAck","01",G206="InitLp8","01",TRUE,"00")&amp;IF(OR(Ops!$O$2:'Ops'!$O$13=K206),VLOOKUP(K206,Ops!$O$2:'Ops'!$P$13,2,FALSE),"000")&amp;IF(E206&lt;&gt;"",IF(LEN(_xlfn.XLOOKUP($E206,$C$5:$C$681,$B$5:$B$681,0))=3,HEX2BIN(LEFT(_xlfn.XLOOKUP($E206,$C$5:$C$681,$B$5:$B$681,0),1),3),IF(OR(Ops!$L$2:'Ops'!$L$11=J206),VLOOKUP(J206,Ops!$L$2:'Ops'!$M$11,2,FALSE),"000")),IF(OR(Ops!$L$2:'Ops'!$L$11=J206),VLOOKUP(J206,Ops!$L$2:'Ops'!$M$11,2,FALSE),"000")),2)</f>
        <v>02</v>
      </c>
      <c r="R206" s="27"/>
      <c r="S206" s="3" t="s">
        <v>725</v>
      </c>
      <c r="Z206" s="74" t="str">
        <f t="shared" si="58"/>
        <v>0x39,</v>
      </c>
      <c r="AA206" s="75" t="str">
        <f t="shared" si="59"/>
        <v>0x76,</v>
      </c>
      <c r="AB206" s="75" t="str">
        <f t="shared" si="60"/>
        <v>0x02,</v>
      </c>
      <c r="AC206" s="76"/>
    </row>
    <row r="207" spans="1:29" x14ac:dyDescent="0.3">
      <c r="A207" s="79">
        <f t="shared" si="13"/>
        <v>627</v>
      </c>
      <c r="B207" s="80" t="str">
        <f t="shared" ref="B207" si="62">DEC2HEX(A207)</f>
        <v>273</v>
      </c>
      <c r="D207" s="29" t="s">
        <v>0</v>
      </c>
      <c r="E207" s="4" t="s">
        <v>703</v>
      </c>
      <c r="F207" s="29"/>
      <c r="G207" s="24"/>
      <c r="H207" s="29"/>
      <c r="M207" s="14"/>
      <c r="O207" s="25" t="str" cm="1">
        <f t="array" ref="O207">BIN2HEX(IF(I207&lt;&gt;"",VLOOKUP(I207,Ops!$I$2:'Ops'!$J$15,2,FALSE),IF(ISNUMBER(SEARCH("BR",D207)),"001","000"))&amp;IF(D207&lt;&gt;"",VLOOKUP(D207,Ops!$B$2:'Ops'!$C$23,2,FALSE),"0")&amp;_xlfn.IFS(ISNUMBER(SEARCH("BR",D207)),VLOOKUP(D207,Ops!$B$3:'Ops'!$D$22,3,FALSE),F207&lt;&gt;"",VLOOKUP(F207,Ops!$R$2:'Ops'!$S$11,2),L207&lt;&gt;"",VLOOKUP(L207,Ops!$R$2:'Ops'!$S$25,2,FALSE),TRUE,"0000"),2)</f>
        <v>10</v>
      </c>
      <c r="P207" s="26" t="str">
        <f>RIGHT(IF($E207&lt;&gt;"",_xlfn.XLOOKUP($E207,$C$4:$C$681,$B$4:$B$681,"NO LABEL"),BIN2HEX(IF(N207="CarryEn","1","0")&amp;IF(M207="SubXY","1","0")&amp;IF(H207&lt;&gt;"",VLOOKUP(H207,Ops!$F$2:'Ops'!$G$20,2,FALSE),"000000"),2)),2)</f>
        <v>6A</v>
      </c>
      <c r="Q207" s="26" t="str" cm="1">
        <f t="array" ref="Q207">BIN2HEX(_xlfn.IFS(D207="HWINTEN","10",G207="KeyAck","01",G207="InitLp8","01",TRUE,"00")&amp;IF(OR(Ops!$O$2:'Ops'!$O$13=K207),VLOOKUP(K207,Ops!$O$2:'Ops'!$P$13,2,FALSE),"000")&amp;IF(E207&lt;&gt;"",IF(LEN(_xlfn.XLOOKUP($E207,$C$5:$C$681,$B$5:$B$681,0))=3,HEX2BIN(LEFT(_xlfn.XLOOKUP($E207,$C$5:$C$681,$B$5:$B$681,0),1),3),IF(OR(Ops!$L$2:'Ops'!$L$11=J207),VLOOKUP(J207,Ops!$L$2:'Ops'!$M$11,2,FALSE),"000")),IF(OR(Ops!$L$2:'Ops'!$L$11=J207),VLOOKUP(J207,Ops!$L$2:'Ops'!$M$11,2,FALSE),"000")),2)</f>
        <v>02</v>
      </c>
      <c r="R207" s="27"/>
      <c r="Z207" s="74" t="str">
        <f t="shared" si="58"/>
        <v>0x10,</v>
      </c>
      <c r="AA207" s="75" t="str">
        <f t="shared" si="59"/>
        <v>0x6A,</v>
      </c>
      <c r="AB207" s="75" t="str">
        <f t="shared" si="60"/>
        <v>0x02,</v>
      </c>
      <c r="AC207" s="76"/>
    </row>
    <row r="208" spans="1:29" x14ac:dyDescent="0.3">
      <c r="A208" s="79">
        <f t="shared" si="13"/>
        <v>630</v>
      </c>
      <c r="B208" s="80" t="str">
        <f t="shared" ref="B208:B209" si="63">DEC2HEX(A208)</f>
        <v>276</v>
      </c>
      <c r="C208" s="4" t="s">
        <v>706</v>
      </c>
      <c r="D208" s="29"/>
      <c r="F208" s="29"/>
      <c r="G208" s="24"/>
      <c r="H208" s="29"/>
      <c r="I208" s="4" t="s">
        <v>290</v>
      </c>
      <c r="K208" s="4" t="s">
        <v>515</v>
      </c>
      <c r="M208" s="14"/>
      <c r="O208" s="25" t="str" cm="1">
        <f t="array" ref="O208">BIN2HEX(IF(I208&lt;&gt;"",VLOOKUP(I208,Ops!$I$2:'Ops'!$J$15,2,FALSE),IF(ISNUMBER(SEARCH("BR",D208)),"001","000"))&amp;IF(D208&lt;&gt;"",VLOOKUP(D208,Ops!$B$2:'Ops'!$C$23,2,FALSE),"0")&amp;_xlfn.IFS(ISNUMBER(SEARCH("BR",D208)),VLOOKUP(D208,Ops!$B$3:'Ops'!$D$22,3,FALSE),F208&lt;&gt;"",VLOOKUP(F208,Ops!$R$2:'Ops'!$S$11,2),L208&lt;&gt;"",VLOOKUP(L208,Ops!$R$2:'Ops'!$S$25,2,FALSE),TRUE,"0000"),2)</f>
        <v>40</v>
      </c>
      <c r="P208" s="26" t="str">
        <f>RIGHT(IF($E208&lt;&gt;"",_xlfn.XLOOKUP($E208,$C$4:$C$681,$B$4:$B$681,"NO LABEL"),BIN2HEX(IF(N208="CarryEn","1","0")&amp;IF(M208="SubXY","1","0")&amp;IF(H208&lt;&gt;"",VLOOKUP(H208,Ops!$F$2:'Ops'!$G$20,2,FALSE),"000000"),2)),2)</f>
        <v>00</v>
      </c>
      <c r="Q208" s="26" t="str" cm="1">
        <f t="array" ref="Q208">BIN2HEX(_xlfn.IFS(D208="HWINTEN","10",G208="KeyAck","01",G208="InitLp8","01",TRUE,"00")&amp;IF(OR(Ops!$O$2:'Ops'!$O$13=K208),VLOOKUP(K208,Ops!$O$2:'Ops'!$P$13,2,FALSE),"000")&amp;IF(E208&lt;&gt;"",IF(LEN(_xlfn.XLOOKUP($E208,$C$5:$C$681,$B$5:$B$681,0))=3,HEX2BIN(LEFT(_xlfn.XLOOKUP($E208,$C$5:$C$681,$B$5:$B$681,0),1),3),IF(OR(Ops!$L$2:'Ops'!$L$11=J208),VLOOKUP(J208,Ops!$L$2:'Ops'!$M$11,2,FALSE),"000")),IF(OR(Ops!$L$2:'Ops'!$L$11=J208),VLOOKUP(J208,Ops!$L$2:'Ops'!$M$11,2,FALSE),"000")),2)</f>
        <v>20</v>
      </c>
      <c r="R208" s="27"/>
      <c r="S208" s="4" t="s">
        <v>726</v>
      </c>
      <c r="Z208" s="74" t="str">
        <f t="shared" si="58"/>
        <v>0x40,</v>
      </c>
      <c r="AA208" s="75" t="str">
        <f t="shared" si="59"/>
        <v>0x00,</v>
      </c>
      <c r="AB208" s="75" t="str">
        <f t="shared" si="60"/>
        <v>0x20,</v>
      </c>
      <c r="AC208" s="76"/>
    </row>
    <row r="209" spans="1:29" x14ac:dyDescent="0.3">
      <c r="A209" s="79">
        <f t="shared" si="13"/>
        <v>633</v>
      </c>
      <c r="B209" s="80" t="str">
        <f t="shared" si="63"/>
        <v>279</v>
      </c>
      <c r="D209" s="29"/>
      <c r="F209" s="29"/>
      <c r="G209" s="24"/>
      <c r="H209" s="29" t="s">
        <v>569</v>
      </c>
      <c r="I209" s="4" t="s">
        <v>481</v>
      </c>
      <c r="L209" s="4">
        <v>0</v>
      </c>
      <c r="M209" s="14"/>
      <c r="O209" s="25" t="str" cm="1">
        <f t="array" ref="O209">BIN2HEX(IF(I209&lt;&gt;"",VLOOKUP(I209,Ops!$I$2:'Ops'!$J$15,2,FALSE),IF(ISNUMBER(SEARCH("BR",D209)),"001","000"))&amp;IF(D209&lt;&gt;"",VLOOKUP(D209,Ops!$B$2:'Ops'!$C$23,2,FALSE),"0")&amp;_xlfn.IFS(ISNUMBER(SEARCH("BR",D209)),VLOOKUP(D209,Ops!$B$3:'Ops'!$D$22,3,FALSE),F209&lt;&gt;"",VLOOKUP(F209,Ops!$R$2:'Ops'!$S$11,2),L209&lt;&gt;"",VLOOKUP(L209,Ops!$R$2:'Ops'!$S$25,2,FALSE),TRUE,"0000"),2)</f>
        <v>00</v>
      </c>
      <c r="P209" s="26" t="str">
        <f>RIGHT(IF($E209&lt;&gt;"",_xlfn.XLOOKUP($E209,$C$4:$C$681,$B$4:$B$681,"NO LABEL"),BIN2HEX(IF(N209="CarryEn","1","0")&amp;IF(M209="SubXY","1","0")&amp;IF(H209&lt;&gt;"",VLOOKUP(H209,Ops!$F$2:'Ops'!$G$20,2,FALSE),"000000"),2)),2)</f>
        <v>02</v>
      </c>
      <c r="Q209" s="26" t="str" cm="1">
        <f t="array" ref="Q209">BIN2HEX(_xlfn.IFS(D209="HWINTEN","10",G209="KeyAck","01",G209="InitLp8","01",TRUE,"00")&amp;IF(OR(Ops!$O$2:'Ops'!$O$13=K209),VLOOKUP(K209,Ops!$O$2:'Ops'!$P$13,2,FALSE),"000")&amp;IF(E209&lt;&gt;"",IF(LEN(_xlfn.XLOOKUP($E209,$C$5:$C$681,$B$5:$B$681,0))=3,HEX2BIN(LEFT(_xlfn.XLOOKUP($E209,$C$5:$C$681,$B$5:$B$681,0),1),3),IF(OR(Ops!$L$2:'Ops'!$L$11=J209),VLOOKUP(J209,Ops!$L$2:'Ops'!$M$11,2,FALSE),"000")),IF(OR(Ops!$L$2:'Ops'!$L$11=J209),VLOOKUP(J209,Ops!$L$2:'Ops'!$M$11,2,FALSE),"000")),2)</f>
        <v>00</v>
      </c>
      <c r="R209" s="27"/>
      <c r="S209" s="4" t="s">
        <v>727</v>
      </c>
      <c r="Z209" s="74" t="str">
        <f t="shared" si="58"/>
        <v>0x00,</v>
      </c>
      <c r="AA209" s="75" t="str">
        <f t="shared" si="59"/>
        <v>0x02,</v>
      </c>
      <c r="AB209" s="75" t="str">
        <f t="shared" si="60"/>
        <v>0x00,</v>
      </c>
      <c r="AC209" s="76"/>
    </row>
    <row r="210" spans="1:29" x14ac:dyDescent="0.3">
      <c r="A210" s="79">
        <f t="shared" si="13"/>
        <v>636</v>
      </c>
      <c r="B210" s="80" t="str">
        <f t="shared" ref="B210:B213" si="64">DEC2HEX(A210)</f>
        <v>27C</v>
      </c>
      <c r="D210" s="29"/>
      <c r="F210" s="29"/>
      <c r="G210" s="24"/>
      <c r="H210" s="29"/>
      <c r="J210" s="4" t="s">
        <v>314</v>
      </c>
      <c r="L210" s="4" t="s">
        <v>180</v>
      </c>
      <c r="M210" s="14"/>
      <c r="O210" s="25" t="str" cm="1">
        <f t="array" ref="O210">BIN2HEX(IF(I210&lt;&gt;"",VLOOKUP(I210,Ops!$I$2:'Ops'!$J$15,2,FALSE),IF(ISNUMBER(SEARCH("BR",D210)),"001","000"))&amp;IF(D210&lt;&gt;"",VLOOKUP(D210,Ops!$B$2:'Ops'!$C$23,2,FALSE),"0")&amp;_xlfn.IFS(ISNUMBER(SEARCH("BR",D210)),VLOOKUP(D210,Ops!$B$3:'Ops'!$D$22,3,FALSE),F210&lt;&gt;"",VLOOKUP(F210,Ops!$R$2:'Ops'!$S$11,2),L210&lt;&gt;"",VLOOKUP(L210,Ops!$R$2:'Ops'!$S$25,2,FALSE),TRUE,"0000"),2)</f>
        <v>01</v>
      </c>
      <c r="P210" s="26" t="str">
        <f>RIGHT(IF($E210&lt;&gt;"",_xlfn.XLOOKUP($E210,$C$4:$C$681,$B$4:$B$681,"NO LABEL"),BIN2HEX(IF(N210="CarryEn","1","0")&amp;IF(M210="SubXY","1","0")&amp;IF(H210&lt;&gt;"",VLOOKUP(H210,Ops!$F$2:'Ops'!$G$20,2,FALSE),"000000"),2)),2)</f>
        <v>00</v>
      </c>
      <c r="Q210" s="26" t="str" cm="1">
        <f t="array" ref="Q210">BIN2HEX(_xlfn.IFS(D210="HWINTEN","10",G210="KeyAck","01",G210="InitLp8","01",TRUE,"00")&amp;IF(OR(Ops!$O$2:'Ops'!$O$13=K210),VLOOKUP(K210,Ops!$O$2:'Ops'!$P$13,2,FALSE),"000")&amp;IF(E210&lt;&gt;"",IF(LEN(_xlfn.XLOOKUP($E210,$C$5:$C$681,$B$5:$B$681,0))=3,HEX2BIN(LEFT(_xlfn.XLOOKUP($E210,$C$5:$C$681,$B$5:$B$681,0),1),3),IF(OR(Ops!$L$2:'Ops'!$L$11=J210),VLOOKUP(J210,Ops!$L$2:'Ops'!$M$11,2,FALSE),"000")),IF(OR(Ops!$L$2:'Ops'!$L$11=J210),VLOOKUP(J210,Ops!$L$2:'Ops'!$M$11,2,FALSE),"000")),2)</f>
        <v>06</v>
      </c>
      <c r="R210" s="27"/>
      <c r="S210" s="4" t="s">
        <v>728</v>
      </c>
      <c r="Z210" s="74" t="str">
        <f t="shared" si="58"/>
        <v>0x01,</v>
      </c>
      <c r="AA210" s="75" t="str">
        <f t="shared" si="59"/>
        <v>0x00,</v>
      </c>
      <c r="AB210" s="75" t="str">
        <f t="shared" si="60"/>
        <v>0x06,</v>
      </c>
      <c r="AC210" s="76"/>
    </row>
    <row r="211" spans="1:29" x14ac:dyDescent="0.3">
      <c r="A211" s="79">
        <f t="shared" si="13"/>
        <v>639</v>
      </c>
      <c r="B211" s="80" t="str">
        <f t="shared" si="64"/>
        <v>27F</v>
      </c>
      <c r="D211" s="29" t="s">
        <v>99</v>
      </c>
      <c r="E211" s="4" t="s">
        <v>723</v>
      </c>
      <c r="F211" s="29"/>
      <c r="G211" s="24"/>
      <c r="H211" s="29"/>
      <c r="M211" s="14"/>
      <c r="O211" s="25" t="str" cm="1">
        <f t="array" ref="O211">BIN2HEX(IF(I211&lt;&gt;"",VLOOKUP(I211,Ops!$I$2:'Ops'!$J$15,2,FALSE),IF(ISNUMBER(SEARCH("BR",D211)),"001","000"))&amp;IF(D211&lt;&gt;"",VLOOKUP(D211,Ops!$B$2:'Ops'!$C$23,2,FALSE),"0")&amp;_xlfn.IFS(ISNUMBER(SEARCH("BR",D211)),VLOOKUP(D211,Ops!$B$3:'Ops'!$D$22,3,FALSE),F211&lt;&gt;"",VLOOKUP(F211,Ops!$R$2:'Ops'!$S$11,2),L211&lt;&gt;"",VLOOKUP(L211,Ops!$R$2:'Ops'!$S$25,2,FALSE),TRUE,"0000"),2)</f>
        <v>39</v>
      </c>
      <c r="P211" s="26" t="str">
        <f>RIGHT(IF($E211&lt;&gt;"",_xlfn.XLOOKUP($E211,$C$4:$C$681,$B$4:$B$681,"NO LABEL"),BIN2HEX(IF(N211="CarryEn","1","0")&amp;IF(M211="SubXY","1","0")&amp;IF(H211&lt;&gt;"",VLOOKUP(H211,Ops!$F$2:'Ops'!$G$20,2,FALSE),"000000"),2)),2)</f>
        <v>85</v>
      </c>
      <c r="Q211" s="26" t="str" cm="1">
        <f t="array" ref="Q211">BIN2HEX(_xlfn.IFS(D211="HWINTEN","10",G211="KeyAck","01",G211="InitLp8","01",TRUE,"00")&amp;IF(OR(Ops!$O$2:'Ops'!$O$13=K211),VLOOKUP(K211,Ops!$O$2:'Ops'!$P$13,2,FALSE),"000")&amp;IF(E211&lt;&gt;"",IF(LEN(_xlfn.XLOOKUP($E211,$C$5:$C$681,$B$5:$B$681,0))=3,HEX2BIN(LEFT(_xlfn.XLOOKUP($E211,$C$5:$C$681,$B$5:$B$681,0),1),3),IF(OR(Ops!$L$2:'Ops'!$L$11=J211),VLOOKUP(J211,Ops!$L$2:'Ops'!$M$11,2,FALSE),"000")),IF(OR(Ops!$L$2:'Ops'!$L$11=J211),VLOOKUP(J211,Ops!$L$2:'Ops'!$M$11,2,FALSE),"000")),2)</f>
        <v>02</v>
      </c>
      <c r="R211" s="27"/>
      <c r="S211" s="4" t="s">
        <v>729</v>
      </c>
      <c r="Z211" s="74" t="str">
        <f t="shared" si="58"/>
        <v>0x39,</v>
      </c>
      <c r="AA211" s="75" t="str">
        <f t="shared" si="59"/>
        <v>0x85,</v>
      </c>
      <c r="AB211" s="75" t="str">
        <f t="shared" si="60"/>
        <v>0x02,</v>
      </c>
      <c r="AC211" s="76"/>
    </row>
    <row r="212" spans="1:29" x14ac:dyDescent="0.3">
      <c r="A212" s="79">
        <f t="shared" si="13"/>
        <v>642</v>
      </c>
      <c r="B212" s="80" t="str">
        <f t="shared" si="64"/>
        <v>282</v>
      </c>
      <c r="D212" s="29" t="s">
        <v>0</v>
      </c>
      <c r="E212" s="4" t="s">
        <v>722</v>
      </c>
      <c r="F212" s="29"/>
      <c r="G212" s="24"/>
      <c r="H212" s="29"/>
      <c r="M212" s="14"/>
      <c r="O212" s="25" t="str" cm="1">
        <f t="array" ref="O212">BIN2HEX(IF(I212&lt;&gt;"",VLOOKUP(I212,Ops!$I$2:'Ops'!$J$15,2,FALSE),IF(ISNUMBER(SEARCH("BR",D212)),"001","000"))&amp;IF(D212&lt;&gt;"",VLOOKUP(D212,Ops!$B$2:'Ops'!$C$23,2,FALSE),"0")&amp;_xlfn.IFS(ISNUMBER(SEARCH("BR",D212)),VLOOKUP(D212,Ops!$B$3:'Ops'!$D$22,3,FALSE),F212&lt;&gt;"",VLOOKUP(F212,Ops!$R$2:'Ops'!$S$11,2),L212&lt;&gt;"",VLOOKUP(L212,Ops!$R$2:'Ops'!$S$25,2,FALSE),TRUE,"0000"),2)</f>
        <v>10</v>
      </c>
      <c r="P212" s="26" t="str">
        <f>RIGHT(IF($E212&lt;&gt;"",_xlfn.XLOOKUP($E212,$C$4:$C$681,$B$4:$B$681,"NO LABEL"),BIN2HEX(IF(N212="CarryEn","1","0")&amp;IF(M212="SubXY","1","0")&amp;IF(H212&lt;&gt;"",VLOOKUP(H212,Ops!$F$2:'Ops'!$G$20,2,FALSE),"000000"),2)),2)</f>
        <v>8E</v>
      </c>
      <c r="Q212" s="26" t="str" cm="1">
        <f t="array" ref="Q212">BIN2HEX(_xlfn.IFS(D212="HWINTEN","10",G212="KeyAck","01",G212="InitLp8","01",TRUE,"00")&amp;IF(OR(Ops!$O$2:'Ops'!$O$13=K212),VLOOKUP(K212,Ops!$O$2:'Ops'!$P$13,2,FALSE),"000")&amp;IF(E212&lt;&gt;"",IF(LEN(_xlfn.XLOOKUP($E212,$C$5:$C$681,$B$5:$B$681,0))=3,HEX2BIN(LEFT(_xlfn.XLOOKUP($E212,$C$5:$C$681,$B$5:$B$681,0),1),3),IF(OR(Ops!$L$2:'Ops'!$L$11=J212),VLOOKUP(J212,Ops!$L$2:'Ops'!$M$11,2,FALSE),"000")),IF(OR(Ops!$L$2:'Ops'!$L$11=J212),VLOOKUP(J212,Ops!$L$2:'Ops'!$M$11,2,FALSE),"000")),2)</f>
        <v>02</v>
      </c>
      <c r="R212" s="27"/>
      <c r="S212" s="4" t="s">
        <v>730</v>
      </c>
      <c r="Z212" s="74" t="str">
        <f t="shared" si="58"/>
        <v>0x10,</v>
      </c>
      <c r="AA212" s="75" t="str">
        <f t="shared" si="59"/>
        <v>0x8E,</v>
      </c>
      <c r="AB212" s="75" t="str">
        <f t="shared" si="60"/>
        <v>0x02,</v>
      </c>
      <c r="AC212" s="76"/>
    </row>
    <row r="213" spans="1:29" x14ac:dyDescent="0.3">
      <c r="A213" s="79">
        <f t="shared" si="13"/>
        <v>645</v>
      </c>
      <c r="B213" s="80" t="str">
        <f t="shared" si="64"/>
        <v>285</v>
      </c>
      <c r="C213" s="4" t="s">
        <v>723</v>
      </c>
      <c r="D213" s="29" t="s">
        <v>30</v>
      </c>
      <c r="E213" s="4" t="s">
        <v>722</v>
      </c>
      <c r="F213" s="29"/>
      <c r="G213" s="24"/>
      <c r="H213" s="29"/>
      <c r="M213" s="14"/>
      <c r="O213" s="25" t="str" cm="1">
        <f t="array" ref="O213">BIN2HEX(IF(I213&lt;&gt;"",VLOOKUP(I213,Ops!$I$2:'Ops'!$J$15,2,FALSE),IF(ISNUMBER(SEARCH("BR",D213)),"001","000"))&amp;IF(D213&lt;&gt;"",VLOOKUP(D213,Ops!$B$2:'Ops'!$C$23,2,FALSE),"0")&amp;_xlfn.IFS(ISNUMBER(SEARCH("BR",D213)),VLOOKUP(D213,Ops!$B$3:'Ops'!$D$22,3,FALSE),F213&lt;&gt;"",VLOOKUP(F213,Ops!$R$2:'Ops'!$S$11,2),L213&lt;&gt;"",VLOOKUP(L213,Ops!$R$2:'Ops'!$S$25,2,FALSE),TRUE,"0000"),2)</f>
        <v>32</v>
      </c>
      <c r="P213" s="26" t="str">
        <f>RIGHT(IF($E213&lt;&gt;"",_xlfn.XLOOKUP($E213,$C$4:$C$681,$B$4:$B$681,"NO LABEL"),BIN2HEX(IF(N213="CarryEn","1","0")&amp;IF(M213="SubXY","1","0")&amp;IF(H213&lt;&gt;"",VLOOKUP(H213,Ops!$F$2:'Ops'!$G$20,2,FALSE),"000000"),2)),2)</f>
        <v>8E</v>
      </c>
      <c r="Q213" s="26" t="str" cm="1">
        <f t="array" ref="Q213">BIN2HEX(_xlfn.IFS(D213="HWINTEN","10",G213="KeyAck","01",G213="InitLp8","01",TRUE,"00")&amp;IF(OR(Ops!$O$2:'Ops'!$O$13=K213),VLOOKUP(K213,Ops!$O$2:'Ops'!$P$13,2,FALSE),"000")&amp;IF(E213&lt;&gt;"",IF(LEN(_xlfn.XLOOKUP($E213,$C$5:$C$681,$B$5:$B$681,0))=3,HEX2BIN(LEFT(_xlfn.XLOOKUP($E213,$C$5:$C$681,$B$5:$B$681,0),1),3),IF(OR(Ops!$L$2:'Ops'!$L$11=J213),VLOOKUP(J213,Ops!$L$2:'Ops'!$M$11,2,FALSE),"000")),IF(OR(Ops!$L$2:'Ops'!$L$11=J213),VLOOKUP(J213,Ops!$L$2:'Ops'!$M$11,2,FALSE),"000")),2)</f>
        <v>02</v>
      </c>
      <c r="R213" s="27"/>
      <c r="Z213" s="74" t="str">
        <f t="shared" si="58"/>
        <v>0x32,</v>
      </c>
      <c r="AA213" s="75" t="str">
        <f t="shared" si="59"/>
        <v>0x8E,</v>
      </c>
      <c r="AB213" s="75" t="str">
        <f t="shared" si="60"/>
        <v>0x02,</v>
      </c>
      <c r="AC213" s="76"/>
    </row>
    <row r="214" spans="1:29" x14ac:dyDescent="0.3">
      <c r="A214" s="79">
        <f t="shared" si="13"/>
        <v>648</v>
      </c>
      <c r="B214" s="80" t="str">
        <f t="shared" ref="B214:B216" si="65">DEC2HEX(A214)</f>
        <v>288</v>
      </c>
      <c r="D214" s="29"/>
      <c r="F214" s="29"/>
      <c r="G214" s="24"/>
      <c r="H214" s="29"/>
      <c r="J214" s="4" t="s">
        <v>314</v>
      </c>
      <c r="K214" s="4" t="s">
        <v>313</v>
      </c>
      <c r="L214" s="4" t="s">
        <v>311</v>
      </c>
      <c r="M214" s="14"/>
      <c r="O214" s="25" t="str" cm="1">
        <f t="array" ref="O214">BIN2HEX(IF(I214&lt;&gt;"",VLOOKUP(I214,Ops!$I$2:'Ops'!$J$15,2,FALSE),IF(ISNUMBER(SEARCH("BR",D214)),"001","000"))&amp;IF(D214&lt;&gt;"",VLOOKUP(D214,Ops!$B$2:'Ops'!$C$23,2,FALSE),"0")&amp;_xlfn.IFS(ISNUMBER(SEARCH("BR",D214)),VLOOKUP(D214,Ops!$B$3:'Ops'!$D$22,3,FALSE),F214&lt;&gt;"",VLOOKUP(F214,Ops!$R$2:'Ops'!$S$11,2),L214&lt;&gt;"",VLOOKUP(L214,Ops!$R$2:'Ops'!$S$25,2,FALSE),TRUE,"0000"),2)</f>
        <v>04</v>
      </c>
      <c r="P214" s="26" t="str">
        <f>RIGHT(IF($E214&lt;&gt;"",_xlfn.XLOOKUP($E214,$C$4:$C$681,$B$4:$B$681,"NO LABEL"),BIN2HEX(IF(N214="CarryEn","1","0")&amp;IF(M214="SubXY","1","0")&amp;IF(H214&lt;&gt;"",VLOOKUP(H214,Ops!$F$2:'Ops'!$G$20,2,FALSE),"000000"),2)),2)</f>
        <v>00</v>
      </c>
      <c r="Q214" s="26" t="str" cm="1">
        <f t="array" ref="Q214">BIN2HEX(_xlfn.IFS(D214="HWINTEN","10",G214="KeyAck","01",G214="InitLp8","01",TRUE,"00")&amp;IF(OR(Ops!$O$2:'Ops'!$O$13=K214),VLOOKUP(K214,Ops!$O$2:'Ops'!$P$13,2,FALSE),"000")&amp;IF(E214&lt;&gt;"",IF(LEN(_xlfn.XLOOKUP($E214,$C$5:$C$681,$B$5:$B$681,0))=3,HEX2BIN(LEFT(_xlfn.XLOOKUP($E214,$C$5:$C$681,$B$5:$B$681,0),1),3),IF(OR(Ops!$L$2:'Ops'!$L$11=J214),VLOOKUP(J214,Ops!$L$2:'Ops'!$M$11,2,FALSE),"000")),IF(OR(Ops!$L$2:'Ops'!$L$11=J214),VLOOKUP(J214,Ops!$L$2:'Ops'!$M$11,2,FALSE),"000")),2)</f>
        <v>36</v>
      </c>
      <c r="R214" s="27"/>
      <c r="Z214" s="74" t="str">
        <f t="shared" si="58"/>
        <v>0x04,</v>
      </c>
      <c r="AA214" s="75" t="str">
        <f t="shared" si="59"/>
        <v>0x00,</v>
      </c>
      <c r="AB214" s="75" t="str">
        <f t="shared" si="60"/>
        <v>0x36,</v>
      </c>
      <c r="AC214" s="76"/>
    </row>
    <row r="215" spans="1:29" x14ac:dyDescent="0.3">
      <c r="A215" s="79">
        <f t="shared" si="13"/>
        <v>651</v>
      </c>
      <c r="B215" s="80" t="str">
        <f t="shared" si="65"/>
        <v>28B</v>
      </c>
      <c r="D215" s="29" t="s">
        <v>0</v>
      </c>
      <c r="E215" s="4" t="s">
        <v>706</v>
      </c>
      <c r="F215" s="29"/>
      <c r="G215" s="24"/>
      <c r="H215" s="29"/>
      <c r="M215" s="14"/>
      <c r="O215" s="25" t="str" cm="1">
        <f t="array" ref="O215">BIN2HEX(IF(I215&lt;&gt;"",VLOOKUP(I215,Ops!$I$2:'Ops'!$J$15,2,FALSE),IF(ISNUMBER(SEARCH("BR",D215)),"001","000"))&amp;IF(D215&lt;&gt;"",VLOOKUP(D215,Ops!$B$2:'Ops'!$C$23,2,FALSE),"0")&amp;_xlfn.IFS(ISNUMBER(SEARCH("BR",D215)),VLOOKUP(D215,Ops!$B$3:'Ops'!$D$22,3,FALSE),F215&lt;&gt;"",VLOOKUP(F215,Ops!$R$2:'Ops'!$S$11,2),L215&lt;&gt;"",VLOOKUP(L215,Ops!$R$2:'Ops'!$S$25,2,FALSE),TRUE,"0000"),2)</f>
        <v>10</v>
      </c>
      <c r="P215" s="26" t="str">
        <f>RIGHT(IF($E215&lt;&gt;"",_xlfn.XLOOKUP($E215,$C$4:$C$681,$B$4:$B$681,"NO LABEL"),BIN2HEX(IF(N215="CarryEn","1","0")&amp;IF(M215="SubXY","1","0")&amp;IF(H215&lt;&gt;"",VLOOKUP(H215,Ops!$F$2:'Ops'!$G$20,2,FALSE),"000000"),2)),2)</f>
        <v>76</v>
      </c>
      <c r="Q215" s="26" t="str" cm="1">
        <f t="array" ref="Q215">BIN2HEX(_xlfn.IFS(D215="HWINTEN","10",G215="KeyAck","01",G215="InitLp8","01",TRUE,"00")&amp;IF(OR(Ops!$O$2:'Ops'!$O$13=K215),VLOOKUP(K215,Ops!$O$2:'Ops'!$P$13,2,FALSE),"000")&amp;IF(E215&lt;&gt;"",IF(LEN(_xlfn.XLOOKUP($E215,$C$5:$C$681,$B$5:$B$681,0))=3,HEX2BIN(LEFT(_xlfn.XLOOKUP($E215,$C$5:$C$681,$B$5:$B$681,0),1),3),IF(OR(Ops!$L$2:'Ops'!$L$11=J215),VLOOKUP(J215,Ops!$L$2:'Ops'!$M$11,2,FALSE),"000")),IF(OR(Ops!$L$2:'Ops'!$L$11=J215),VLOOKUP(J215,Ops!$L$2:'Ops'!$M$11,2,FALSE),"000")),2)</f>
        <v>02</v>
      </c>
      <c r="R215" s="27"/>
      <c r="Z215" s="74" t="str">
        <f t="shared" si="58"/>
        <v>0x10,</v>
      </c>
      <c r="AA215" s="75" t="str">
        <f t="shared" si="59"/>
        <v>0x76,</v>
      </c>
      <c r="AB215" s="75" t="str">
        <f t="shared" si="60"/>
        <v>0x02,</v>
      </c>
      <c r="AC215" s="76"/>
    </row>
    <row r="216" spans="1:29" x14ac:dyDescent="0.3">
      <c r="A216" s="79">
        <f t="shared" si="13"/>
        <v>654</v>
      </c>
      <c r="B216" s="80" t="str">
        <f t="shared" si="65"/>
        <v>28E</v>
      </c>
      <c r="C216" s="4" t="s">
        <v>722</v>
      </c>
      <c r="D216" s="29"/>
      <c r="F216" s="29"/>
      <c r="G216" s="24"/>
      <c r="H216" s="29"/>
      <c r="J216" s="4" t="s">
        <v>314</v>
      </c>
      <c r="K216" s="4" t="s">
        <v>313</v>
      </c>
      <c r="L216" s="4" t="s">
        <v>311</v>
      </c>
      <c r="M216" s="14"/>
      <c r="O216" s="25" t="str" cm="1">
        <f t="array" ref="O216">BIN2HEX(IF(I216&lt;&gt;"",VLOOKUP(I216,Ops!$I$2:'Ops'!$J$15,2,FALSE),IF(ISNUMBER(SEARCH("BR",D216)),"001","000"))&amp;IF(D216&lt;&gt;"",VLOOKUP(D216,Ops!$B$2:'Ops'!$C$23,2,FALSE),"0")&amp;_xlfn.IFS(ISNUMBER(SEARCH("BR",D216)),VLOOKUP(D216,Ops!$B$3:'Ops'!$D$22,3,FALSE),F216&lt;&gt;"",VLOOKUP(F216,Ops!$R$2:'Ops'!$S$11,2),L216&lt;&gt;"",VLOOKUP(L216,Ops!$R$2:'Ops'!$S$25,2,FALSE),TRUE,"0000"),2)</f>
        <v>04</v>
      </c>
      <c r="P216" s="26" t="str">
        <f>RIGHT(IF($E216&lt;&gt;"",_xlfn.XLOOKUP($E216,$C$4:$C$681,$B$4:$B$681,"NO LABEL"),BIN2HEX(IF(N216="CarryEn","1","0")&amp;IF(M216="SubXY","1","0")&amp;IF(H216&lt;&gt;"",VLOOKUP(H216,Ops!$F$2:'Ops'!$G$20,2,FALSE),"000000"),2)),2)</f>
        <v>00</v>
      </c>
      <c r="Q216" s="26" t="str" cm="1">
        <f t="array" ref="Q216">BIN2HEX(_xlfn.IFS(D216="HWINTEN","10",G216="KeyAck","01",G216="InitLp8","01",TRUE,"00")&amp;IF(OR(Ops!$O$2:'Ops'!$O$13=K216),VLOOKUP(K216,Ops!$O$2:'Ops'!$P$13,2,FALSE),"000")&amp;IF(E216&lt;&gt;"",IF(LEN(_xlfn.XLOOKUP($E216,$C$5:$C$681,$B$5:$B$681,0))=3,HEX2BIN(LEFT(_xlfn.XLOOKUP($E216,$C$5:$C$681,$B$5:$B$681,0),1),3),IF(OR(Ops!$L$2:'Ops'!$L$11=J216),VLOOKUP(J216,Ops!$L$2:'Ops'!$M$11,2,FALSE),"000")),IF(OR(Ops!$L$2:'Ops'!$L$11=J216),VLOOKUP(J216,Ops!$L$2:'Ops'!$M$11,2,FALSE),"000")),2)</f>
        <v>36</v>
      </c>
      <c r="R216" s="27"/>
      <c r="S216" s="4" t="s">
        <v>731</v>
      </c>
      <c r="Z216" s="74" t="str">
        <f t="shared" si="58"/>
        <v>0x04,</v>
      </c>
      <c r="AA216" s="75" t="str">
        <f t="shared" si="59"/>
        <v>0x00,</v>
      </c>
      <c r="AB216" s="75" t="str">
        <f t="shared" si="60"/>
        <v>0x36,</v>
      </c>
      <c r="AC216" s="76"/>
    </row>
    <row r="217" spans="1:29" x14ac:dyDescent="0.3">
      <c r="A217" s="79">
        <f t="shared" si="13"/>
        <v>657</v>
      </c>
      <c r="B217" s="80" t="str">
        <f t="shared" ref="B217:B218" si="66">DEC2HEX(A217)</f>
        <v>291</v>
      </c>
      <c r="C217" s="4" t="s">
        <v>699</v>
      </c>
      <c r="D217" s="29"/>
      <c r="F217" s="29"/>
      <c r="G217" s="24"/>
      <c r="H217" s="29"/>
      <c r="J217" s="4" t="s">
        <v>519</v>
      </c>
      <c r="M217" s="14"/>
      <c r="O217" s="25" t="str" cm="1">
        <f t="array" ref="O217">BIN2HEX(IF(I217&lt;&gt;"",VLOOKUP(I217,Ops!$I$2:'Ops'!$J$15,2,FALSE),IF(ISNUMBER(SEARCH("BR",D217)),"001","000"))&amp;IF(D217&lt;&gt;"",VLOOKUP(D217,Ops!$B$2:'Ops'!$C$23,2,FALSE),"0")&amp;_xlfn.IFS(ISNUMBER(SEARCH("BR",D217)),VLOOKUP(D217,Ops!$B$3:'Ops'!$D$22,3,FALSE),F217&lt;&gt;"",VLOOKUP(F217,Ops!$R$2:'Ops'!$S$11,2),L217&lt;&gt;"",VLOOKUP(L217,Ops!$R$2:'Ops'!$S$25,2,FALSE),TRUE,"0000"),2)</f>
        <v>00</v>
      </c>
      <c r="P217" s="26" t="str">
        <f>RIGHT(IF($E217&lt;&gt;"",_xlfn.XLOOKUP($E217,$C$4:$C$681,$B$4:$B$681,"NO LABEL"),BIN2HEX(IF(N217="CarryEn","1","0")&amp;IF(M217="SubXY","1","0")&amp;IF(H217&lt;&gt;"",VLOOKUP(H217,Ops!$F$2:'Ops'!$G$20,2,FALSE),"000000"),2)),2)</f>
        <v>00</v>
      </c>
      <c r="Q217" s="26" t="str" cm="1">
        <f t="array" ref="Q217">BIN2HEX(_xlfn.IFS(D217="HWINTEN","10",G217="KeyAck","01",G217="InitLp8","01",TRUE,"00")&amp;IF(OR(Ops!$O$2:'Ops'!$O$13=K217),VLOOKUP(K217,Ops!$O$2:'Ops'!$P$13,2,FALSE),"000")&amp;IF(E217&lt;&gt;"",IF(LEN(_xlfn.XLOOKUP($E217,$C$5:$C$681,$B$5:$B$681,0))=3,HEX2BIN(LEFT(_xlfn.XLOOKUP($E217,$C$5:$C$681,$B$5:$B$681,0),1),3),IF(OR(Ops!$L$2:'Ops'!$L$11=J217),VLOOKUP(J217,Ops!$L$2:'Ops'!$M$11,2,FALSE),"000")),IF(OR(Ops!$L$2:'Ops'!$L$11=J217),VLOOKUP(J217,Ops!$L$2:'Ops'!$M$11,2,FALSE),"000")),2)</f>
        <v>07</v>
      </c>
      <c r="R217" s="27"/>
      <c r="S217" s="4" t="s">
        <v>657</v>
      </c>
      <c r="Z217" s="74" t="str">
        <f t="shared" si="58"/>
        <v>0x00,</v>
      </c>
      <c r="AA217" s="75" t="str">
        <f t="shared" si="59"/>
        <v>0x00,</v>
      </c>
      <c r="AB217" s="75" t="str">
        <f t="shared" si="60"/>
        <v>0x07,</v>
      </c>
      <c r="AC217" s="76"/>
    </row>
    <row r="218" spans="1:29" x14ac:dyDescent="0.3">
      <c r="A218" s="79">
        <f t="shared" si="13"/>
        <v>660</v>
      </c>
      <c r="B218" s="80" t="str">
        <f t="shared" si="66"/>
        <v>294</v>
      </c>
      <c r="D218" s="29"/>
      <c r="F218" s="29"/>
      <c r="G218" s="24" t="s">
        <v>692</v>
      </c>
      <c r="H218" s="29"/>
      <c r="J218" s="4" t="s">
        <v>60</v>
      </c>
      <c r="M218" s="14"/>
      <c r="O218" s="25" t="str" cm="1">
        <f t="array" ref="O218">BIN2HEX(IF(I218&lt;&gt;"",VLOOKUP(I218,Ops!$I$2:'Ops'!$J$15,2,FALSE),IF(ISNUMBER(SEARCH("BR",D218)),"001","000"))&amp;IF(D218&lt;&gt;"",VLOOKUP(D218,Ops!$B$2:'Ops'!$C$23,2,FALSE),"0")&amp;_xlfn.IFS(ISNUMBER(SEARCH("BR",D218)),VLOOKUP(D218,Ops!$B$3:'Ops'!$D$22,3,FALSE),F218&lt;&gt;"",VLOOKUP(F218,Ops!$R$2:'Ops'!$S$11,2),L218&lt;&gt;"",VLOOKUP(L218,Ops!$R$2:'Ops'!$S$25,2,FALSE),TRUE,"0000"),2)</f>
        <v>00</v>
      </c>
      <c r="P218" s="26" t="str">
        <f>RIGHT(IF($E218&lt;&gt;"",_xlfn.XLOOKUP($E218,$C$4:$C$681,$B$4:$B$681,"NO LABEL"),BIN2HEX(IF(N218="CarryEn","1","0")&amp;IF(M218="SubXY","1","0")&amp;IF(H218&lt;&gt;"",VLOOKUP(H218,Ops!$F$2:'Ops'!$G$20,2,FALSE),"000000"),2)),2)</f>
        <v>00</v>
      </c>
      <c r="Q218" s="26" t="str" cm="1">
        <f t="array" ref="Q218">BIN2HEX(_xlfn.IFS(D218="HWINTEN","10",G218="KeyAck","01",G218="InitLp8","01",TRUE,"00")&amp;IF(OR(Ops!$O$2:'Ops'!$O$13=K218),VLOOKUP(K218,Ops!$O$2:'Ops'!$P$13,2,FALSE),"000")&amp;IF(E218&lt;&gt;"",IF(LEN(_xlfn.XLOOKUP($E218,$C$5:$C$681,$B$5:$B$681,0))=3,HEX2BIN(LEFT(_xlfn.XLOOKUP($E218,$C$5:$C$681,$B$5:$B$681,0),1),3),IF(OR(Ops!$L$2:'Ops'!$L$11=J218),VLOOKUP(J218,Ops!$L$2:'Ops'!$M$11,2,FALSE),"000")),IF(OR(Ops!$L$2:'Ops'!$L$11=J218),VLOOKUP(J218,Ops!$L$2:'Ops'!$M$11,2,FALSE),"000")),2)</f>
        <v>41</v>
      </c>
      <c r="R218" s="27"/>
      <c r="S218" s="4" t="s">
        <v>732</v>
      </c>
      <c r="Z218" s="74" t="str">
        <f t="shared" si="58"/>
        <v>0x00,</v>
      </c>
      <c r="AA218" s="75" t="str">
        <f t="shared" si="59"/>
        <v>0x00,</v>
      </c>
      <c r="AB218" s="75" t="str">
        <f t="shared" si="60"/>
        <v>0x41,</v>
      </c>
      <c r="AC218" s="76"/>
    </row>
    <row r="219" spans="1:29" x14ac:dyDescent="0.3">
      <c r="A219" s="79">
        <f t="shared" si="13"/>
        <v>663</v>
      </c>
      <c r="B219" s="80" t="str">
        <f t="shared" ref="B219:B222" si="67">DEC2HEX(A219)</f>
        <v>297</v>
      </c>
      <c r="C219" s="4" t="s">
        <v>709</v>
      </c>
      <c r="D219" s="29"/>
      <c r="F219" s="29"/>
      <c r="G219" s="24"/>
      <c r="H219" s="29" t="s">
        <v>54</v>
      </c>
      <c r="I219" s="4" t="s">
        <v>481</v>
      </c>
      <c r="L219" s="4" t="s">
        <v>565</v>
      </c>
      <c r="M219" s="14"/>
      <c r="O219" s="25" t="str" cm="1">
        <f t="array" ref="O219">BIN2HEX(IF(I219&lt;&gt;"",VLOOKUP(I219,Ops!$I$2:'Ops'!$J$15,2,FALSE),IF(ISNUMBER(SEARCH("BR",D219)),"001","000"))&amp;IF(D219&lt;&gt;"",VLOOKUP(D219,Ops!$B$2:'Ops'!$C$23,2,FALSE),"0")&amp;_xlfn.IFS(ISNUMBER(SEARCH("BR",D219)),VLOOKUP(D219,Ops!$B$3:'Ops'!$D$22,3,FALSE),F219&lt;&gt;"",VLOOKUP(F219,Ops!$R$2:'Ops'!$S$11,2),L219&lt;&gt;"",VLOOKUP(L219,Ops!$R$2:'Ops'!$S$25,2,FALSE),TRUE,"0000"),2)</f>
        <v>0F</v>
      </c>
      <c r="P219" s="26" t="str">
        <f>RIGHT(IF($E219&lt;&gt;"",_xlfn.XLOOKUP($E219,$C$4:$C$681,$B$4:$B$681,"NO LABEL"),BIN2HEX(IF(N219="CarryEn","1","0")&amp;IF(M219="SubXY","1","0")&amp;IF(H219&lt;&gt;"",VLOOKUP(H219,Ops!$F$2:'Ops'!$G$20,2,FALSE),"000000"),2)),2)</f>
        <v>02</v>
      </c>
      <c r="Q219" s="26" t="str" cm="1">
        <f t="array" ref="Q219">BIN2HEX(_xlfn.IFS(D219="HWINTEN","10",G219="KeyAck","01",G219="InitLp8","01",TRUE,"00")&amp;IF(OR(Ops!$O$2:'Ops'!$O$13=K219),VLOOKUP(K219,Ops!$O$2:'Ops'!$P$13,2,FALSE),"000")&amp;IF(E219&lt;&gt;"",IF(LEN(_xlfn.XLOOKUP($E219,$C$5:$C$681,$B$5:$B$681,0))=3,HEX2BIN(LEFT(_xlfn.XLOOKUP($E219,$C$5:$C$681,$B$5:$B$681,0),1),3),IF(OR(Ops!$L$2:'Ops'!$L$11=J219),VLOOKUP(J219,Ops!$L$2:'Ops'!$M$11,2,FALSE),"000")),IF(OR(Ops!$L$2:'Ops'!$L$11=J219),VLOOKUP(J219,Ops!$L$2:'Ops'!$M$11,2,FALSE),"000")),2)</f>
        <v>00</v>
      </c>
      <c r="R219" s="27"/>
      <c r="S219" s="4" t="s">
        <v>733</v>
      </c>
      <c r="Z219" s="74" t="str">
        <f t="shared" si="58"/>
        <v>0x0F,</v>
      </c>
      <c r="AA219" s="75" t="str">
        <f t="shared" si="59"/>
        <v>0x02,</v>
      </c>
      <c r="AB219" s="75" t="str">
        <f t="shared" si="60"/>
        <v>0x00,</v>
      </c>
      <c r="AC219" s="76"/>
    </row>
    <row r="220" spans="1:29" x14ac:dyDescent="0.3">
      <c r="A220" s="79">
        <f t="shared" si="13"/>
        <v>666</v>
      </c>
      <c r="B220" s="80" t="str">
        <f t="shared" si="67"/>
        <v>29A</v>
      </c>
      <c r="D220" s="29" t="s">
        <v>251</v>
      </c>
      <c r="E220" s="4" t="s">
        <v>709</v>
      </c>
      <c r="F220" s="29"/>
      <c r="G220" s="24"/>
      <c r="H220" s="29"/>
      <c r="M220" s="14"/>
      <c r="O220" s="25" t="str" cm="1">
        <f t="array" ref="O220">BIN2HEX(IF(I220&lt;&gt;"",VLOOKUP(I220,Ops!$I$2:'Ops'!$J$15,2,FALSE),IF(ISNUMBER(SEARCH("BR",D220)),"001","000"))&amp;IF(D220&lt;&gt;"",VLOOKUP(D220,Ops!$B$2:'Ops'!$C$23,2,FALSE),"0")&amp;_xlfn.IFS(ISNUMBER(SEARCH("BR",D220)),VLOOKUP(D220,Ops!$B$3:'Ops'!$D$22,3,FALSE),F220&lt;&gt;"",VLOOKUP(F220,Ops!$R$2:'Ops'!$S$11,2),L220&lt;&gt;"",VLOOKUP(L220,Ops!$R$2:'Ops'!$S$25,2,FALSE),TRUE,"0000"),2)</f>
        <v>3F</v>
      </c>
      <c r="P220" s="26" t="str">
        <f>RIGHT(IF($E220&lt;&gt;"",_xlfn.XLOOKUP($E220,$C$4:$C$681,$B$4:$B$681,"NO LABEL"),BIN2HEX(IF(N220="CarryEn","1","0")&amp;IF(M220="SubXY","1","0")&amp;IF(H220&lt;&gt;"",VLOOKUP(H220,Ops!$F$2:'Ops'!$G$20,2,FALSE),"000000"),2)),2)</f>
        <v>97</v>
      </c>
      <c r="Q220" s="26" t="str" cm="1">
        <f t="array" ref="Q220">BIN2HEX(_xlfn.IFS(D220="HWINTEN","10",G220="KeyAck","01",G220="InitLp8","01",TRUE,"00")&amp;IF(OR(Ops!$O$2:'Ops'!$O$13=K220),VLOOKUP(K220,Ops!$O$2:'Ops'!$P$13,2,FALSE),"000")&amp;IF(E220&lt;&gt;"",IF(LEN(_xlfn.XLOOKUP($E220,$C$5:$C$681,$B$5:$B$681,0))=3,HEX2BIN(LEFT(_xlfn.XLOOKUP($E220,$C$5:$C$681,$B$5:$B$681,0),1),3),IF(OR(Ops!$L$2:'Ops'!$L$11=J220),VLOOKUP(J220,Ops!$L$2:'Ops'!$M$11,2,FALSE),"000")),IF(OR(Ops!$L$2:'Ops'!$L$11=J220),VLOOKUP(J220,Ops!$L$2:'Ops'!$M$11,2,FALSE),"000")),2)</f>
        <v>02</v>
      </c>
      <c r="R220" s="27"/>
      <c r="Z220" s="74" t="str">
        <f t="shared" si="58"/>
        <v>0x3F,</v>
      </c>
      <c r="AA220" s="75" t="str">
        <f t="shared" si="59"/>
        <v>0x97,</v>
      </c>
      <c r="AB220" s="75" t="str">
        <f t="shared" si="60"/>
        <v>0x02,</v>
      </c>
      <c r="AC220" s="76"/>
    </row>
    <row r="221" spans="1:29" x14ac:dyDescent="0.3">
      <c r="A221" s="79">
        <f t="shared" si="13"/>
        <v>669</v>
      </c>
      <c r="B221" s="80" t="str">
        <f t="shared" si="67"/>
        <v>29D</v>
      </c>
      <c r="D221" s="29"/>
      <c r="F221" s="29"/>
      <c r="G221" s="24"/>
      <c r="H221" s="29" t="s">
        <v>54</v>
      </c>
      <c r="I221" s="4" t="s">
        <v>481</v>
      </c>
      <c r="L221" s="4">
        <v>0</v>
      </c>
      <c r="M221" s="14"/>
      <c r="O221" s="25" t="str" cm="1">
        <f t="array" ref="O221">BIN2HEX(IF(I221&lt;&gt;"",VLOOKUP(I221,Ops!$I$2:'Ops'!$J$15,2,FALSE),IF(ISNUMBER(SEARCH("BR",D221)),"001","000"))&amp;IF(D221&lt;&gt;"",VLOOKUP(D221,Ops!$B$2:'Ops'!$C$23,2,FALSE),"0")&amp;_xlfn.IFS(ISNUMBER(SEARCH("BR",D221)),VLOOKUP(D221,Ops!$B$3:'Ops'!$D$22,3,FALSE),F221&lt;&gt;"",VLOOKUP(F221,Ops!$R$2:'Ops'!$S$11,2),L221&lt;&gt;"",VLOOKUP(L221,Ops!$R$2:'Ops'!$S$25,2,FALSE),TRUE,"0000"),2)</f>
        <v>00</v>
      </c>
      <c r="P221" s="26" t="str">
        <f>RIGHT(IF($E221&lt;&gt;"",_xlfn.XLOOKUP($E221,$C$4:$C$681,$B$4:$B$681,"NO LABEL"),BIN2HEX(IF(N221="CarryEn","1","0")&amp;IF(M221="SubXY","1","0")&amp;IF(H221&lt;&gt;"",VLOOKUP(H221,Ops!$F$2:'Ops'!$G$20,2,FALSE),"000000"),2)),2)</f>
        <v>02</v>
      </c>
      <c r="Q221" s="26" t="str" cm="1">
        <f t="array" ref="Q221">BIN2HEX(_xlfn.IFS(D221="HWINTEN","10",G221="KeyAck","01",G221="InitLp8","01",TRUE,"00")&amp;IF(OR(Ops!$O$2:'Ops'!$O$13=K221),VLOOKUP(K221,Ops!$O$2:'Ops'!$P$13,2,FALSE),"000")&amp;IF(E221&lt;&gt;"",IF(LEN(_xlfn.XLOOKUP($E221,$C$5:$C$681,$B$5:$B$681,0))=3,HEX2BIN(LEFT(_xlfn.XLOOKUP($E221,$C$5:$C$681,$B$5:$B$681,0),1),3),IF(OR(Ops!$L$2:'Ops'!$L$11=J221),VLOOKUP(J221,Ops!$L$2:'Ops'!$M$11,2,FALSE),"000")),IF(OR(Ops!$L$2:'Ops'!$L$11=J221),VLOOKUP(J221,Ops!$L$2:'Ops'!$M$11,2,FALSE),"000")),2)</f>
        <v>00</v>
      </c>
      <c r="R221" s="27"/>
      <c r="Z221" s="74" t="str">
        <f t="shared" si="58"/>
        <v>0x00,</v>
      </c>
      <c r="AA221" s="75" t="str">
        <f t="shared" si="59"/>
        <v>0x02,</v>
      </c>
      <c r="AB221" s="75" t="str">
        <f t="shared" si="60"/>
        <v>0x00,</v>
      </c>
      <c r="AC221" s="76"/>
    </row>
    <row r="222" spans="1:29" x14ac:dyDescent="0.3">
      <c r="A222" s="79">
        <f t="shared" si="13"/>
        <v>672</v>
      </c>
      <c r="B222" s="80" t="str">
        <f t="shared" si="67"/>
        <v>2A0</v>
      </c>
      <c r="D222" s="29" t="s">
        <v>0</v>
      </c>
      <c r="E222" s="4" t="s">
        <v>1</v>
      </c>
      <c r="F222" s="29"/>
      <c r="G222" s="24"/>
      <c r="H222" s="29"/>
      <c r="M222" s="14"/>
      <c r="O222" s="25" t="str" cm="1">
        <f t="array" ref="O222">BIN2HEX(IF(I222&lt;&gt;"",VLOOKUP(I222,Ops!$I$2:'Ops'!$J$15,2,FALSE),IF(ISNUMBER(SEARCH("BR",D222)),"001","000"))&amp;IF(D222&lt;&gt;"",VLOOKUP(D222,Ops!$B$2:'Ops'!$C$23,2,FALSE),"0")&amp;_xlfn.IFS(ISNUMBER(SEARCH("BR",D222)),VLOOKUP(D222,Ops!$B$3:'Ops'!$D$22,3,FALSE),F222&lt;&gt;"",VLOOKUP(F222,Ops!$R$2:'Ops'!$S$11,2),L222&lt;&gt;"",VLOOKUP(L222,Ops!$R$2:'Ops'!$S$25,2,FALSE),TRUE,"0000"),2)</f>
        <v>10</v>
      </c>
      <c r="P222" s="26" t="str">
        <f>RIGHT(IF($E222&lt;&gt;"",_xlfn.XLOOKUP($E222,$C$4:$C$681,$B$4:$B$681,"NO LABEL"),BIN2HEX(IF(N222="CarryEn","1","0")&amp;IF(M222="SubXY","1","0")&amp;IF(H222&lt;&gt;"",VLOOKUP(H222,Ops!$F$2:'Ops'!$G$20,2,FALSE),"000000"),2)),2)</f>
        <v>60</v>
      </c>
      <c r="Q222" s="26" t="str" cm="1">
        <f t="array" ref="Q222">BIN2HEX(_xlfn.IFS(D222="HWINTEN","10",G222="KeyAck","01",G222="InitLp8","01",TRUE,"00")&amp;IF(OR(Ops!$O$2:'Ops'!$O$13=K222),VLOOKUP(K222,Ops!$O$2:'Ops'!$P$13,2,FALSE),"000")&amp;IF(E222&lt;&gt;"",IF(LEN(_xlfn.XLOOKUP($E222,$C$5:$C$681,$B$5:$B$681,0))=3,HEX2BIN(LEFT(_xlfn.XLOOKUP($E222,$C$5:$C$681,$B$5:$B$681,0),1),3),IF(OR(Ops!$L$2:'Ops'!$L$11=J222),VLOOKUP(J222,Ops!$L$2:'Ops'!$M$11,2,FALSE),"000")),IF(OR(Ops!$L$2:'Ops'!$L$11=J222),VLOOKUP(J222,Ops!$L$2:'Ops'!$M$11,2,FALSE),"000")),2)</f>
        <v>00</v>
      </c>
      <c r="R222" s="27"/>
      <c r="Z222" s="74" t="str">
        <f t="shared" si="58"/>
        <v>0x10,</v>
      </c>
      <c r="AA222" s="75" t="str">
        <f t="shared" si="59"/>
        <v>0x60,</v>
      </c>
      <c r="AB222" s="75" t="str">
        <f t="shared" si="60"/>
        <v>0x00,</v>
      </c>
      <c r="AC222" s="76"/>
    </row>
    <row r="223" spans="1:29" x14ac:dyDescent="0.3">
      <c r="A223" s="79">
        <f>A222+3</f>
        <v>675</v>
      </c>
      <c r="B223" s="80" t="str">
        <f t="shared" ref="B223" si="68">DEC2HEX(A223)</f>
        <v>2A3</v>
      </c>
      <c r="C223" s="12" t="s">
        <v>43</v>
      </c>
      <c r="D223" s="29" t="s">
        <v>430</v>
      </c>
      <c r="E223" s="4" t="s">
        <v>425</v>
      </c>
      <c r="F223" s="29"/>
      <c r="G223" s="24"/>
      <c r="H223" s="29"/>
      <c r="M223" s="14"/>
      <c r="O223" s="25" t="str" cm="1">
        <f t="array" ref="O223">BIN2HEX(IF(I223&lt;&gt;"",VLOOKUP(I223,Ops!$I$2:'Ops'!$J$15,2,FALSE),IF(ISNUMBER(SEARCH("BR",D223)),"001","000"))&amp;IF(D223&lt;&gt;"",VLOOKUP(D223,Ops!$B$2:'Ops'!$C$23,2,FALSE),"0")&amp;_xlfn.IFS(ISNUMBER(SEARCH("BR",D223)),VLOOKUP(D223,Ops!$B$3:'Ops'!$D$22,3,FALSE),F223&lt;&gt;"",VLOOKUP(F223,Ops!$R$2:'Ops'!$S$11,2),L223&lt;&gt;"",VLOOKUP(L223,Ops!$R$2:'Ops'!$S$25,2,FALSE),TRUE,"0000"),2)</f>
        <v>3E</v>
      </c>
      <c r="P223" s="26" t="str">
        <f>RIGHT(IF($E223&lt;&gt;"",_xlfn.XLOOKUP($E223,$C$4:$C$681,$B$4:$B$681,"NO LABEL"),BIN2HEX(IF(N223="CarryEn","1","0")&amp;IF(M223="SubXY","1","0")&amp;IF(H223&lt;&gt;"",VLOOKUP(H223,Ops!$F$2:'Ops'!$G$20,2,FALSE),"000000"),2)),2)</f>
        <v>A9</v>
      </c>
      <c r="Q223" s="26" t="str" cm="1">
        <f t="array" ref="Q223">BIN2HEX(_xlfn.IFS(D223="HWINTEN","10",G223="KeyAck","01",G223="InitLp8","01",TRUE,"00")&amp;IF(OR(Ops!$O$2:'Ops'!$O$13=K223),VLOOKUP(K223,Ops!$O$2:'Ops'!$P$13,2,FALSE),"000")&amp;IF(E223&lt;&gt;"",IF(LEN(_xlfn.XLOOKUP($E223,$C$5:$C$681,$B$5:$B$681,0))=3,HEX2BIN(LEFT(_xlfn.XLOOKUP($E223,$C$5:$C$681,$B$5:$B$681,0),1),3),IF(OR(Ops!$L$2:'Ops'!$L$11=J223),VLOOKUP(J223,Ops!$L$2:'Ops'!$M$11,2,FALSE),"000")),IF(OR(Ops!$L$2:'Ops'!$L$11=J223),VLOOKUP(J223,Ops!$L$2:'Ops'!$M$11,2,FALSE),"000")),2)</f>
        <v>02</v>
      </c>
      <c r="R223" s="27"/>
      <c r="S223" s="4" t="s">
        <v>435</v>
      </c>
      <c r="Z223" s="74" t="str">
        <f t="shared" si="58"/>
        <v>0x3E,</v>
      </c>
      <c r="AA223" s="75" t="str">
        <f t="shared" si="59"/>
        <v>0xA9,</v>
      </c>
      <c r="AB223" s="75" t="str">
        <f t="shared" si="60"/>
        <v>0x02,</v>
      </c>
      <c r="AC223" s="76"/>
    </row>
    <row r="224" spans="1:29" x14ac:dyDescent="0.3">
      <c r="A224" s="79">
        <f t="shared" si="13"/>
        <v>678</v>
      </c>
      <c r="B224" s="80" t="str">
        <f t="shared" ref="B224:B226" si="69">DEC2HEX(A224)</f>
        <v>2A6</v>
      </c>
      <c r="D224" s="29" t="s">
        <v>0</v>
      </c>
      <c r="E224" s="4" t="s">
        <v>426</v>
      </c>
      <c r="F224" s="29"/>
      <c r="G224" s="24"/>
      <c r="H224" s="29"/>
      <c r="M224" s="14"/>
      <c r="O224" s="25" t="str" cm="1">
        <f t="array" ref="O224">BIN2HEX(IF(I224&lt;&gt;"",VLOOKUP(I224,Ops!$I$2:'Ops'!$J$15,2,FALSE),IF(ISNUMBER(SEARCH("BR",D224)),"001","000"))&amp;IF(D224&lt;&gt;"",VLOOKUP(D224,Ops!$B$2:'Ops'!$C$23,2,FALSE),"0")&amp;_xlfn.IFS(ISNUMBER(SEARCH("BR",D224)),VLOOKUP(D224,Ops!$B$3:'Ops'!$D$22,3,FALSE),F224&lt;&gt;"",VLOOKUP(F224,Ops!$R$2:'Ops'!$S$11,2),L224&lt;&gt;"",VLOOKUP(L224,Ops!$R$2:'Ops'!$S$25,2,FALSE),TRUE,"0000"),2)</f>
        <v>10</v>
      </c>
      <c r="P224" s="26" t="str">
        <f>RIGHT(IF($E224&lt;&gt;"",_xlfn.XLOOKUP($E224,$C$4:$C$681,$B$4:$B$681,"NO LABEL"),BIN2HEX(IF(N224="CarryEn","1","0")&amp;IF(M224="SubXY","1","0")&amp;IF(H224&lt;&gt;"",VLOOKUP(H224,Ops!$F$2:'Ops'!$G$20,2,FALSE),"000000"),2)),2)</f>
        <v>AC</v>
      </c>
      <c r="Q224" s="26" t="str" cm="1">
        <f t="array" ref="Q224">BIN2HEX(_xlfn.IFS(D224="HWINTEN","10",G224="KeyAck","01",G224="InitLp8","01",TRUE,"00")&amp;IF(OR(Ops!$O$2:'Ops'!$O$13=K224),VLOOKUP(K224,Ops!$O$2:'Ops'!$P$13,2,FALSE),"000")&amp;IF(E224&lt;&gt;"",IF(LEN(_xlfn.XLOOKUP($E224,$C$5:$C$681,$B$5:$B$681,0))=3,HEX2BIN(LEFT(_xlfn.XLOOKUP($E224,$C$5:$C$681,$B$5:$B$681,0),1),3),IF(OR(Ops!$L$2:'Ops'!$L$11=J224),VLOOKUP(J224,Ops!$L$2:'Ops'!$M$11,2,FALSE),"000")),IF(OR(Ops!$L$2:'Ops'!$L$11=J224),VLOOKUP(J224,Ops!$L$2:'Ops'!$M$11,2,FALSE),"000")),2)</f>
        <v>02</v>
      </c>
      <c r="R224" s="27"/>
      <c r="S224" s="4" t="s">
        <v>736</v>
      </c>
      <c r="Z224" s="74" t="str">
        <f t="shared" si="58"/>
        <v>0x10,</v>
      </c>
      <c r="AA224" s="75" t="str">
        <f t="shared" si="59"/>
        <v>0xAC,</v>
      </c>
      <c r="AB224" s="75" t="str">
        <f t="shared" si="60"/>
        <v>0x02,</v>
      </c>
      <c r="AC224" s="76"/>
    </row>
    <row r="225" spans="1:29" x14ac:dyDescent="0.3">
      <c r="A225" s="79">
        <f t="shared" si="13"/>
        <v>681</v>
      </c>
      <c r="B225" s="80" t="str">
        <f t="shared" si="69"/>
        <v>2A9</v>
      </c>
      <c r="C225" s="4" t="s">
        <v>425</v>
      </c>
      <c r="D225" s="29"/>
      <c r="F225" s="29"/>
      <c r="G225" s="24"/>
      <c r="H225" s="29"/>
      <c r="J225" s="4" t="s">
        <v>421</v>
      </c>
      <c r="K225" s="4" t="s">
        <v>422</v>
      </c>
      <c r="L225" s="4" t="s">
        <v>428</v>
      </c>
      <c r="M225" s="14"/>
      <c r="O225" s="25" t="str" cm="1">
        <f t="array" ref="O225">BIN2HEX(IF(I225&lt;&gt;"",VLOOKUP(I225,Ops!$I$2:'Ops'!$J$15,2,FALSE),IF(ISNUMBER(SEARCH("BR",D225)),"001","000"))&amp;IF(D225&lt;&gt;"",VLOOKUP(D225,Ops!$B$2:'Ops'!$C$23,2,FALSE),"0")&amp;_xlfn.IFS(ISNUMBER(SEARCH("BR",D225)),VLOOKUP(D225,Ops!$B$3:'Ops'!$D$22,3,FALSE),F225&lt;&gt;"",VLOOKUP(F225,Ops!$R$2:'Ops'!$S$11,2),L225&lt;&gt;"",VLOOKUP(L225,Ops!$R$2:'Ops'!$S$25,2,FALSE),TRUE,"0000"),2)</f>
        <v>05</v>
      </c>
      <c r="P225" s="26" t="str">
        <f>RIGHT(IF($E225&lt;&gt;"",_xlfn.XLOOKUP($E225,$C$4:$C$681,$B$4:$B$681,"NO LABEL"),BIN2HEX(IF(N225="CarryEn","1","0")&amp;IF(M225="SubXY","1","0")&amp;IF(H225&lt;&gt;"",VLOOKUP(H225,Ops!$F$2:'Ops'!$G$20,2,FALSE),"000000"),2)),2)</f>
        <v>00</v>
      </c>
      <c r="Q225" s="26" t="str" cm="1">
        <f t="array" ref="Q225">BIN2HEX(_xlfn.IFS(D225="HWINTEN","10",G225="KeyAck","01",G225="InitLp8","01",TRUE,"00")&amp;IF(OR(Ops!$O$2:'Ops'!$O$13=K225),VLOOKUP(K225,Ops!$O$2:'Ops'!$P$13,2,FALSE),"000")&amp;IF(E225&lt;&gt;"",IF(LEN(_xlfn.XLOOKUP($E225,$C$5:$C$681,$B$5:$B$681,0))=3,HEX2BIN(LEFT(_xlfn.XLOOKUP($E225,$C$5:$C$681,$B$5:$B$681,0),1),3),IF(OR(Ops!$L$2:'Ops'!$L$11=J225),VLOOKUP(J225,Ops!$L$2:'Ops'!$M$11,2,FALSE),"000")),IF(OR(Ops!$L$2:'Ops'!$L$11=J225),VLOOKUP(J225,Ops!$L$2:'Ops'!$M$11,2,FALSE),"000")),2)</f>
        <v>1B</v>
      </c>
      <c r="R225" s="27"/>
      <c r="Z225" s="74" t="str">
        <f t="shared" si="58"/>
        <v>0x05,</v>
      </c>
      <c r="AA225" s="75" t="str">
        <f t="shared" si="59"/>
        <v>0x00,</v>
      </c>
      <c r="AB225" s="75" t="str">
        <f t="shared" si="60"/>
        <v>0x1B,</v>
      </c>
      <c r="AC225" s="76"/>
    </row>
    <row r="226" spans="1:29" x14ac:dyDescent="0.3">
      <c r="A226" s="79">
        <f t="shared" si="13"/>
        <v>684</v>
      </c>
      <c r="B226" s="80" t="str">
        <f t="shared" si="69"/>
        <v>2AC</v>
      </c>
      <c r="C226" s="4" t="s">
        <v>426</v>
      </c>
      <c r="D226" s="29" t="s">
        <v>30</v>
      </c>
      <c r="E226" s="4" t="s">
        <v>352</v>
      </c>
      <c r="F226" s="29"/>
      <c r="G226" s="24"/>
      <c r="H226" s="29"/>
      <c r="M226" s="14"/>
      <c r="O226" s="25" t="str" cm="1">
        <f t="array" ref="O226">BIN2HEX(IF(I226&lt;&gt;"",VLOOKUP(I226,Ops!$I$2:'Ops'!$J$15,2,FALSE),IF(ISNUMBER(SEARCH("BR",D226)),"001","000"))&amp;IF(D226&lt;&gt;"",VLOOKUP(D226,Ops!$B$2:'Ops'!$C$23,2,FALSE),"0")&amp;_xlfn.IFS(ISNUMBER(SEARCH("BR",D226)),VLOOKUP(D226,Ops!$B$3:'Ops'!$D$22,3,FALSE),F226&lt;&gt;"",VLOOKUP(F226,Ops!$R$2:'Ops'!$S$11,2),L226&lt;&gt;"",VLOOKUP(L226,Ops!$R$2:'Ops'!$S$25,2,FALSE),TRUE,"0000"),2)</f>
        <v>32</v>
      </c>
      <c r="P226" s="26" t="str">
        <f>RIGHT(IF($E226&lt;&gt;"",_xlfn.XLOOKUP($E226,$C$4:$C$681,$B$4:$B$681,"NO LABEL"),BIN2HEX(IF(N226="CarryEn","1","0")&amp;IF(M226="SubXY","1","0")&amp;IF(H226&lt;&gt;"",VLOOKUP(H226,Ops!$F$2:'Ops'!$G$20,2,FALSE),"000000"),2)),2)</f>
        <v>B5</v>
      </c>
      <c r="Q226" s="26" t="str" cm="1">
        <f t="array" ref="Q226">BIN2HEX(_xlfn.IFS(D226="HWINTEN","10",G226="KeyAck","01",G226="InitLp8","01",TRUE,"00")&amp;IF(OR(Ops!$O$2:'Ops'!$O$13=K226),VLOOKUP(K226,Ops!$O$2:'Ops'!$P$13,2,FALSE),"000")&amp;IF(E226&lt;&gt;"",IF(LEN(_xlfn.XLOOKUP($E226,$C$5:$C$681,$B$5:$B$681,0))=3,HEX2BIN(LEFT(_xlfn.XLOOKUP($E226,$C$5:$C$681,$B$5:$B$681,0),1),3),IF(OR(Ops!$L$2:'Ops'!$L$11=J226),VLOOKUP(J226,Ops!$L$2:'Ops'!$M$11,2,FALSE),"000")),IF(OR(Ops!$L$2:'Ops'!$L$11=J226),VLOOKUP(J226,Ops!$L$2:'Ops'!$M$11,2,FALSE),"000")),2)</f>
        <v>02</v>
      </c>
      <c r="R226" s="27"/>
      <c r="S226" s="4" t="s">
        <v>353</v>
      </c>
      <c r="Z226" s="74" t="str">
        <f t="shared" si="58"/>
        <v>0x32,</v>
      </c>
      <c r="AA226" s="75" t="str">
        <f t="shared" si="59"/>
        <v>0xB5,</v>
      </c>
      <c r="AB226" s="75" t="str">
        <f t="shared" si="60"/>
        <v>0x02,</v>
      </c>
      <c r="AC226" s="76"/>
    </row>
    <row r="227" spans="1:29" x14ac:dyDescent="0.3">
      <c r="A227" s="79">
        <f t="shared" si="13"/>
        <v>687</v>
      </c>
      <c r="B227" s="80" t="str">
        <f t="shared" si="57"/>
        <v>2AF</v>
      </c>
      <c r="C227" s="12"/>
      <c r="D227" s="29" t="s">
        <v>183</v>
      </c>
      <c r="E227" s="4" t="s">
        <v>227</v>
      </c>
      <c r="F227" s="29"/>
      <c r="G227" s="24"/>
      <c r="H227" s="29"/>
      <c r="M227" s="14"/>
      <c r="O227" s="25" t="str" cm="1">
        <f t="array" ref="O227">BIN2HEX(IF(I227&lt;&gt;"",VLOOKUP(I227,Ops!$I$2:'Ops'!$J$15,2,FALSE),IF(ISNUMBER(SEARCH("BR",D227)),"001","000"))&amp;IF(D227&lt;&gt;"",VLOOKUP(D227,Ops!$B$2:'Ops'!$C$23,2,FALSE),"0")&amp;_xlfn.IFS(ISNUMBER(SEARCH("BR",D227)),VLOOKUP(D227,Ops!$B$3:'Ops'!$D$22,3,FALSE),F227&lt;&gt;"",VLOOKUP(F227,Ops!$R$2:'Ops'!$S$11,2),L227&lt;&gt;"",VLOOKUP(L227,Ops!$R$2:'Ops'!$S$25,2,FALSE),TRUE,"0000"),2)</f>
        <v>37</v>
      </c>
      <c r="P227" s="26" t="str">
        <f>RIGHT(IF($E227&lt;&gt;"",_xlfn.XLOOKUP($E227,$C$4:$C$681,$B$4:$B$681,"NO LABEL"),BIN2HEX(IF(N227="CarryEn","1","0")&amp;IF(M227="SubXY","1","0")&amp;IF(H227&lt;&gt;"",VLOOKUP(H227,Ops!$F$2:'Ops'!$G$20,2,FALSE),"000000"),2)),2)</f>
        <v>BE</v>
      </c>
      <c r="Q227" s="26" t="str" cm="1">
        <f t="array" ref="Q227">BIN2HEX(_xlfn.IFS(D227="HWINTEN","10",G227="KeyAck","01",G227="InitLp8","01",TRUE,"00")&amp;IF(OR(Ops!$O$2:'Ops'!$O$13=K227),VLOOKUP(K227,Ops!$O$2:'Ops'!$P$13,2,FALSE),"000")&amp;IF(E227&lt;&gt;"",IF(LEN(_xlfn.XLOOKUP($E227,$C$5:$C$681,$B$5:$B$681,0))=3,HEX2BIN(LEFT(_xlfn.XLOOKUP($E227,$C$5:$C$681,$B$5:$B$681,0),1),3),IF(OR(Ops!$L$2:'Ops'!$L$11=J227),VLOOKUP(J227,Ops!$L$2:'Ops'!$M$11,2,FALSE),"000")),IF(OR(Ops!$L$2:'Ops'!$L$11=J227),VLOOKUP(J227,Ops!$L$2:'Ops'!$M$11,2,FALSE),"000")),2)</f>
        <v>02</v>
      </c>
      <c r="R227" s="27"/>
      <c r="S227" s="4" t="s">
        <v>228</v>
      </c>
      <c r="Z227" s="74" t="str">
        <f t="shared" si="58"/>
        <v>0x37,</v>
      </c>
      <c r="AA227" s="75" t="str">
        <f t="shared" si="59"/>
        <v>0xBE,</v>
      </c>
      <c r="AB227" s="75" t="str">
        <f t="shared" si="60"/>
        <v>0x02,</v>
      </c>
      <c r="AC227" s="76"/>
    </row>
    <row r="228" spans="1:29" x14ac:dyDescent="0.3">
      <c r="A228" s="79">
        <f t="shared" si="13"/>
        <v>690</v>
      </c>
      <c r="B228" s="80" t="str">
        <f t="shared" si="57"/>
        <v>2B2</v>
      </c>
      <c r="D228" s="29" t="s">
        <v>0</v>
      </c>
      <c r="E228" s="4" t="s">
        <v>151</v>
      </c>
      <c r="F228" s="29"/>
      <c r="G228" s="24"/>
      <c r="H228" s="29"/>
      <c r="M228" s="14"/>
      <c r="O228" s="25" t="str" cm="1">
        <f t="array" ref="O228">BIN2HEX(IF(I228&lt;&gt;"",VLOOKUP(I228,Ops!$I$2:'Ops'!$J$15,2,FALSE),IF(ISNUMBER(SEARCH("BR",D228)),"001","000"))&amp;IF(D228&lt;&gt;"",VLOOKUP(D228,Ops!$B$2:'Ops'!$C$23,2,FALSE),"0")&amp;_xlfn.IFS(ISNUMBER(SEARCH("BR",D228)),VLOOKUP(D228,Ops!$B$3:'Ops'!$D$22,3,FALSE),F228&lt;&gt;"",VLOOKUP(F228,Ops!$R$2:'Ops'!$S$11,2),L228&lt;&gt;"",VLOOKUP(L228,Ops!$R$2:'Ops'!$S$25,2,FALSE),TRUE,"0000"),2)</f>
        <v>10</v>
      </c>
      <c r="P228" s="26" t="str">
        <f>RIGHT(IF($E228&lt;&gt;"",_xlfn.XLOOKUP($E228,$C$4:$C$681,$B$4:$B$681,"NO LABEL"),BIN2HEX(IF(N228="CarryEn","1","0")&amp;IF(M228="SubXY","1","0")&amp;IF(H228&lt;&gt;"",VLOOKUP(H228,Ops!$F$2:'Ops'!$G$20,2,FALSE),"000000"),2)),2)</f>
        <v>C7</v>
      </c>
      <c r="Q228" s="26" t="str" cm="1">
        <f t="array" ref="Q228">BIN2HEX(_xlfn.IFS(D228="HWINTEN","10",G228="KeyAck","01",G228="InitLp8","01",TRUE,"00")&amp;IF(OR(Ops!$O$2:'Ops'!$O$13=K228),VLOOKUP(K228,Ops!$O$2:'Ops'!$P$13,2,FALSE),"000")&amp;IF(E228&lt;&gt;"",IF(LEN(_xlfn.XLOOKUP($E228,$C$5:$C$681,$B$5:$B$681,0))=3,HEX2BIN(LEFT(_xlfn.XLOOKUP($E228,$C$5:$C$681,$B$5:$B$681,0),1),3),IF(OR(Ops!$L$2:'Ops'!$L$11=J228),VLOOKUP(J228,Ops!$L$2:'Ops'!$M$11,2,FALSE),"000")),IF(OR(Ops!$L$2:'Ops'!$L$11=J228),VLOOKUP(J228,Ops!$L$2:'Ops'!$M$11,2,FALSE),"000")),2)</f>
        <v>02</v>
      </c>
      <c r="R228" s="27"/>
      <c r="S228" s="4" t="s">
        <v>229</v>
      </c>
      <c r="Z228" s="74" t="str">
        <f t="shared" si="58"/>
        <v>0x10,</v>
      </c>
      <c r="AA228" s="75" t="str">
        <f t="shared" si="59"/>
        <v>0xC7,</v>
      </c>
      <c r="AB228" s="75" t="str">
        <f t="shared" si="60"/>
        <v>0x02,</v>
      </c>
      <c r="AC228" s="76"/>
    </row>
    <row r="229" spans="1:29" x14ac:dyDescent="0.3">
      <c r="A229" s="79">
        <f t="shared" si="13"/>
        <v>693</v>
      </c>
      <c r="B229" s="80" t="str">
        <f t="shared" si="57"/>
        <v>2B5</v>
      </c>
      <c r="C229" s="4" t="s">
        <v>352</v>
      </c>
      <c r="D229" s="37"/>
      <c r="E229" s="3"/>
      <c r="F229" s="37"/>
      <c r="G229" s="38"/>
      <c r="H229" s="37"/>
      <c r="I229" s="3"/>
      <c r="J229" s="4" t="s">
        <v>314</v>
      </c>
      <c r="K229" s="4" t="s">
        <v>313</v>
      </c>
      <c r="L229" s="4" t="s">
        <v>180</v>
      </c>
      <c r="M229" s="14"/>
      <c r="O229" s="25" t="str" cm="1">
        <f t="array" ref="O229">BIN2HEX(IF(I229&lt;&gt;"",VLOOKUP(I229,Ops!$I$2:'Ops'!$J$15,2,FALSE),IF(ISNUMBER(SEARCH("BR",D229)),"001","000"))&amp;IF(D229&lt;&gt;"",VLOOKUP(D229,Ops!$B$2:'Ops'!$C$23,2,FALSE),"0")&amp;_xlfn.IFS(ISNUMBER(SEARCH("BR",D229)),VLOOKUP(D229,Ops!$B$3:'Ops'!$D$22,3,FALSE),F229&lt;&gt;"",VLOOKUP(F229,Ops!$R$2:'Ops'!$S$11,2),L229&lt;&gt;"",VLOOKUP(L229,Ops!$R$2:'Ops'!$S$25,2,FALSE),TRUE,"0000"),2)</f>
        <v>01</v>
      </c>
      <c r="P229" s="26" t="str">
        <f>RIGHT(IF($E229&lt;&gt;"",_xlfn.XLOOKUP($E229,$C$4:$C$681,$B$4:$B$681,"NO LABEL"),BIN2HEX(IF(N229="CarryEn","1","0")&amp;IF(M229="SubXY","1","0")&amp;IF(H229&lt;&gt;"",VLOOKUP(H229,Ops!$F$2:'Ops'!$G$20,2,FALSE),"000000"),2)),2)</f>
        <v>00</v>
      </c>
      <c r="Q229" s="26" t="str" cm="1">
        <f t="array" ref="Q229">BIN2HEX(_xlfn.IFS(D229="HWINTEN","10",G229="KeyAck","01",G229="InitLp8","01",TRUE,"00")&amp;IF(OR(Ops!$O$2:'Ops'!$O$13=K229),VLOOKUP(K229,Ops!$O$2:'Ops'!$P$13,2,FALSE),"000")&amp;IF(E229&lt;&gt;"",IF(LEN(_xlfn.XLOOKUP($E229,$C$5:$C$681,$B$5:$B$681,0))=3,HEX2BIN(LEFT(_xlfn.XLOOKUP($E229,$C$5:$C$681,$B$5:$B$681,0),1),3),IF(OR(Ops!$L$2:'Ops'!$L$11=J229),VLOOKUP(J229,Ops!$L$2:'Ops'!$M$11,2,FALSE),"000")),IF(OR(Ops!$L$2:'Ops'!$L$11=J229),VLOOKUP(J229,Ops!$L$2:'Ops'!$M$11,2,FALSE),"000")),2)</f>
        <v>36</v>
      </c>
      <c r="R229" s="27"/>
      <c r="S229" s="4" t="s">
        <v>354</v>
      </c>
      <c r="Z229" s="74" t="str">
        <f t="shared" si="58"/>
        <v>0x01,</v>
      </c>
      <c r="AA229" s="75" t="str">
        <f t="shared" si="59"/>
        <v>0x00,</v>
      </c>
      <c r="AB229" s="75" t="str">
        <f t="shared" si="60"/>
        <v>0x36,</v>
      </c>
      <c r="AC229" s="76"/>
    </row>
    <row r="230" spans="1:29" x14ac:dyDescent="0.3">
      <c r="A230" s="79">
        <f t="shared" si="13"/>
        <v>696</v>
      </c>
      <c r="B230" s="80" t="str">
        <f t="shared" si="57"/>
        <v>2B8</v>
      </c>
      <c r="D230" s="37"/>
      <c r="E230" s="3"/>
      <c r="F230" s="37"/>
      <c r="G230" s="38"/>
      <c r="H230" s="37"/>
      <c r="I230" s="3"/>
      <c r="J230" s="4" t="s">
        <v>421</v>
      </c>
      <c r="K230" s="4" t="s">
        <v>422</v>
      </c>
      <c r="L230" s="4" t="s">
        <v>24</v>
      </c>
      <c r="M230" s="14"/>
      <c r="O230" s="25" t="str" cm="1">
        <f t="array" ref="O230">BIN2HEX(IF(I230&lt;&gt;"",VLOOKUP(I230,Ops!$I$2:'Ops'!$J$15,2,FALSE),IF(ISNUMBER(SEARCH("BR",D230)),"001","000"))&amp;IF(D230&lt;&gt;"",VLOOKUP(D230,Ops!$B$2:'Ops'!$C$23,2,FALSE),"0")&amp;_xlfn.IFS(ISNUMBER(SEARCH("BR",D230)),VLOOKUP(D230,Ops!$B$3:'Ops'!$D$22,3,FALSE),F230&lt;&gt;"",VLOOKUP(F230,Ops!$R$2:'Ops'!$S$11,2),L230&lt;&gt;"",VLOOKUP(L230,Ops!$R$2:'Ops'!$S$25,2,FALSE),TRUE,"0000"),2)</f>
        <v>00</v>
      </c>
      <c r="P230" s="26" t="str">
        <f>RIGHT(IF($E230&lt;&gt;"",_xlfn.XLOOKUP($E230,$C$4:$C$681,$B$4:$B$681,"NO LABEL"),BIN2HEX(IF(N230="CarryEn","1","0")&amp;IF(M230="SubXY","1","0")&amp;IF(H230&lt;&gt;"",VLOOKUP(H230,Ops!$F$2:'Ops'!$G$20,2,FALSE),"000000"),2)),2)</f>
        <v>00</v>
      </c>
      <c r="Q230" s="26" t="str" cm="1">
        <f t="array" ref="Q230">BIN2HEX(_xlfn.IFS(D230="HWINTEN","10",G230="KeyAck","01",G230="InitLp8","01",TRUE,"00")&amp;IF(OR(Ops!$O$2:'Ops'!$O$13=K230),VLOOKUP(K230,Ops!$O$2:'Ops'!$P$13,2,FALSE),"000")&amp;IF(E230&lt;&gt;"",IF(LEN(_xlfn.XLOOKUP($E230,$C$5:$C$681,$B$5:$B$681,0))=3,HEX2BIN(LEFT(_xlfn.XLOOKUP($E230,$C$5:$C$681,$B$5:$B$681,0),1),3),IF(OR(Ops!$L$2:'Ops'!$L$11=J230),VLOOKUP(J230,Ops!$L$2:'Ops'!$M$11,2,FALSE),"000")),IF(OR(Ops!$L$2:'Ops'!$L$11=J230),VLOOKUP(J230,Ops!$L$2:'Ops'!$M$11,2,FALSE),"000")),2)</f>
        <v>1B</v>
      </c>
      <c r="R230" s="27"/>
      <c r="S230" s="4" t="s">
        <v>416</v>
      </c>
      <c r="Z230" s="74" t="str">
        <f t="shared" si="58"/>
        <v>0x00,</v>
      </c>
      <c r="AA230" s="75" t="str">
        <f t="shared" si="59"/>
        <v>0x00,</v>
      </c>
      <c r="AB230" s="75" t="str">
        <f t="shared" si="60"/>
        <v>0x1B,</v>
      </c>
      <c r="AC230" s="76"/>
    </row>
    <row r="231" spans="1:29" x14ac:dyDescent="0.3">
      <c r="A231" s="79">
        <f t="shared" si="13"/>
        <v>699</v>
      </c>
      <c r="B231" s="80" t="str">
        <f t="shared" si="57"/>
        <v>2BB</v>
      </c>
      <c r="D231" s="29" t="s">
        <v>0</v>
      </c>
      <c r="E231" s="4" t="s">
        <v>151</v>
      </c>
      <c r="F231" s="37"/>
      <c r="G231" s="38"/>
      <c r="H231" s="37"/>
      <c r="I231" s="3"/>
      <c r="J231" s="3"/>
      <c r="K231" s="3"/>
      <c r="L231" s="3"/>
      <c r="M231" s="14"/>
      <c r="O231" s="25" t="str" cm="1">
        <f t="array" ref="O231">BIN2HEX(IF(I231&lt;&gt;"",VLOOKUP(I231,Ops!$I$2:'Ops'!$J$15,2,FALSE),IF(ISNUMBER(SEARCH("BR",D231)),"001","000"))&amp;IF(D231&lt;&gt;"",VLOOKUP(D231,Ops!$B$2:'Ops'!$C$23,2,FALSE),"0")&amp;_xlfn.IFS(ISNUMBER(SEARCH("BR",D231)),VLOOKUP(D231,Ops!$B$3:'Ops'!$D$22,3,FALSE),F231&lt;&gt;"",VLOOKUP(F231,Ops!$R$2:'Ops'!$S$11,2),L231&lt;&gt;"",VLOOKUP(L231,Ops!$R$2:'Ops'!$S$25,2,FALSE),TRUE,"0000"),2)</f>
        <v>10</v>
      </c>
      <c r="P231" s="26" t="str">
        <f>RIGHT(IF($E231&lt;&gt;"",_xlfn.XLOOKUP($E231,$C$4:$C$681,$B$4:$B$681,"NO LABEL"),BIN2HEX(IF(N231="CarryEn","1","0")&amp;IF(M231="SubXY","1","0")&amp;IF(H231&lt;&gt;"",VLOOKUP(H231,Ops!$F$2:'Ops'!$G$20,2,FALSE),"000000"),2)),2)</f>
        <v>C7</v>
      </c>
      <c r="Q231" s="26" t="str" cm="1">
        <f t="array" ref="Q231">BIN2HEX(_xlfn.IFS(D231="HWINTEN","10",G231="KeyAck","01",G231="InitLp8","01",TRUE,"00")&amp;IF(OR(Ops!$O$2:'Ops'!$O$13=K231),VLOOKUP(K231,Ops!$O$2:'Ops'!$P$13,2,FALSE),"000")&amp;IF(E231&lt;&gt;"",IF(LEN(_xlfn.XLOOKUP($E231,$C$5:$C$681,$B$5:$B$681,0))=3,HEX2BIN(LEFT(_xlfn.XLOOKUP($E231,$C$5:$C$681,$B$5:$B$681,0),1),3),IF(OR(Ops!$L$2:'Ops'!$L$11=J231),VLOOKUP(J231,Ops!$L$2:'Ops'!$M$11,2,FALSE),"000")),IF(OR(Ops!$L$2:'Ops'!$L$11=J231),VLOOKUP(J231,Ops!$L$2:'Ops'!$M$11,2,FALSE),"000")),2)</f>
        <v>02</v>
      </c>
      <c r="R231" s="27"/>
      <c r="S231" s="4" t="s">
        <v>417</v>
      </c>
      <c r="Z231" s="74" t="str">
        <f t="shared" si="58"/>
        <v>0x10,</v>
      </c>
      <c r="AA231" s="75" t="str">
        <f t="shared" si="59"/>
        <v>0xC7,</v>
      </c>
      <c r="AB231" s="75" t="str">
        <f t="shared" si="60"/>
        <v>0x02,</v>
      </c>
      <c r="AC231" s="76"/>
    </row>
    <row r="232" spans="1:29" x14ac:dyDescent="0.3">
      <c r="A232" s="79">
        <f t="shared" si="13"/>
        <v>702</v>
      </c>
      <c r="B232" s="80" t="str">
        <f t="shared" si="57"/>
        <v>2BE</v>
      </c>
      <c r="C232" s="4" t="s">
        <v>227</v>
      </c>
      <c r="D232" s="29"/>
      <c r="F232" s="29"/>
      <c r="G232" s="24"/>
      <c r="H232" s="29"/>
      <c r="J232" s="4" t="s">
        <v>314</v>
      </c>
      <c r="L232" s="4" t="s">
        <v>311</v>
      </c>
      <c r="M232" s="14"/>
      <c r="O232" s="25" t="str" cm="1">
        <f t="array" ref="O232">BIN2HEX(IF(I232&lt;&gt;"",VLOOKUP(I232,Ops!$I$2:'Ops'!$J$15,2,FALSE),IF(ISNUMBER(SEARCH("BR",D232)),"001","000"))&amp;IF(D232&lt;&gt;"",VLOOKUP(D232,Ops!$B$2:'Ops'!$C$23,2,FALSE),"0")&amp;_xlfn.IFS(ISNUMBER(SEARCH("BR",D232)),VLOOKUP(D232,Ops!$B$3:'Ops'!$D$22,3,FALSE),F232&lt;&gt;"",VLOOKUP(F232,Ops!$R$2:'Ops'!$S$11,2),L232&lt;&gt;"",VLOOKUP(L232,Ops!$R$2:'Ops'!$S$25,2,FALSE),TRUE,"0000"),2)</f>
        <v>04</v>
      </c>
      <c r="P232" s="26" t="str">
        <f>RIGHT(IF($E232&lt;&gt;"",_xlfn.XLOOKUP($E232,$C$4:$C$681,$B$4:$B$681,"NO LABEL"),BIN2HEX(IF(N232="CarryEn","1","0")&amp;IF(M232="SubXY","1","0")&amp;IF(H232&lt;&gt;"",VLOOKUP(H232,Ops!$F$2:'Ops'!$G$20,2,FALSE),"000000"),2)),2)</f>
        <v>00</v>
      </c>
      <c r="Q232" s="26" t="str" cm="1">
        <f t="array" ref="Q232">BIN2HEX(_xlfn.IFS(D232="HWINTEN","10",G232="KeyAck","01",G232="InitLp8","01",TRUE,"00")&amp;IF(OR(Ops!$O$2:'Ops'!$O$13=K232),VLOOKUP(K232,Ops!$O$2:'Ops'!$P$13,2,FALSE),"000")&amp;IF(E232&lt;&gt;"",IF(LEN(_xlfn.XLOOKUP($E232,$C$5:$C$681,$B$5:$B$681,0))=3,HEX2BIN(LEFT(_xlfn.XLOOKUP($E232,$C$5:$C$681,$B$5:$B$681,0),1),3),IF(OR(Ops!$L$2:'Ops'!$L$11=J232),VLOOKUP(J232,Ops!$L$2:'Ops'!$M$11,2,FALSE),"000")),IF(OR(Ops!$L$2:'Ops'!$L$11=J232),VLOOKUP(J232,Ops!$L$2:'Ops'!$M$11,2,FALSE),"000")),2)</f>
        <v>06</v>
      </c>
      <c r="R232" s="27"/>
      <c r="S232" s="4" t="s">
        <v>355</v>
      </c>
      <c r="Z232" s="74" t="str">
        <f t="shared" si="58"/>
        <v>0x04,</v>
      </c>
      <c r="AA232" s="75" t="str">
        <f t="shared" si="59"/>
        <v>0x00,</v>
      </c>
      <c r="AB232" s="75" t="str">
        <f t="shared" si="60"/>
        <v>0x06,</v>
      </c>
      <c r="AC232" s="76"/>
    </row>
    <row r="233" spans="1:29" x14ac:dyDescent="0.3">
      <c r="A233" s="79">
        <f t="shared" si="13"/>
        <v>705</v>
      </c>
      <c r="B233" s="80" t="str">
        <f t="shared" si="57"/>
        <v>2C1</v>
      </c>
      <c r="D233" s="29"/>
      <c r="F233" s="29"/>
      <c r="G233" s="24"/>
      <c r="H233" s="29"/>
      <c r="J233" s="4" t="s">
        <v>314</v>
      </c>
      <c r="L233" s="4" t="s">
        <v>312</v>
      </c>
      <c r="M233" s="14"/>
      <c r="O233" s="25" t="str" cm="1">
        <f t="array" ref="O233">BIN2HEX(IF(I233&lt;&gt;"",VLOOKUP(I233,Ops!$I$2:'Ops'!$J$15,2,FALSE),IF(ISNUMBER(SEARCH("BR",D233)),"001","000"))&amp;IF(D233&lt;&gt;"",VLOOKUP(D233,Ops!$B$2:'Ops'!$C$23,2,FALSE),"0")&amp;_xlfn.IFS(ISNUMBER(SEARCH("BR",D233)),VLOOKUP(D233,Ops!$B$3:'Ops'!$D$22,3,FALSE),F233&lt;&gt;"",VLOOKUP(F233,Ops!$R$2:'Ops'!$S$11,2),L233&lt;&gt;"",VLOOKUP(L233,Ops!$R$2:'Ops'!$S$25,2,FALSE),TRUE,"0000"),2)</f>
        <v>03</v>
      </c>
      <c r="P233" s="26" t="str">
        <f>RIGHT(IF($E233&lt;&gt;"",_xlfn.XLOOKUP($E233,$C$4:$C$681,$B$4:$B$681,"NO LABEL"),BIN2HEX(IF(N233="CarryEn","1","0")&amp;IF(M233="SubXY","1","0")&amp;IF(H233&lt;&gt;"",VLOOKUP(H233,Ops!$F$2:'Ops'!$G$20,2,FALSE),"000000"),2)),2)</f>
        <v>00</v>
      </c>
      <c r="Q233" s="26" t="str" cm="1">
        <f t="array" ref="Q233">BIN2HEX(_xlfn.IFS(D233="HWINTEN","10",G233="KeyAck","01",G233="InitLp8","01",TRUE,"00")&amp;IF(OR(Ops!$O$2:'Ops'!$O$13=K233),VLOOKUP(K233,Ops!$O$2:'Ops'!$P$13,2,FALSE),"000")&amp;IF(E233&lt;&gt;"",IF(LEN(_xlfn.XLOOKUP($E233,$C$5:$C$681,$B$5:$B$681,0))=3,HEX2BIN(LEFT(_xlfn.XLOOKUP($E233,$C$5:$C$681,$B$5:$B$681,0),1),3),IF(OR(Ops!$L$2:'Ops'!$L$11=J233),VLOOKUP(J233,Ops!$L$2:'Ops'!$M$11,2,FALSE),"000")),IF(OR(Ops!$L$2:'Ops'!$L$11=J233),VLOOKUP(J233,Ops!$L$2:'Ops'!$M$11,2,FALSE),"000")),2)</f>
        <v>06</v>
      </c>
      <c r="R233" s="27"/>
      <c r="Z233" s="74" t="str">
        <f t="shared" si="58"/>
        <v>0x03,</v>
      </c>
      <c r="AA233" s="75" t="str">
        <f t="shared" si="59"/>
        <v>0x00,</v>
      </c>
      <c r="AB233" s="75" t="str">
        <f t="shared" si="60"/>
        <v>0x06,</v>
      </c>
      <c r="AC233" s="76"/>
    </row>
    <row r="234" spans="1:29" x14ac:dyDescent="0.3">
      <c r="A234" s="79">
        <f t="shared" si="13"/>
        <v>708</v>
      </c>
      <c r="B234" s="80" t="str">
        <f t="shared" si="57"/>
        <v>2C4</v>
      </c>
      <c r="D234" s="29"/>
      <c r="F234" s="29"/>
      <c r="G234" s="24"/>
      <c r="H234" s="29"/>
      <c r="J234" s="4" t="s">
        <v>421</v>
      </c>
      <c r="K234" s="4" t="s">
        <v>422</v>
      </c>
      <c r="L234" s="4" t="s">
        <v>24</v>
      </c>
      <c r="M234" s="14"/>
      <c r="O234" s="25" t="str" cm="1">
        <f t="array" ref="O234">BIN2HEX(IF(I234&lt;&gt;"",VLOOKUP(I234,Ops!$I$2:'Ops'!$J$15,2,FALSE),IF(ISNUMBER(SEARCH("BR",D234)),"001","000"))&amp;IF(D234&lt;&gt;"",VLOOKUP(D234,Ops!$B$2:'Ops'!$C$23,2,FALSE),"0")&amp;_xlfn.IFS(ISNUMBER(SEARCH("BR",D234)),VLOOKUP(D234,Ops!$B$3:'Ops'!$D$22,3,FALSE),F234&lt;&gt;"",VLOOKUP(F234,Ops!$R$2:'Ops'!$S$11,2),L234&lt;&gt;"",VLOOKUP(L234,Ops!$R$2:'Ops'!$S$25,2,FALSE),TRUE,"0000"),2)</f>
        <v>00</v>
      </c>
      <c r="P234" s="26" t="str">
        <f>RIGHT(IF($E234&lt;&gt;"",_xlfn.XLOOKUP($E234,$C$4:$C$681,$B$4:$B$681,"NO LABEL"),BIN2HEX(IF(N234="CarryEn","1","0")&amp;IF(M234="SubXY","1","0")&amp;IF(H234&lt;&gt;"",VLOOKUP(H234,Ops!$F$2:'Ops'!$G$20,2,FALSE),"000000"),2)),2)</f>
        <v>00</v>
      </c>
      <c r="Q234" s="26" t="str" cm="1">
        <f t="array" ref="Q234">BIN2HEX(_xlfn.IFS(D234="HWINTEN","10",G234="KeyAck","01",G234="InitLp8","01",TRUE,"00")&amp;IF(OR(Ops!$O$2:'Ops'!$O$13=K234),VLOOKUP(K234,Ops!$O$2:'Ops'!$P$13,2,FALSE),"000")&amp;IF(E234&lt;&gt;"",IF(LEN(_xlfn.XLOOKUP($E234,$C$5:$C$681,$B$5:$B$681,0))=3,HEX2BIN(LEFT(_xlfn.XLOOKUP($E234,$C$5:$C$681,$B$5:$B$681,0),1),3),IF(OR(Ops!$L$2:'Ops'!$L$11=J234),VLOOKUP(J234,Ops!$L$2:'Ops'!$M$11,2,FALSE),"000")),IF(OR(Ops!$L$2:'Ops'!$L$11=J234),VLOOKUP(J234,Ops!$L$2:'Ops'!$M$11,2,FALSE),"000")),2)</f>
        <v>1B</v>
      </c>
      <c r="R234" s="27"/>
      <c r="Z234" s="74" t="str">
        <f t="shared" ref="Z234" si="70">IF(O234="", "};", "0x"&amp;O234&amp;",")</f>
        <v>0x00,</v>
      </c>
      <c r="AA234" s="75" t="str">
        <f t="shared" ref="AA234" si="71">"0x"&amp;P234&amp;","</f>
        <v>0x00,</v>
      </c>
      <c r="AB234" s="75" t="str">
        <f t="shared" ref="AB234" si="72">"0x"&amp;Q234&amp;","</f>
        <v>0x1B,</v>
      </c>
      <c r="AC234" s="76"/>
    </row>
    <row r="235" spans="1:29" x14ac:dyDescent="0.3">
      <c r="A235" s="79">
        <f t="shared" si="13"/>
        <v>711</v>
      </c>
      <c r="B235" s="80" t="str">
        <f t="shared" ref="B235:B249" si="73">DEC2HEX(A235)</f>
        <v>2C7</v>
      </c>
      <c r="C235" s="4" t="s">
        <v>151</v>
      </c>
      <c r="D235" s="29" t="s">
        <v>28</v>
      </c>
      <c r="E235" s="4" t="s">
        <v>25</v>
      </c>
      <c r="F235" s="29"/>
      <c r="G235" s="24"/>
      <c r="H235" s="29"/>
      <c r="M235" s="14"/>
      <c r="O235" s="25" t="str" cm="1">
        <f t="array" ref="O235">BIN2HEX(IF(I235&lt;&gt;"",VLOOKUP(I235,Ops!$I$2:'Ops'!$J$15,2,FALSE),IF(ISNUMBER(SEARCH("BR",D235)),"001","000"))&amp;IF(D235&lt;&gt;"",VLOOKUP(D235,Ops!$B$2:'Ops'!$C$23,2,FALSE),"0")&amp;_xlfn.IFS(ISNUMBER(SEARCH("BR",D235)),VLOOKUP(D235,Ops!$B$3:'Ops'!$D$22,3,FALSE),F235&lt;&gt;"",VLOOKUP(F235,Ops!$R$2:'Ops'!$S$11,2),L235&lt;&gt;"",VLOOKUP(L235,Ops!$R$2:'Ops'!$S$25,2,FALSE),TRUE,"0000"),2)</f>
        <v>31</v>
      </c>
      <c r="P235" s="26" t="str">
        <f>RIGHT(IF($E235&lt;&gt;"",_xlfn.XLOOKUP($E235,$C$4:$C$681,$B$4:$B$681,"NO LABEL"),BIN2HEX(IF(N235="CarryEn","1","0")&amp;IF(M235="SubXY","1","0")&amp;IF(H235&lt;&gt;"",VLOOKUP(H235,Ops!$F$2:'Ops'!$G$20,2,FALSE),"000000"),2)),2)</f>
        <v>D6</v>
      </c>
      <c r="Q235" s="26" t="str" cm="1">
        <f t="array" ref="Q235">BIN2HEX(_xlfn.IFS(D235="HWINTEN","10",G235="KeyAck","01",G235="InitLp8","01",TRUE,"00")&amp;IF(OR(Ops!$O$2:'Ops'!$O$13=K235),VLOOKUP(K235,Ops!$O$2:'Ops'!$P$13,2,FALSE),"000")&amp;IF(E235&lt;&gt;"",IF(LEN(_xlfn.XLOOKUP($E235,$C$5:$C$681,$B$5:$B$681,0))=3,HEX2BIN(LEFT(_xlfn.XLOOKUP($E235,$C$5:$C$681,$B$5:$B$681,0),1),3),IF(OR(Ops!$L$2:'Ops'!$L$11=J235),VLOOKUP(J235,Ops!$L$2:'Ops'!$M$11,2,FALSE),"000")),IF(OR(Ops!$L$2:'Ops'!$L$11=J235),VLOOKUP(J235,Ops!$L$2:'Ops'!$M$11,2,FALSE),"000")),2)</f>
        <v>02</v>
      </c>
      <c r="R235" s="27"/>
      <c r="S235" s="4" t="s">
        <v>356</v>
      </c>
      <c r="Z235" s="74" t="str">
        <f t="shared" ref="Z235:Z243" si="74">IF(O235="", "};", "0x"&amp;O235&amp;",")</f>
        <v>0x31,</v>
      </c>
      <c r="AA235" s="75" t="str">
        <f t="shared" ref="AA235:AA243" si="75">"0x"&amp;P235&amp;","</f>
        <v>0xD6,</v>
      </c>
      <c r="AB235" s="75" t="str">
        <f t="shared" ref="AB235:AB243" si="76">"0x"&amp;Q235&amp;","</f>
        <v>0x02,</v>
      </c>
      <c r="AC235" s="76"/>
    </row>
    <row r="236" spans="1:29" x14ac:dyDescent="0.3">
      <c r="A236" s="79">
        <f t="shared" si="13"/>
        <v>714</v>
      </c>
      <c r="B236" s="80" t="str">
        <f t="shared" si="73"/>
        <v>2CA</v>
      </c>
      <c r="D236" s="29"/>
      <c r="F236" s="29"/>
      <c r="G236" s="24"/>
      <c r="H236" s="29" t="s">
        <v>55</v>
      </c>
      <c r="I236" t="s">
        <v>481</v>
      </c>
      <c r="L236" s="121">
        <v>0</v>
      </c>
      <c r="M236" s="14"/>
      <c r="O236" s="25" t="str" cm="1">
        <f t="array" ref="O236">BIN2HEX(IF(I236&lt;&gt;"",VLOOKUP(I236,Ops!$I$2:'Ops'!$J$15,2,FALSE),IF(ISNUMBER(SEARCH("BR",D236)),"001","000"))&amp;IF(D236&lt;&gt;"",VLOOKUP(D236,Ops!$B$2:'Ops'!$C$23,2,FALSE),"0")&amp;_xlfn.IFS(ISNUMBER(SEARCH("BR",D236)),VLOOKUP(D236,Ops!$B$3:'Ops'!$D$22,3,FALSE),F236&lt;&gt;"",VLOOKUP(F236,Ops!$R$2:'Ops'!$S$11,2),L236&lt;&gt;"",VLOOKUP(L236,Ops!$R$2:'Ops'!$S$25,2,FALSE),TRUE,"0000"),2)</f>
        <v>00</v>
      </c>
      <c r="P236" s="26" t="str">
        <f>RIGHT(IF($E236&lt;&gt;"",_xlfn.XLOOKUP($E236,$C$4:$C$681,$B$4:$B$681,"NO LABEL"),BIN2HEX(IF(N236="CarryEn","1","0")&amp;IF(M236="SubXY","1","0")&amp;IF(H236&lt;&gt;"",VLOOKUP(H236,Ops!$F$2:'Ops'!$G$20,2,FALSE),"000000"),2)),2)</f>
        <v>02</v>
      </c>
      <c r="Q236" s="26" t="str" cm="1">
        <f t="array" ref="Q236">BIN2HEX(_xlfn.IFS(D236="HWINTEN","10",G236="KeyAck","01",G236="InitLp8","01",TRUE,"00")&amp;IF(OR(Ops!$O$2:'Ops'!$O$13=K236),VLOOKUP(K236,Ops!$O$2:'Ops'!$P$13,2,FALSE),"000")&amp;IF(E236&lt;&gt;"",IF(LEN(_xlfn.XLOOKUP($E236,$C$5:$C$681,$B$5:$B$681,0))=3,HEX2BIN(LEFT(_xlfn.XLOOKUP($E236,$C$5:$C$681,$B$5:$B$681,0),1),3),IF(OR(Ops!$L$2:'Ops'!$L$11=J236),VLOOKUP(J236,Ops!$L$2:'Ops'!$M$11,2,FALSE),"000")),IF(OR(Ops!$L$2:'Ops'!$L$11=J236),VLOOKUP(J236,Ops!$L$2:'Ops'!$M$11,2,FALSE),"000")),2)</f>
        <v>00</v>
      </c>
      <c r="R236" s="27"/>
      <c r="S236" s="4" t="s">
        <v>283</v>
      </c>
      <c r="Z236" s="74" t="str">
        <f t="shared" si="74"/>
        <v>0x00,</v>
      </c>
      <c r="AA236" s="75" t="str">
        <f t="shared" si="75"/>
        <v>0x02,</v>
      </c>
      <c r="AB236" s="75" t="str">
        <f t="shared" si="76"/>
        <v>0x00,</v>
      </c>
      <c r="AC236" s="76"/>
    </row>
    <row r="237" spans="1:29" x14ac:dyDescent="0.3">
      <c r="A237" s="79">
        <f t="shared" si="13"/>
        <v>717</v>
      </c>
      <c r="B237" s="80" t="str">
        <f t="shared" si="73"/>
        <v>2CD</v>
      </c>
      <c r="D237" s="29"/>
      <c r="F237" s="29"/>
      <c r="G237" s="24"/>
      <c r="H237" s="29"/>
      <c r="J237" s="4" t="s">
        <v>314</v>
      </c>
      <c r="K237" s="4" t="s">
        <v>313</v>
      </c>
      <c r="L237" s="4" t="s">
        <v>180</v>
      </c>
      <c r="M237" s="14"/>
      <c r="O237" s="25" t="str" cm="1">
        <f t="array" ref="O237">BIN2HEX(IF(I237&lt;&gt;"",VLOOKUP(I237,Ops!$I$2:'Ops'!$J$15,2,FALSE),IF(ISNUMBER(SEARCH("BR",D237)),"001","000"))&amp;IF(D237&lt;&gt;"",VLOOKUP(D237,Ops!$B$2:'Ops'!$C$23,2,FALSE),"0")&amp;_xlfn.IFS(ISNUMBER(SEARCH("BR",D237)),VLOOKUP(D237,Ops!$B$3:'Ops'!$D$22,3,FALSE),F237&lt;&gt;"",VLOOKUP(F237,Ops!$R$2:'Ops'!$S$11,2),L237&lt;&gt;"",VLOOKUP(L237,Ops!$R$2:'Ops'!$S$25,2,FALSE),TRUE,"0000"),2)</f>
        <v>01</v>
      </c>
      <c r="P237" s="26" t="str">
        <f>RIGHT(IF($E237&lt;&gt;"",_xlfn.XLOOKUP($E237,$C$4:$C$681,$B$4:$B$681,"NO LABEL"),BIN2HEX(IF(N237="CarryEn","1","0")&amp;IF(M237="SubXY","1","0")&amp;IF(H237&lt;&gt;"",VLOOKUP(H237,Ops!$F$2:'Ops'!$G$20,2,FALSE),"000000"),2)),2)</f>
        <v>00</v>
      </c>
      <c r="Q237" s="26" t="str" cm="1">
        <f t="array" ref="Q237">BIN2HEX(_xlfn.IFS(D237="HWINTEN","10",G237="KeyAck","01",G237="InitLp8","01",TRUE,"00")&amp;IF(OR(Ops!$O$2:'Ops'!$O$13=K237),VLOOKUP(K237,Ops!$O$2:'Ops'!$P$13,2,FALSE),"000")&amp;IF(E237&lt;&gt;"",IF(LEN(_xlfn.XLOOKUP($E237,$C$5:$C$681,$B$5:$B$681,0))=3,HEX2BIN(LEFT(_xlfn.XLOOKUP($E237,$C$5:$C$681,$B$5:$B$681,0),1),3),IF(OR(Ops!$L$2:'Ops'!$L$11=J237),VLOOKUP(J237,Ops!$L$2:'Ops'!$M$11,2,FALSE),"000")),IF(OR(Ops!$L$2:'Ops'!$L$11=J237),VLOOKUP(J237,Ops!$L$2:'Ops'!$M$11,2,FALSE),"000")),2)</f>
        <v>36</v>
      </c>
      <c r="R237" s="27"/>
      <c r="S237" s="4" t="s">
        <v>737</v>
      </c>
      <c r="Z237" s="74" t="str">
        <f t="shared" si="74"/>
        <v>0x01,</v>
      </c>
      <c r="AA237" s="75" t="str">
        <f t="shared" si="75"/>
        <v>0x00,</v>
      </c>
      <c r="AB237" s="75" t="str">
        <f t="shared" si="76"/>
        <v>0x36,</v>
      </c>
      <c r="AC237" s="76"/>
    </row>
    <row r="238" spans="1:29" x14ac:dyDescent="0.3">
      <c r="A238" s="79">
        <f t="shared" si="13"/>
        <v>720</v>
      </c>
      <c r="B238" s="80" t="str">
        <f t="shared" si="73"/>
        <v>2D0</v>
      </c>
      <c r="D238" s="29"/>
      <c r="F238" s="29"/>
      <c r="G238" s="24"/>
      <c r="H238" s="29"/>
      <c r="J238" s="4" t="s">
        <v>314</v>
      </c>
      <c r="K238" s="4" t="s">
        <v>313</v>
      </c>
      <c r="L238" s="4" t="s">
        <v>181</v>
      </c>
      <c r="M238" s="14"/>
      <c r="O238" s="25" t="str" cm="1">
        <f t="array" ref="O238">BIN2HEX(IF(I238&lt;&gt;"",VLOOKUP(I238,Ops!$I$2:'Ops'!$J$15,2,FALSE),IF(ISNUMBER(SEARCH("BR",D238)),"001","000"))&amp;IF(D238&lt;&gt;"",VLOOKUP(D238,Ops!$B$2:'Ops'!$C$23,2,FALSE),"0")&amp;_xlfn.IFS(ISNUMBER(SEARCH("BR",D238)),VLOOKUP(D238,Ops!$B$3:'Ops'!$D$22,3,FALSE),F238&lt;&gt;"",VLOOKUP(F238,Ops!$R$2:'Ops'!$S$11,2),L238&lt;&gt;"",VLOOKUP(L238,Ops!$R$2:'Ops'!$S$25,2,FALSE),TRUE,"0000"),2)</f>
        <v>02</v>
      </c>
      <c r="P238" s="26" t="str">
        <f>RIGHT(IF($E238&lt;&gt;"",_xlfn.XLOOKUP($E238,$C$4:$C$681,$B$4:$B$681,"NO LABEL"),BIN2HEX(IF(N238="CarryEn","1","0")&amp;IF(M238="SubXY","1","0")&amp;IF(H238&lt;&gt;"",VLOOKUP(H238,Ops!$F$2:'Ops'!$G$20,2,FALSE),"000000"),2)),2)</f>
        <v>00</v>
      </c>
      <c r="Q238" s="26" t="str" cm="1">
        <f t="array" ref="Q238">BIN2HEX(_xlfn.IFS(D238="HWINTEN","10",G238="KeyAck","01",G238="InitLp8","01",TRUE,"00")&amp;IF(OR(Ops!$O$2:'Ops'!$O$13=K238),VLOOKUP(K238,Ops!$O$2:'Ops'!$P$13,2,FALSE),"000")&amp;IF(E238&lt;&gt;"",IF(LEN(_xlfn.XLOOKUP($E238,$C$5:$C$681,$B$5:$B$681,0))=3,HEX2BIN(LEFT(_xlfn.XLOOKUP($E238,$C$5:$C$681,$B$5:$B$681,0),1),3),IF(OR(Ops!$L$2:'Ops'!$L$11=J238),VLOOKUP(J238,Ops!$L$2:'Ops'!$M$11,2,FALSE),"000")),IF(OR(Ops!$L$2:'Ops'!$L$11=J238),VLOOKUP(J238,Ops!$L$2:'Ops'!$M$11,2,FALSE),"000")),2)</f>
        <v>36</v>
      </c>
      <c r="R238" s="27"/>
      <c r="Z238" s="74" t="str">
        <f t="shared" si="74"/>
        <v>0x02,</v>
      </c>
      <c r="AA238" s="75" t="str">
        <f t="shared" si="75"/>
        <v>0x00,</v>
      </c>
      <c r="AB238" s="75" t="str">
        <f t="shared" si="76"/>
        <v>0x36,</v>
      </c>
      <c r="AC238" s="76"/>
    </row>
    <row r="239" spans="1:29" x14ac:dyDescent="0.3">
      <c r="A239" s="79">
        <f t="shared" si="13"/>
        <v>723</v>
      </c>
      <c r="B239" s="80" t="str">
        <f t="shared" si="73"/>
        <v>2D3</v>
      </c>
      <c r="D239" s="29" t="s">
        <v>0</v>
      </c>
      <c r="E239" s="4" t="s">
        <v>151</v>
      </c>
      <c r="F239" s="29"/>
      <c r="G239" s="24"/>
      <c r="H239" s="29"/>
      <c r="M239" s="14"/>
      <c r="O239" s="25" t="str" cm="1">
        <f t="array" ref="O239">BIN2HEX(IF(I239&lt;&gt;"",VLOOKUP(I239,Ops!$I$2:'Ops'!$J$15,2,FALSE),IF(ISNUMBER(SEARCH("BR",D239)),"001","000"))&amp;IF(D239&lt;&gt;"",VLOOKUP(D239,Ops!$B$2:'Ops'!$C$23,2,FALSE),"0")&amp;_xlfn.IFS(ISNUMBER(SEARCH("BR",D239)),VLOOKUP(D239,Ops!$B$3:'Ops'!$D$22,3,FALSE),F239&lt;&gt;"",VLOOKUP(F239,Ops!$R$2:'Ops'!$S$11,2),L239&lt;&gt;"",VLOOKUP(L239,Ops!$R$2:'Ops'!$S$25,2,FALSE),TRUE,"0000"),2)</f>
        <v>10</v>
      </c>
      <c r="P239" s="26" t="str">
        <f>RIGHT(IF($E239&lt;&gt;"",_xlfn.XLOOKUP($E239,$C$4:$C$681,$B$4:$B$681,"NO LABEL"),BIN2HEX(IF(N239="CarryEn","1","0")&amp;IF(M239="SubXY","1","0")&amp;IF(H239&lt;&gt;"",VLOOKUP(H239,Ops!$F$2:'Ops'!$G$20,2,FALSE),"000000"),2)),2)</f>
        <v>C7</v>
      </c>
      <c r="Q239" s="26" t="str" cm="1">
        <f t="array" ref="Q239">BIN2HEX(_xlfn.IFS(D239="HWINTEN","10",G239="KeyAck","01",G239="InitLp8","01",TRUE,"00")&amp;IF(OR(Ops!$O$2:'Ops'!$O$13=K239),VLOOKUP(K239,Ops!$O$2:'Ops'!$P$13,2,FALSE),"000")&amp;IF(E239&lt;&gt;"",IF(LEN(_xlfn.XLOOKUP($E239,$C$5:$C$681,$B$5:$B$681,0))=3,HEX2BIN(LEFT(_xlfn.XLOOKUP($E239,$C$5:$C$681,$B$5:$B$681,0),1),3),IF(OR(Ops!$L$2:'Ops'!$L$11=J239),VLOOKUP(J239,Ops!$L$2:'Ops'!$M$11,2,FALSE),"000")),IF(OR(Ops!$L$2:'Ops'!$L$11=J239),VLOOKUP(J239,Ops!$L$2:'Ops'!$M$11,2,FALSE),"000")),2)</f>
        <v>02</v>
      </c>
      <c r="R239" s="27"/>
      <c r="Z239" s="74" t="str">
        <f t="shared" si="74"/>
        <v>0x10,</v>
      </c>
      <c r="AA239" s="75" t="str">
        <f t="shared" si="75"/>
        <v>0xC7,</v>
      </c>
      <c r="AB239" s="75" t="str">
        <f t="shared" si="76"/>
        <v>0x02,</v>
      </c>
      <c r="AC239" s="76"/>
    </row>
    <row r="240" spans="1:29" x14ac:dyDescent="0.3">
      <c r="A240" s="79">
        <f t="shared" si="13"/>
        <v>726</v>
      </c>
      <c r="B240" s="80" t="str">
        <f t="shared" si="73"/>
        <v>2D6</v>
      </c>
      <c r="C240" s="4" t="s">
        <v>25</v>
      </c>
      <c r="D240" s="29"/>
      <c r="F240" s="29"/>
      <c r="G240" s="24" t="s">
        <v>692</v>
      </c>
      <c r="H240" s="29"/>
      <c r="M240" s="14"/>
      <c r="O240" s="25" t="str" cm="1">
        <f t="array" ref="O240">BIN2HEX(IF(I240&lt;&gt;"",VLOOKUP(I240,Ops!$I$2:'Ops'!$J$15,2,FALSE),IF(ISNUMBER(SEARCH("BR",D240)),"001","000"))&amp;IF(D240&lt;&gt;"",VLOOKUP(D240,Ops!$B$2:'Ops'!$C$23,2,FALSE),"0")&amp;_xlfn.IFS(ISNUMBER(SEARCH("BR",D240)),VLOOKUP(D240,Ops!$B$3:'Ops'!$D$22,3,FALSE),F240&lt;&gt;"",VLOOKUP(F240,Ops!$R$2:'Ops'!$S$11,2),L240&lt;&gt;"",VLOOKUP(L240,Ops!$R$2:'Ops'!$S$25,2,FALSE),TRUE,"0000"),2)</f>
        <v>00</v>
      </c>
      <c r="P240" s="26" t="str">
        <f>RIGHT(IF($E240&lt;&gt;"",_xlfn.XLOOKUP($E240,$C$4:$C$681,$B$4:$B$681,"NO LABEL"),BIN2HEX(IF(N240="CarryEn","1","0")&amp;IF(M240="SubXY","1","0")&amp;IF(H240&lt;&gt;"",VLOOKUP(H240,Ops!$F$2:'Ops'!$G$20,2,FALSE),"000000"),2)),2)</f>
        <v>00</v>
      </c>
      <c r="Q240" s="26" t="str" cm="1">
        <f t="array" ref="Q240">BIN2HEX(_xlfn.IFS(D240="HWINTEN","10",G240="KeyAck","01",G240="InitLp8","01",TRUE,"00")&amp;IF(OR(Ops!$O$2:'Ops'!$O$13=K240),VLOOKUP(K240,Ops!$O$2:'Ops'!$P$13,2,FALSE),"000")&amp;IF(E240&lt;&gt;"",IF(LEN(_xlfn.XLOOKUP($E240,$C$5:$C$681,$B$5:$B$681,0))=3,HEX2BIN(LEFT(_xlfn.XLOOKUP($E240,$C$5:$C$681,$B$5:$B$681,0),1),3),IF(OR(Ops!$L$2:'Ops'!$L$11=J240),VLOOKUP(J240,Ops!$L$2:'Ops'!$M$11,2,FALSE),"000")),IF(OR(Ops!$L$2:'Ops'!$L$11=J240),VLOOKUP(J240,Ops!$L$2:'Ops'!$M$11,2,FALSE),"000")),2)</f>
        <v>40</v>
      </c>
      <c r="R240" s="27"/>
      <c r="S240" s="4" t="s">
        <v>446</v>
      </c>
      <c r="Z240" s="74" t="str">
        <f t="shared" si="74"/>
        <v>0x00,</v>
      </c>
      <c r="AA240" s="75" t="str">
        <f t="shared" si="75"/>
        <v>0x00,</v>
      </c>
      <c r="AB240" s="75" t="str">
        <f t="shared" si="76"/>
        <v>0x40,</v>
      </c>
      <c r="AC240" s="76"/>
    </row>
    <row r="241" spans="1:29" x14ac:dyDescent="0.3">
      <c r="A241" s="79">
        <f t="shared" si="13"/>
        <v>729</v>
      </c>
      <c r="B241" s="80" t="str">
        <f t="shared" si="73"/>
        <v>2D9</v>
      </c>
      <c r="D241" s="29" t="s">
        <v>251</v>
      </c>
      <c r="E241" s="4" t="s">
        <v>610</v>
      </c>
      <c r="F241" s="29"/>
      <c r="G241" s="24"/>
      <c r="H241" s="29"/>
      <c r="M241" s="14"/>
      <c r="O241" s="25" t="str" cm="1">
        <f t="array" ref="O241">BIN2HEX(IF(I241&lt;&gt;"",VLOOKUP(I241,Ops!$I$2:'Ops'!$J$15,2,FALSE),IF(ISNUMBER(SEARCH("BR",D241)),"001","000"))&amp;IF(D241&lt;&gt;"",VLOOKUP(D241,Ops!$B$2:'Ops'!$C$23,2,FALSE),"0")&amp;_xlfn.IFS(ISNUMBER(SEARCH("BR",D241)),VLOOKUP(D241,Ops!$B$3:'Ops'!$D$22,3,FALSE),F241&lt;&gt;"",VLOOKUP(F241,Ops!$R$2:'Ops'!$S$11,2),L241&lt;&gt;"",VLOOKUP(L241,Ops!$R$2:'Ops'!$S$25,2,FALSE),TRUE,"0000"),2)</f>
        <v>3F</v>
      </c>
      <c r="P241" s="26" t="str">
        <f>RIGHT(IF($E241&lt;&gt;"",_xlfn.XLOOKUP($E241,$C$4:$C$681,$B$4:$B$681,"NO LABEL"),BIN2HEX(IF(N241="CarryEn","1","0")&amp;IF(M241="SubXY","1","0")&amp;IF(H241&lt;&gt;"",VLOOKUP(H241,Ops!$F$2:'Ops'!$G$20,2,FALSE),"000000"),2)),2)</f>
        <v>DC</v>
      </c>
      <c r="Q241" s="26" t="str" cm="1">
        <f t="array" ref="Q241">BIN2HEX(_xlfn.IFS(D241="HWINTEN","10",G241="KeyAck","01",G241="InitLp8","01",TRUE,"00")&amp;IF(OR(Ops!$O$2:'Ops'!$O$13=K241),VLOOKUP(K241,Ops!$O$2:'Ops'!$P$13,2,FALSE),"000")&amp;IF(E241&lt;&gt;"",IF(LEN(_xlfn.XLOOKUP($E241,$C$5:$C$681,$B$5:$B$681,0))=3,HEX2BIN(LEFT(_xlfn.XLOOKUP($E241,$C$5:$C$681,$B$5:$B$681,0),1),3),IF(OR(Ops!$L$2:'Ops'!$L$11=J241),VLOOKUP(J241,Ops!$L$2:'Ops'!$M$11,2,FALSE),"000")),IF(OR(Ops!$L$2:'Ops'!$L$11=J241),VLOOKUP(J241,Ops!$L$2:'Ops'!$M$11,2,FALSE),"000")),2)</f>
        <v>02</v>
      </c>
      <c r="R241" s="27"/>
      <c r="Z241" s="74" t="str">
        <f t="shared" si="74"/>
        <v>0x3F,</v>
      </c>
      <c r="AA241" s="75" t="str">
        <f t="shared" si="75"/>
        <v>0xDC,</v>
      </c>
      <c r="AB241" s="75" t="str">
        <f t="shared" si="76"/>
        <v>0x02,</v>
      </c>
      <c r="AC241" s="76"/>
    </row>
    <row r="242" spans="1:29" x14ac:dyDescent="0.3">
      <c r="A242" s="79">
        <f t="shared" si="13"/>
        <v>732</v>
      </c>
      <c r="B242" s="80" t="str">
        <f t="shared" si="73"/>
        <v>2DC</v>
      </c>
      <c r="C242" s="4" t="s">
        <v>610</v>
      </c>
      <c r="D242" s="29"/>
      <c r="F242" s="29"/>
      <c r="G242" s="24"/>
      <c r="H242" s="29" t="s">
        <v>26</v>
      </c>
      <c r="I242" s="4" t="s">
        <v>478</v>
      </c>
      <c r="J242" s="4" t="s">
        <v>475</v>
      </c>
      <c r="K242" s="4" t="s">
        <v>469</v>
      </c>
      <c r="M242" s="14"/>
      <c r="O242" s="25" t="str" cm="1">
        <f t="array" ref="O242">BIN2HEX(IF(I242&lt;&gt;"",VLOOKUP(I242,Ops!$I$2:'Ops'!$J$15,2,FALSE),IF(ISNUMBER(SEARCH("BR",D242)),"001","000"))&amp;IF(D242&lt;&gt;"",VLOOKUP(D242,Ops!$B$2:'Ops'!$C$23,2,FALSE),"0")&amp;_xlfn.IFS(ISNUMBER(SEARCH("BR",D242)),VLOOKUP(D242,Ops!$B$3:'Ops'!$D$22,3,FALSE),F242&lt;&gt;"",VLOOKUP(F242,Ops!$R$2:'Ops'!$S$11,2),L242&lt;&gt;"",VLOOKUP(L242,Ops!$R$2:'Ops'!$S$25,2,FALSE),TRUE,"0000"),2)</f>
        <v>20</v>
      </c>
      <c r="P242" s="26" t="str">
        <f>RIGHT(IF($E242&lt;&gt;"",_xlfn.XLOOKUP($E242,$C$4:$C$681,$B$4:$B$681,"NO LABEL"),BIN2HEX(IF(N242="CarryEn","1","0")&amp;IF(M242="SubXY","1","0")&amp;IF(H242&lt;&gt;"",VLOOKUP(H242,Ops!$F$2:'Ops'!$G$20,2,FALSE),"000000"),2)),2)</f>
        <v>05</v>
      </c>
      <c r="Q242" s="26" t="str" cm="1">
        <f t="array" ref="Q242">BIN2HEX(_xlfn.IFS(D242="HWINTEN","10",G242="KeyAck","01",G242="InitLp8","01",TRUE,"00")&amp;IF(OR(Ops!$O$2:'Ops'!$O$13=K242),VLOOKUP(K242,Ops!$O$2:'Ops'!$P$13,2,FALSE),"000")&amp;IF(E242&lt;&gt;"",IF(LEN(_xlfn.XLOOKUP($E242,$C$5:$C$681,$B$5:$B$681,0))=3,HEX2BIN(LEFT(_xlfn.XLOOKUP($E242,$C$5:$C$681,$B$5:$B$681,0),1),3),IF(OR(Ops!$L$2:'Ops'!$L$11=J242),VLOOKUP(J242,Ops!$L$2:'Ops'!$M$11,2,FALSE),"000")),IF(OR(Ops!$L$2:'Ops'!$L$11=J242),VLOOKUP(J242,Ops!$L$2:'Ops'!$M$11,2,FALSE),"000")),2)</f>
        <v>28</v>
      </c>
      <c r="R242" s="27"/>
      <c r="Z242" s="74" t="str">
        <f t="shared" si="74"/>
        <v>0x20,</v>
      </c>
      <c r="AA242" s="75" t="str">
        <f t="shared" si="75"/>
        <v>0x05,</v>
      </c>
      <c r="AB242" s="75" t="str">
        <f t="shared" si="76"/>
        <v>0x28,</v>
      </c>
      <c r="AC242" s="76"/>
    </row>
    <row r="243" spans="1:29" x14ac:dyDescent="0.3">
      <c r="A243" s="79">
        <f t="shared" si="13"/>
        <v>735</v>
      </c>
      <c r="B243" s="80" t="str">
        <f t="shared" si="73"/>
        <v>2DF</v>
      </c>
      <c r="D243" s="29" t="s">
        <v>251</v>
      </c>
      <c r="E243" s="4" t="s">
        <v>610</v>
      </c>
      <c r="F243" s="29"/>
      <c r="G243" s="24"/>
      <c r="H243" s="29"/>
      <c r="M243" s="14"/>
      <c r="O243" s="25" t="str" cm="1">
        <f t="array" ref="O243">BIN2HEX(IF(I243&lt;&gt;"",VLOOKUP(I243,Ops!$I$2:'Ops'!$J$15,2,FALSE),IF(ISNUMBER(SEARCH("BR",D243)),"001","000"))&amp;IF(D243&lt;&gt;"",VLOOKUP(D243,Ops!$B$2:'Ops'!$C$23,2,FALSE),"0")&amp;_xlfn.IFS(ISNUMBER(SEARCH("BR",D243)),VLOOKUP(D243,Ops!$B$3:'Ops'!$D$22,3,FALSE),F243&lt;&gt;"",VLOOKUP(F243,Ops!$R$2:'Ops'!$S$11,2),L243&lt;&gt;"",VLOOKUP(L243,Ops!$R$2:'Ops'!$S$25,2,FALSE),TRUE,"0000"),2)</f>
        <v>3F</v>
      </c>
      <c r="P243" s="26" t="str">
        <f>RIGHT(IF($E243&lt;&gt;"",_xlfn.XLOOKUP($E243,$C$4:$C$681,$B$4:$B$681,"NO LABEL"),BIN2HEX(IF(N243="CarryEn","1","0")&amp;IF(M243="SubXY","1","0")&amp;IF(H243&lt;&gt;"",VLOOKUP(H243,Ops!$F$2:'Ops'!$G$20,2,FALSE),"000000"),2)),2)</f>
        <v>DC</v>
      </c>
      <c r="Q243" s="26" t="str" cm="1">
        <f t="array" ref="Q243">BIN2HEX(_xlfn.IFS(D243="HWINTEN","10",G243="KeyAck","01",G243="InitLp8","01",TRUE,"00")&amp;IF(OR(Ops!$O$2:'Ops'!$O$13=K243),VLOOKUP(K243,Ops!$O$2:'Ops'!$P$13,2,FALSE),"000")&amp;IF(E243&lt;&gt;"",IF(LEN(_xlfn.XLOOKUP($E243,$C$5:$C$681,$B$5:$B$681,0))=3,HEX2BIN(LEFT(_xlfn.XLOOKUP($E243,$C$5:$C$681,$B$5:$B$681,0),1),3),IF(OR(Ops!$L$2:'Ops'!$L$11=J243),VLOOKUP(J243,Ops!$L$2:'Ops'!$M$11,2,FALSE),"000")),IF(OR(Ops!$L$2:'Ops'!$L$11=J243),VLOOKUP(J243,Ops!$L$2:'Ops'!$M$11,2,FALSE),"000")),2)</f>
        <v>02</v>
      </c>
      <c r="R243" s="27"/>
      <c r="Z243" s="74" t="str">
        <f t="shared" si="74"/>
        <v>0x3F,</v>
      </c>
      <c r="AA243" s="75" t="str">
        <f t="shared" si="75"/>
        <v>0xDC,</v>
      </c>
      <c r="AB243" s="75" t="str">
        <f t="shared" si="76"/>
        <v>0x02,</v>
      </c>
      <c r="AC243" s="76"/>
    </row>
    <row r="244" spans="1:29" x14ac:dyDescent="0.3">
      <c r="A244" s="79">
        <f t="shared" si="13"/>
        <v>738</v>
      </c>
      <c r="B244" s="80" t="str">
        <f t="shared" si="73"/>
        <v>2E2</v>
      </c>
      <c r="D244" s="29" t="s">
        <v>64</v>
      </c>
      <c r="E244" s="4" t="s">
        <v>444</v>
      </c>
      <c r="F244" s="29"/>
      <c r="G244" s="24"/>
      <c r="H244" s="29"/>
      <c r="M244" s="14"/>
      <c r="O244" s="25" t="str" cm="1">
        <f t="array" ref="O244">BIN2HEX(IF(I244&lt;&gt;"",VLOOKUP(I244,Ops!$I$2:'Ops'!$J$15,2,FALSE),IF(ISNUMBER(SEARCH("BR",D244)),"001","000"))&amp;IF(D244&lt;&gt;"",VLOOKUP(D244,Ops!$B$2:'Ops'!$C$23,2,FALSE),"0")&amp;_xlfn.IFS(ISNUMBER(SEARCH("BR",D244)),VLOOKUP(D244,Ops!$B$3:'Ops'!$D$22,3,FALSE),F244&lt;&gt;"",VLOOKUP(F244,Ops!$R$2:'Ops'!$S$11,2),L244&lt;&gt;"",VLOOKUP(L244,Ops!$R$2:'Ops'!$S$25,2,FALSE),TRUE,"0000"),2)</f>
        <v>34</v>
      </c>
      <c r="P244" s="26" t="str">
        <f>RIGHT(IF($E244&lt;&gt;"",_xlfn.XLOOKUP($E244,$C$4:$C$681,$B$4:$B$681,"NO LABEL"),BIN2HEX(IF(N244="CarryEn","1","0")&amp;IF(M244="SubXY","1","0")&amp;IF(H244&lt;&gt;"",VLOOKUP(H244,Ops!$F$2:'Ops'!$G$20,2,FALSE),"000000"),2)),2)</f>
        <v>E8</v>
      </c>
      <c r="Q244" s="26" t="str" cm="1">
        <f t="array" ref="Q244">BIN2HEX(_xlfn.IFS(D244="HWINTEN","10",G244="KeyAck","01",G244="InitLp8","01",TRUE,"00")&amp;IF(OR(Ops!$O$2:'Ops'!$O$13=K244),VLOOKUP(K244,Ops!$O$2:'Ops'!$P$13,2,FALSE),"000")&amp;IF(E244&lt;&gt;"",IF(LEN(_xlfn.XLOOKUP($E244,$C$5:$C$681,$B$5:$B$681,0))=3,HEX2BIN(LEFT(_xlfn.XLOOKUP($E244,$C$5:$C$681,$B$5:$B$681,0),1),3),IF(OR(Ops!$L$2:'Ops'!$L$11=J244),VLOOKUP(J244,Ops!$L$2:'Ops'!$M$11,2,FALSE),"000")),IF(OR(Ops!$L$2:'Ops'!$L$11=J244),VLOOKUP(J244,Ops!$L$2:'Ops'!$M$11,2,FALSE),"000")),2)</f>
        <v>02</v>
      </c>
      <c r="R244" s="27"/>
      <c r="S244" s="4" t="s">
        <v>447</v>
      </c>
      <c r="Z244" s="74" t="str">
        <f t="shared" ref="Z244:Z252" si="77">IF(O244="", "};", "0x"&amp;O244&amp;",")</f>
        <v>0x34,</v>
      </c>
      <c r="AA244" s="75" t="str">
        <f t="shared" ref="AA244:AA252" si="78">"0x"&amp;P244&amp;","</f>
        <v>0xE8,</v>
      </c>
      <c r="AB244" s="75" t="str">
        <f t="shared" ref="AB244:AB252" si="79">"0x"&amp;Q244&amp;","</f>
        <v>0x02,</v>
      </c>
      <c r="AC244" s="76"/>
    </row>
    <row r="245" spans="1:29" x14ac:dyDescent="0.3">
      <c r="A245" s="79">
        <f t="shared" si="13"/>
        <v>741</v>
      </c>
      <c r="B245" s="80" t="str">
        <f t="shared" si="73"/>
        <v>2E5</v>
      </c>
      <c r="D245" s="29" t="s">
        <v>0</v>
      </c>
      <c r="E245" s="4" t="s">
        <v>445</v>
      </c>
      <c r="F245" s="29"/>
      <c r="G245" s="24"/>
      <c r="H245" s="29"/>
      <c r="M245" s="14"/>
      <c r="O245" s="25" t="str" cm="1">
        <f t="array" ref="O245">BIN2HEX(IF(I245&lt;&gt;"",VLOOKUP(I245,Ops!$I$2:'Ops'!$J$15,2,FALSE),IF(ISNUMBER(SEARCH("BR",D245)),"001","000"))&amp;IF(D245&lt;&gt;"",VLOOKUP(D245,Ops!$B$2:'Ops'!$C$23,2,FALSE),"0")&amp;_xlfn.IFS(ISNUMBER(SEARCH("BR",D245)),VLOOKUP(D245,Ops!$B$3:'Ops'!$D$22,3,FALSE),F245&lt;&gt;"",VLOOKUP(F245,Ops!$R$2:'Ops'!$S$11,2),L245&lt;&gt;"",VLOOKUP(L245,Ops!$R$2:'Ops'!$S$25,2,FALSE),TRUE,"0000"),2)</f>
        <v>10</v>
      </c>
      <c r="P245" s="26" t="str">
        <f>RIGHT(IF($E245&lt;&gt;"",_xlfn.XLOOKUP($E245,$C$4:$C$681,$B$4:$B$681,"NO LABEL"),BIN2HEX(IF(N245="CarryEn","1","0")&amp;IF(M245="SubXY","1","0")&amp;IF(H245&lt;&gt;"",VLOOKUP(H245,Ops!$F$2:'Ops'!$G$20,2,FALSE),"000000"),2)),2)</f>
        <v>EB</v>
      </c>
      <c r="Q245" s="26" t="str" cm="1">
        <f t="array" ref="Q245">BIN2HEX(_xlfn.IFS(D245="HWINTEN","10",G245="KeyAck","01",G245="InitLp8","01",TRUE,"00")&amp;IF(OR(Ops!$O$2:'Ops'!$O$13=K245),VLOOKUP(K245,Ops!$O$2:'Ops'!$P$13,2,FALSE),"000")&amp;IF(E245&lt;&gt;"",IF(LEN(_xlfn.XLOOKUP($E245,$C$5:$C$681,$B$5:$B$681,0))=3,HEX2BIN(LEFT(_xlfn.XLOOKUP($E245,$C$5:$C$681,$B$5:$B$681,0),1),3),IF(OR(Ops!$L$2:'Ops'!$L$11=J245),VLOOKUP(J245,Ops!$L$2:'Ops'!$M$11,2,FALSE),"000")),IF(OR(Ops!$L$2:'Ops'!$L$11=J245),VLOOKUP(J245,Ops!$L$2:'Ops'!$M$11,2,FALSE),"000")),2)</f>
        <v>02</v>
      </c>
      <c r="R245" s="27"/>
      <c r="Z245" s="74" t="str">
        <f t="shared" si="77"/>
        <v>0x10,</v>
      </c>
      <c r="AA245" s="75" t="str">
        <f t="shared" si="78"/>
        <v>0xEB,</v>
      </c>
      <c r="AB245" s="75" t="str">
        <f t="shared" si="79"/>
        <v>0x02,</v>
      </c>
      <c r="AC245" s="76"/>
    </row>
    <row r="246" spans="1:29" x14ac:dyDescent="0.3">
      <c r="A246" s="79">
        <f t="shared" si="13"/>
        <v>744</v>
      </c>
      <c r="B246" s="80" t="str">
        <f t="shared" si="73"/>
        <v>2E8</v>
      </c>
      <c r="C246" s="4" t="s">
        <v>444</v>
      </c>
      <c r="D246" s="29"/>
      <c r="F246" s="29"/>
      <c r="G246" s="24"/>
      <c r="H246" s="29"/>
      <c r="J246" s="4" t="s">
        <v>421</v>
      </c>
      <c r="K246" s="4" t="s">
        <v>422</v>
      </c>
      <c r="L246" s="4" t="s">
        <v>40</v>
      </c>
      <c r="M246" s="14"/>
      <c r="O246" s="25" t="str" cm="1">
        <f t="array" ref="O246">BIN2HEX(IF(I246&lt;&gt;"",VLOOKUP(I246,Ops!$I$2:'Ops'!$J$15,2,FALSE),IF(ISNUMBER(SEARCH("BR",D246)),"001","000"))&amp;IF(D246&lt;&gt;"",VLOOKUP(D246,Ops!$B$2:'Ops'!$C$23,2,FALSE),"0")&amp;_xlfn.IFS(ISNUMBER(SEARCH("BR",D246)),VLOOKUP(D246,Ops!$B$3:'Ops'!$D$22,3,FALSE),F246&lt;&gt;"",VLOOKUP(F246,Ops!$R$2:'Ops'!$S$11,2),L246&lt;&gt;"",VLOOKUP(L246,Ops!$R$2:'Ops'!$S$25,2,FALSE),TRUE,"0000"),2)</f>
        <v>04</v>
      </c>
      <c r="P246" s="26" t="str">
        <f>RIGHT(IF($E246&lt;&gt;"",_xlfn.XLOOKUP($E246,$C$4:$C$681,$B$4:$B$681,"NO LABEL"),BIN2HEX(IF(N246="CarryEn","1","0")&amp;IF(M246="SubXY","1","0")&amp;IF(H246&lt;&gt;"",VLOOKUP(H246,Ops!$F$2:'Ops'!$G$20,2,FALSE),"000000"),2)),2)</f>
        <v>00</v>
      </c>
      <c r="Q246" s="26" t="str" cm="1">
        <f t="array" ref="Q246">BIN2HEX(_xlfn.IFS(D246="HWINTEN","10",G246="KeyAck","01",G246="InitLp8","01",TRUE,"00")&amp;IF(OR(Ops!$O$2:'Ops'!$O$13=K246),VLOOKUP(K246,Ops!$O$2:'Ops'!$P$13,2,FALSE),"000")&amp;IF(E246&lt;&gt;"",IF(LEN(_xlfn.XLOOKUP($E246,$C$5:$C$681,$B$5:$B$681,0))=3,HEX2BIN(LEFT(_xlfn.XLOOKUP($E246,$C$5:$C$681,$B$5:$B$681,0),1),3),IF(OR(Ops!$L$2:'Ops'!$L$11=J246),VLOOKUP(J246,Ops!$L$2:'Ops'!$M$11,2,FALSE),"000")),IF(OR(Ops!$L$2:'Ops'!$L$11=J246),VLOOKUP(J246,Ops!$L$2:'Ops'!$M$11,2,FALSE),"000")),2)</f>
        <v>1B</v>
      </c>
      <c r="R246" s="27"/>
      <c r="Z246" s="74" t="str">
        <f t="shared" si="77"/>
        <v>0x04,</v>
      </c>
      <c r="AA246" s="75" t="str">
        <f t="shared" si="78"/>
        <v>0x00,</v>
      </c>
      <c r="AB246" s="75" t="str">
        <f t="shared" si="79"/>
        <v>0x1B,</v>
      </c>
      <c r="AC246" s="76"/>
    </row>
    <row r="247" spans="1:29" x14ac:dyDescent="0.3">
      <c r="A247" s="79">
        <f t="shared" si="13"/>
        <v>747</v>
      </c>
      <c r="B247" s="80" t="str">
        <f t="shared" si="73"/>
        <v>2EB</v>
      </c>
      <c r="C247" s="4" t="s">
        <v>445</v>
      </c>
      <c r="D247" s="29"/>
      <c r="F247" s="29"/>
      <c r="G247" s="24" t="s">
        <v>692</v>
      </c>
      <c r="H247" s="29"/>
      <c r="M247" s="14"/>
      <c r="O247" s="25" t="str" cm="1">
        <f t="array" ref="O247">BIN2HEX(IF(I247&lt;&gt;"",VLOOKUP(I247,Ops!$I$2:'Ops'!$J$15,2,FALSE),IF(ISNUMBER(SEARCH("BR",D247)),"001","000"))&amp;IF(D247&lt;&gt;"",VLOOKUP(D247,Ops!$B$2:'Ops'!$C$23,2,FALSE),"0")&amp;_xlfn.IFS(ISNUMBER(SEARCH("BR",D247)),VLOOKUP(D247,Ops!$B$3:'Ops'!$D$22,3,FALSE),F247&lt;&gt;"",VLOOKUP(F247,Ops!$R$2:'Ops'!$S$11,2),L247&lt;&gt;"",VLOOKUP(L247,Ops!$R$2:'Ops'!$S$25,2,FALSE),TRUE,"0000"),2)</f>
        <v>00</v>
      </c>
      <c r="P247" s="26" t="str">
        <f>RIGHT(IF($E247&lt;&gt;"",_xlfn.XLOOKUP($E247,$C$4:$C$681,$B$4:$B$681,"NO LABEL"),BIN2HEX(IF(N247="CarryEn","1","0")&amp;IF(M247="SubXY","1","0")&amp;IF(H247&lt;&gt;"",VLOOKUP(H247,Ops!$F$2:'Ops'!$G$20,2,FALSE),"000000"),2)),2)</f>
        <v>00</v>
      </c>
      <c r="Q247" s="26" t="str" cm="1">
        <f t="array" ref="Q247">BIN2HEX(_xlfn.IFS(D247="HWINTEN","10",G247="KeyAck","01",G247="InitLp8","01",TRUE,"00")&amp;IF(OR(Ops!$O$2:'Ops'!$O$13=K247),VLOOKUP(K247,Ops!$O$2:'Ops'!$P$13,2,FALSE),"000")&amp;IF(E247&lt;&gt;"",IF(LEN(_xlfn.XLOOKUP($E247,$C$5:$C$681,$B$5:$B$681,0))=3,HEX2BIN(LEFT(_xlfn.XLOOKUP($E247,$C$5:$C$681,$B$5:$B$681,0),1),3),IF(OR(Ops!$L$2:'Ops'!$L$11=J247),VLOOKUP(J247,Ops!$L$2:'Ops'!$M$11,2,FALSE),"000")),IF(OR(Ops!$L$2:'Ops'!$L$11=J247),VLOOKUP(J247,Ops!$L$2:'Ops'!$M$11,2,FALSE),"000")),2)</f>
        <v>40</v>
      </c>
      <c r="R247" s="27"/>
      <c r="S247" s="4" t="s">
        <v>338</v>
      </c>
      <c r="Z247" s="74" t="str">
        <f t="shared" si="77"/>
        <v>0x00,</v>
      </c>
      <c r="AA247" s="75" t="str">
        <f t="shared" si="78"/>
        <v>0x00,</v>
      </c>
      <c r="AB247" s="75" t="str">
        <f t="shared" si="79"/>
        <v>0x40,</v>
      </c>
      <c r="AC247" s="76"/>
    </row>
    <row r="248" spans="1:29" x14ac:dyDescent="0.3">
      <c r="A248" s="79">
        <f t="shared" si="13"/>
        <v>750</v>
      </c>
      <c r="B248" s="80" t="str">
        <f t="shared" si="73"/>
        <v>2EE</v>
      </c>
      <c r="C248" s="4" t="s">
        <v>255</v>
      </c>
      <c r="D248" s="29" t="s">
        <v>251</v>
      </c>
      <c r="E248" s="4" t="s">
        <v>256</v>
      </c>
      <c r="F248" s="29"/>
      <c r="G248" s="24"/>
      <c r="H248" s="29"/>
      <c r="M248" s="14"/>
      <c r="O248" s="25" t="str" cm="1">
        <f t="array" ref="O248">BIN2HEX(IF(I248&lt;&gt;"",VLOOKUP(I248,Ops!$I$2:'Ops'!$J$15,2,FALSE),IF(ISNUMBER(SEARCH("BR",D248)),"001","000"))&amp;IF(D248&lt;&gt;"",VLOOKUP(D248,Ops!$B$2:'Ops'!$C$23,2,FALSE),"0")&amp;_xlfn.IFS(ISNUMBER(SEARCH("BR",D248)),VLOOKUP(D248,Ops!$B$3:'Ops'!$D$22,3,FALSE),F248&lt;&gt;"",VLOOKUP(F248,Ops!$R$2:'Ops'!$S$11,2),L248&lt;&gt;"",VLOOKUP(L248,Ops!$R$2:'Ops'!$S$25,2,FALSE),TRUE,"0000"),2)</f>
        <v>3F</v>
      </c>
      <c r="P248" s="26" t="str">
        <f>RIGHT(IF($E248&lt;&gt;"",_xlfn.XLOOKUP($E248,$C$4:$C$681,$B$4:$B$681,"NO LABEL"),BIN2HEX(IF(N248="CarryEn","1","0")&amp;IF(M248="SubXY","1","0")&amp;IF(H248&lt;&gt;"",VLOOKUP(H248,Ops!$F$2:'Ops'!$G$20,2,FALSE),"000000"),2)),2)</f>
        <v>F4</v>
      </c>
      <c r="Q248" s="26" t="str" cm="1">
        <f t="array" ref="Q248">BIN2HEX(_xlfn.IFS(D248="HWINTEN","10",G248="KeyAck","01",G248="InitLp8","01",TRUE,"00")&amp;IF(OR(Ops!$O$2:'Ops'!$O$13=K248),VLOOKUP(K248,Ops!$O$2:'Ops'!$P$13,2,FALSE),"000")&amp;IF(E248&lt;&gt;"",IF(LEN(_xlfn.XLOOKUP($E248,$C$5:$C$681,$B$5:$B$681,0))=3,HEX2BIN(LEFT(_xlfn.XLOOKUP($E248,$C$5:$C$681,$B$5:$B$681,0),1),3),IF(OR(Ops!$L$2:'Ops'!$L$11=J248),VLOOKUP(J248,Ops!$L$2:'Ops'!$M$11,2,FALSE),"000")),IF(OR(Ops!$L$2:'Ops'!$L$11=J248),VLOOKUP(J248,Ops!$L$2:'Ops'!$M$11,2,FALSE),"000")),2)</f>
        <v>02</v>
      </c>
      <c r="R248" s="27"/>
      <c r="S248" s="4" t="s">
        <v>420</v>
      </c>
      <c r="Z248" s="74" t="str">
        <f t="shared" si="77"/>
        <v>0x3F,</v>
      </c>
      <c r="AA248" s="75" t="str">
        <f t="shared" si="78"/>
        <v>0xF4,</v>
      </c>
      <c r="AB248" s="75" t="str">
        <f t="shared" si="79"/>
        <v>0x02,</v>
      </c>
      <c r="AC248" s="76"/>
    </row>
    <row r="249" spans="1:29" x14ac:dyDescent="0.3">
      <c r="A249" s="79">
        <f t="shared" si="13"/>
        <v>753</v>
      </c>
      <c r="B249" s="80" t="str">
        <f t="shared" si="73"/>
        <v>2F1</v>
      </c>
      <c r="C249" s="4" t="s">
        <v>257</v>
      </c>
      <c r="D249" s="29"/>
      <c r="F249" s="29"/>
      <c r="G249" s="24"/>
      <c r="H249" s="62" t="s">
        <v>468</v>
      </c>
      <c r="I249" t="s">
        <v>481</v>
      </c>
      <c r="L249" s="121">
        <v>0</v>
      </c>
      <c r="M249" s="14"/>
      <c r="O249" s="25" t="str" cm="1">
        <f t="array" ref="O249">BIN2HEX(IF(I249&lt;&gt;"",VLOOKUP(I249,Ops!$I$2:'Ops'!$J$15,2,FALSE),IF(ISNUMBER(SEARCH("BR",D249)),"001","000"))&amp;IF(D249&lt;&gt;"",VLOOKUP(D249,Ops!$B$2:'Ops'!$C$23,2,FALSE),"0")&amp;_xlfn.IFS(ISNUMBER(SEARCH("BR",D249)),VLOOKUP(D249,Ops!$B$3:'Ops'!$D$22,3,FALSE),F249&lt;&gt;"",VLOOKUP(F249,Ops!$R$2:'Ops'!$S$11,2),L249&lt;&gt;"",VLOOKUP(L249,Ops!$R$2:'Ops'!$S$25,2,FALSE),TRUE,"0000"),2)</f>
        <v>00</v>
      </c>
      <c r="P249" s="26" t="str">
        <f>RIGHT(IF($E249&lt;&gt;"",_xlfn.XLOOKUP($E249,$C$4:$C$681,$B$4:$B$681,"NO LABEL"),BIN2HEX(IF(N249="CarryEn","1","0")&amp;IF(M249="SubXY","1","0")&amp;IF(H249&lt;&gt;"",VLOOKUP(H249,Ops!$F$2:'Ops'!$G$20,2,FALSE),"000000"),2)),2)</f>
        <v>02</v>
      </c>
      <c r="Q249" s="26" t="str" cm="1">
        <f t="array" ref="Q249">BIN2HEX(_xlfn.IFS(D249="HWINTEN","10",G249="KeyAck","01",G249="InitLp8","01",TRUE,"00")&amp;IF(OR(Ops!$O$2:'Ops'!$O$13=K249),VLOOKUP(K249,Ops!$O$2:'Ops'!$P$13,2,FALSE),"000")&amp;IF(E249&lt;&gt;"",IF(LEN(_xlfn.XLOOKUP($E249,$C$5:$C$681,$B$5:$B$681,0))=3,HEX2BIN(LEFT(_xlfn.XLOOKUP($E249,$C$5:$C$681,$B$5:$B$681,0),1),3),IF(OR(Ops!$L$2:'Ops'!$L$11=J249),VLOOKUP(J249,Ops!$L$2:'Ops'!$M$11,2,FALSE),"000")),IF(OR(Ops!$L$2:'Ops'!$L$11=J249),VLOOKUP(J249,Ops!$L$2:'Ops'!$M$11,2,FALSE),"000")),2)</f>
        <v>00</v>
      </c>
      <c r="R249" s="27"/>
      <c r="S249" s="4" t="s">
        <v>248</v>
      </c>
      <c r="Z249" s="74" t="str">
        <f t="shared" si="77"/>
        <v>0x00,</v>
      </c>
      <c r="AA249" s="75" t="str">
        <f t="shared" si="78"/>
        <v>0x02,</v>
      </c>
      <c r="AB249" s="75" t="str">
        <f t="shared" si="79"/>
        <v>0x00,</v>
      </c>
      <c r="AC249" s="76"/>
    </row>
    <row r="250" spans="1:29" x14ac:dyDescent="0.3">
      <c r="A250" s="79">
        <f t="shared" si="13"/>
        <v>756</v>
      </c>
      <c r="B250" s="80" t="str">
        <f t="shared" ref="B250:B255" si="80">DEC2HEX(A250)</f>
        <v>2F4</v>
      </c>
      <c r="C250" s="4" t="s">
        <v>256</v>
      </c>
      <c r="D250" s="29"/>
      <c r="F250" s="29"/>
      <c r="G250" s="24"/>
      <c r="H250" s="29"/>
      <c r="I250" s="4" t="s">
        <v>290</v>
      </c>
      <c r="K250" s="4" t="s">
        <v>515</v>
      </c>
      <c r="M250" s="14"/>
      <c r="O250" s="25" t="str" cm="1">
        <f t="array" ref="O250">BIN2HEX(IF(I250&lt;&gt;"",VLOOKUP(I250,Ops!$I$2:'Ops'!$J$15,2,FALSE),IF(ISNUMBER(SEARCH("BR",D250)),"001","000"))&amp;IF(D250&lt;&gt;"",VLOOKUP(D250,Ops!$B$2:'Ops'!$C$23,2,FALSE),"0")&amp;_xlfn.IFS(ISNUMBER(SEARCH("BR",D250)),VLOOKUP(D250,Ops!$B$3:'Ops'!$D$22,3,FALSE),F250&lt;&gt;"",VLOOKUP(F250,Ops!$R$2:'Ops'!$S$11,2),L250&lt;&gt;"",VLOOKUP(L250,Ops!$R$2:'Ops'!$S$25,2,FALSE),TRUE,"0000"),2)</f>
        <v>40</v>
      </c>
      <c r="P250" s="26" t="str">
        <f>RIGHT(IF($E250&lt;&gt;"",_xlfn.XLOOKUP($E250,$C$4:$C$681,$B$4:$B$681,"NO LABEL"),BIN2HEX(IF(N250="CarryEn","1","0")&amp;IF(M250="SubXY","1","0")&amp;IF(H250&lt;&gt;"",VLOOKUP(H250,Ops!$F$2:'Ops'!$G$20,2,FALSE),"000000"),2)),2)</f>
        <v>00</v>
      </c>
      <c r="Q250" s="26" t="str" cm="1">
        <f t="array" ref="Q250">BIN2HEX(_xlfn.IFS(D250="HWINTEN","10",G250="KeyAck","01",G250="InitLp8","01",TRUE,"00")&amp;IF(OR(Ops!$O$2:'Ops'!$O$13=K250),VLOOKUP(K250,Ops!$O$2:'Ops'!$P$13,2,FALSE),"000")&amp;IF(E250&lt;&gt;"",IF(LEN(_xlfn.XLOOKUP($E250,$C$5:$C$681,$B$5:$B$681,0))=3,HEX2BIN(LEFT(_xlfn.XLOOKUP($E250,$C$5:$C$681,$B$5:$B$681,0),1),3),IF(OR(Ops!$L$2:'Ops'!$L$11=J250),VLOOKUP(J250,Ops!$L$2:'Ops'!$M$11,2,FALSE),"000")),IF(OR(Ops!$L$2:'Ops'!$L$11=J250),VLOOKUP(J250,Ops!$L$2:'Ops'!$M$11,2,FALSE),"000")),2)</f>
        <v>20</v>
      </c>
      <c r="R250" s="27"/>
      <c r="S250" s="4" t="s">
        <v>315</v>
      </c>
      <c r="Z250" s="74" t="str">
        <f t="shared" si="77"/>
        <v>0x40,</v>
      </c>
      <c r="AA250" s="75" t="str">
        <f t="shared" si="78"/>
        <v>0x00,</v>
      </c>
      <c r="AB250" s="75" t="str">
        <f t="shared" si="79"/>
        <v>0x20,</v>
      </c>
      <c r="AC250" s="76"/>
    </row>
    <row r="251" spans="1:29" x14ac:dyDescent="0.3">
      <c r="A251" s="79">
        <f t="shared" si="13"/>
        <v>759</v>
      </c>
      <c r="B251" s="80" t="str">
        <f t="shared" si="80"/>
        <v>2F7</v>
      </c>
      <c r="D251" s="29" t="s">
        <v>99</v>
      </c>
      <c r="E251" s="4" t="s">
        <v>258</v>
      </c>
      <c r="F251" s="29"/>
      <c r="G251" s="24"/>
      <c r="H251" s="29"/>
      <c r="M251" s="14"/>
      <c r="O251" s="25" t="str" cm="1">
        <f t="array" ref="O251">BIN2HEX(IF(I251&lt;&gt;"",VLOOKUP(I251,Ops!$I$2:'Ops'!$J$15,2,FALSE),IF(ISNUMBER(SEARCH("BR",D251)),"001","000"))&amp;IF(D251&lt;&gt;"",VLOOKUP(D251,Ops!$B$2:'Ops'!$C$23,2,FALSE),"0")&amp;_xlfn.IFS(ISNUMBER(SEARCH("BR",D251)),VLOOKUP(D251,Ops!$B$3:'Ops'!$D$22,3,FALSE),F251&lt;&gt;"",VLOOKUP(F251,Ops!$R$2:'Ops'!$S$11,2),L251&lt;&gt;"",VLOOKUP(L251,Ops!$R$2:'Ops'!$S$25,2,FALSE),TRUE,"0000"),2)</f>
        <v>39</v>
      </c>
      <c r="P251" s="26" t="str">
        <f>RIGHT(IF($E251&lt;&gt;"",_xlfn.XLOOKUP($E251,$C$4:$C$681,$B$4:$B$681,"NO LABEL"),BIN2HEX(IF(N251="CarryEn","1","0")&amp;IF(M251="SubXY","1","0")&amp;IF(H251&lt;&gt;"",VLOOKUP(H251,Ops!$F$2:'Ops'!$G$20,2,FALSE),"000000"),2)),2)</f>
        <v>FD</v>
      </c>
      <c r="Q251" s="26" t="str" cm="1">
        <f t="array" ref="Q251">BIN2HEX(_xlfn.IFS(D251="HWINTEN","10",G251="KeyAck","01",G251="InitLp8","01",TRUE,"00")&amp;IF(OR(Ops!$O$2:'Ops'!$O$13=K251),VLOOKUP(K251,Ops!$O$2:'Ops'!$P$13,2,FALSE),"000")&amp;IF(E251&lt;&gt;"",IF(LEN(_xlfn.XLOOKUP($E251,$C$5:$C$681,$B$5:$B$681,0))=3,HEX2BIN(LEFT(_xlfn.XLOOKUP($E251,$C$5:$C$681,$B$5:$B$681,0),1),3),IF(OR(Ops!$L$2:'Ops'!$L$11=J251),VLOOKUP(J251,Ops!$L$2:'Ops'!$M$11,2,FALSE),"000")),IF(OR(Ops!$L$2:'Ops'!$L$11=J251),VLOOKUP(J251,Ops!$L$2:'Ops'!$M$11,2,FALSE),"000")),2)</f>
        <v>02</v>
      </c>
      <c r="R251" s="27"/>
      <c r="S251" s="4" t="s">
        <v>250</v>
      </c>
      <c r="Z251" s="74" t="str">
        <f t="shared" si="77"/>
        <v>0x39,</v>
      </c>
      <c r="AA251" s="75" t="str">
        <f t="shared" si="78"/>
        <v>0xFD,</v>
      </c>
      <c r="AB251" s="75" t="str">
        <f t="shared" si="79"/>
        <v>0x02,</v>
      </c>
      <c r="AC251" s="76"/>
    </row>
    <row r="252" spans="1:29" x14ac:dyDescent="0.3">
      <c r="A252" s="79">
        <f t="shared" si="13"/>
        <v>762</v>
      </c>
      <c r="B252" s="80" t="str">
        <f t="shared" si="80"/>
        <v>2FA</v>
      </c>
      <c r="D252" s="29" t="s">
        <v>0</v>
      </c>
      <c r="E252" s="4" t="s">
        <v>259</v>
      </c>
      <c r="F252" s="29"/>
      <c r="G252" s="24"/>
      <c r="H252" s="29"/>
      <c r="M252" s="14"/>
      <c r="O252" s="25" t="str" cm="1">
        <f t="array" ref="O252">BIN2HEX(IF(I252&lt;&gt;"",VLOOKUP(I252,Ops!$I$2:'Ops'!$J$15,2,FALSE),IF(ISNUMBER(SEARCH("BR",D252)),"001","000"))&amp;IF(D252&lt;&gt;"",VLOOKUP(D252,Ops!$B$2:'Ops'!$C$23,2,FALSE),"0")&amp;_xlfn.IFS(ISNUMBER(SEARCH("BR",D252)),VLOOKUP(D252,Ops!$B$3:'Ops'!$D$22,3,FALSE),F252&lt;&gt;"",VLOOKUP(F252,Ops!$R$2:'Ops'!$S$11,2),L252&lt;&gt;"",VLOOKUP(L252,Ops!$R$2:'Ops'!$S$25,2,FALSE),TRUE,"0000"),2)</f>
        <v>10</v>
      </c>
      <c r="P252" s="26" t="str">
        <f>RIGHT(IF($E252&lt;&gt;"",_xlfn.XLOOKUP($E252,$C$4:$C$681,$B$4:$B$681,"NO LABEL"),BIN2HEX(IF(N252="CarryEn","1","0")&amp;IF(M252="SubXY","1","0")&amp;IF(H252&lt;&gt;"",VLOOKUP(H252,Ops!$F$2:'Ops'!$G$20,2,FALSE),"000000"),2)),2)</f>
        <v>00</v>
      </c>
      <c r="Q252" s="26" t="str" cm="1">
        <f t="array" ref="Q252">BIN2HEX(_xlfn.IFS(D252="HWINTEN","10",G252="KeyAck","01",G252="InitLp8","01",TRUE,"00")&amp;IF(OR(Ops!$O$2:'Ops'!$O$13=K252),VLOOKUP(K252,Ops!$O$2:'Ops'!$P$13,2,FALSE),"000")&amp;IF(E252&lt;&gt;"",IF(LEN(_xlfn.XLOOKUP($E252,$C$5:$C$681,$B$5:$B$681,0))=3,HEX2BIN(LEFT(_xlfn.XLOOKUP($E252,$C$5:$C$681,$B$5:$B$681,0),1),3),IF(OR(Ops!$L$2:'Ops'!$L$11=J252),VLOOKUP(J252,Ops!$L$2:'Ops'!$M$11,2,FALSE),"000")),IF(OR(Ops!$L$2:'Ops'!$L$11=J252),VLOOKUP(J252,Ops!$L$2:'Ops'!$M$11,2,FALSE),"000")),2)</f>
        <v>03</v>
      </c>
      <c r="R252" s="27"/>
      <c r="S252" s="4" t="s">
        <v>253</v>
      </c>
      <c r="Z252" s="74" t="str">
        <f t="shared" si="77"/>
        <v>0x10,</v>
      </c>
      <c r="AA252" s="75" t="str">
        <f t="shared" si="78"/>
        <v>0x00,</v>
      </c>
      <c r="AB252" s="75" t="str">
        <f t="shared" si="79"/>
        <v>0x03,</v>
      </c>
      <c r="AC252" s="76"/>
    </row>
    <row r="253" spans="1:29" x14ac:dyDescent="0.3">
      <c r="A253" s="79">
        <f t="shared" si="13"/>
        <v>765</v>
      </c>
      <c r="B253" s="80" t="str">
        <f t="shared" si="80"/>
        <v>2FD</v>
      </c>
      <c r="C253" s="4" t="s">
        <v>258</v>
      </c>
      <c r="D253" s="29" t="s">
        <v>251</v>
      </c>
      <c r="E253" s="4" t="s">
        <v>257</v>
      </c>
      <c r="F253" s="29"/>
      <c r="G253" s="24"/>
      <c r="H253" s="29"/>
      <c r="M253" s="14"/>
      <c r="O253" s="25" t="str" cm="1">
        <f t="array" ref="O253">BIN2HEX(IF(I253&lt;&gt;"",VLOOKUP(I253,Ops!$I$2:'Ops'!$J$15,2,FALSE),IF(ISNUMBER(SEARCH("BR",D253)),"001","000"))&amp;IF(D253&lt;&gt;"",VLOOKUP(D253,Ops!$B$2:'Ops'!$C$23,2,FALSE),"0")&amp;_xlfn.IFS(ISNUMBER(SEARCH("BR",D253)),VLOOKUP(D253,Ops!$B$3:'Ops'!$D$22,3,FALSE),F253&lt;&gt;"",VLOOKUP(F253,Ops!$R$2:'Ops'!$S$11,2),L253&lt;&gt;"",VLOOKUP(L253,Ops!$R$2:'Ops'!$S$25,2,FALSE),TRUE,"0000"),2)</f>
        <v>3F</v>
      </c>
      <c r="P253" s="26" t="str">
        <f>RIGHT(IF($E253&lt;&gt;"",_xlfn.XLOOKUP($E253,$C$4:$C$681,$B$4:$B$681,"NO LABEL"),BIN2HEX(IF(N253="CarryEn","1","0")&amp;IF(M253="SubXY","1","0")&amp;IF(H253&lt;&gt;"",VLOOKUP(H253,Ops!$F$2:'Ops'!$G$20,2,FALSE),"000000"),2)),2)</f>
        <v>F1</v>
      </c>
      <c r="Q253" s="26" t="str" cm="1">
        <f t="array" ref="Q253">BIN2HEX(_xlfn.IFS(D253="HWINTEN","10",G253="KeyAck","01",G253="InitLp8","01",TRUE,"00")&amp;IF(OR(Ops!$O$2:'Ops'!$O$13=K253),VLOOKUP(K253,Ops!$O$2:'Ops'!$P$13,2,FALSE),"000")&amp;IF(E253&lt;&gt;"",IF(LEN(_xlfn.XLOOKUP($E253,$C$5:$C$681,$B$5:$B$681,0))=3,HEX2BIN(LEFT(_xlfn.XLOOKUP($E253,$C$5:$C$681,$B$5:$B$681,0),1),3),IF(OR(Ops!$L$2:'Ops'!$L$11=J253),VLOOKUP(J253,Ops!$L$2:'Ops'!$M$11,2,FALSE),"000")),IF(OR(Ops!$L$2:'Ops'!$L$11=J253),VLOOKUP(J253,Ops!$L$2:'Ops'!$M$11,2,FALSE),"000")),2)</f>
        <v>02</v>
      </c>
      <c r="R253" s="27"/>
      <c r="S253" s="4" t="s">
        <v>254</v>
      </c>
      <c r="Z253" s="74" t="str">
        <f t="shared" ref="Z253:Z316" si="81">IF(O253="", "};", "0x"&amp;O253&amp;",")</f>
        <v>0x3F,</v>
      </c>
      <c r="AA253" s="75" t="str">
        <f t="shared" ref="AA253:AA317" si="82">"0x"&amp;P253&amp;","</f>
        <v>0xF1,</v>
      </c>
      <c r="AB253" s="75" t="str">
        <f t="shared" ref="AB253:AB317" si="83">"0x"&amp;Q253&amp;","</f>
        <v>0x02,</v>
      </c>
      <c r="AC253" s="76"/>
    </row>
    <row r="254" spans="1:29" x14ac:dyDescent="0.3">
      <c r="A254" s="79">
        <f t="shared" si="13"/>
        <v>768</v>
      </c>
      <c r="B254" s="80" t="str">
        <f t="shared" si="80"/>
        <v>300</v>
      </c>
      <c r="C254" s="4" t="s">
        <v>259</v>
      </c>
      <c r="D254" s="29"/>
      <c r="F254" s="29"/>
      <c r="G254" s="24" t="s">
        <v>692</v>
      </c>
      <c r="H254" s="29"/>
      <c r="M254" s="14"/>
      <c r="O254" s="25" t="str" cm="1">
        <f t="array" ref="O254">BIN2HEX(IF(I254&lt;&gt;"",VLOOKUP(I254,Ops!$I$2:'Ops'!$J$15,2,FALSE),IF(ISNUMBER(SEARCH("BR",D254)),"001","000"))&amp;IF(D254&lt;&gt;"",VLOOKUP(D254,Ops!$B$2:'Ops'!$C$23,2,FALSE),"0")&amp;_xlfn.IFS(ISNUMBER(SEARCH("BR",D254)),VLOOKUP(D254,Ops!$B$3:'Ops'!$D$22,3,FALSE),F254&lt;&gt;"",VLOOKUP(F254,Ops!$R$2:'Ops'!$S$11,2),L254&lt;&gt;"",VLOOKUP(L254,Ops!$R$2:'Ops'!$S$25,2,FALSE),TRUE,"0000"),2)</f>
        <v>00</v>
      </c>
      <c r="P254" s="26" t="str">
        <f>RIGHT(IF($E254&lt;&gt;"",_xlfn.XLOOKUP($E254,$C$4:$C$681,$B$4:$B$681,"NO LABEL"),BIN2HEX(IF(N254="CarryEn","1","0")&amp;IF(M254="SubXY","1","0")&amp;IF(H254&lt;&gt;"",VLOOKUP(H254,Ops!$F$2:'Ops'!$G$20,2,FALSE),"000000"),2)),2)</f>
        <v>00</v>
      </c>
      <c r="Q254" s="26" t="str" cm="1">
        <f t="array" ref="Q254">BIN2HEX(_xlfn.IFS(D254="HWINTEN","10",G254="KeyAck","01",G254="InitLp8","01",TRUE,"00")&amp;IF(OR(Ops!$O$2:'Ops'!$O$13=K254),VLOOKUP(K254,Ops!$O$2:'Ops'!$P$13,2,FALSE),"000")&amp;IF(E254&lt;&gt;"",IF(LEN(_xlfn.XLOOKUP($E254,$C$5:$C$681,$B$5:$B$681,0))=3,HEX2BIN(LEFT(_xlfn.XLOOKUP($E254,$C$5:$C$681,$B$5:$B$681,0),1),3),IF(OR(Ops!$L$2:'Ops'!$L$11=J254),VLOOKUP(J254,Ops!$L$2:'Ops'!$M$11,2,FALSE),"000")),IF(OR(Ops!$L$2:'Ops'!$L$11=J254),VLOOKUP(J254,Ops!$L$2:'Ops'!$M$11,2,FALSE),"000")),2)</f>
        <v>40</v>
      </c>
      <c r="R254" s="27"/>
      <c r="S254" s="4" t="s">
        <v>245</v>
      </c>
      <c r="Z254" s="74" t="str">
        <f t="shared" si="81"/>
        <v>0x00,</v>
      </c>
      <c r="AA254" s="75" t="str">
        <f t="shared" si="82"/>
        <v>0x00,</v>
      </c>
      <c r="AB254" s="75" t="str">
        <f t="shared" si="83"/>
        <v>0x40,</v>
      </c>
      <c r="AC254" s="76"/>
    </row>
    <row r="255" spans="1:29" x14ac:dyDescent="0.3">
      <c r="A255" s="79">
        <f t="shared" si="13"/>
        <v>771</v>
      </c>
      <c r="B255" s="80" t="str">
        <f t="shared" si="80"/>
        <v>303</v>
      </c>
      <c r="D255" s="29" t="s">
        <v>251</v>
      </c>
      <c r="E255" s="4" t="s">
        <v>609</v>
      </c>
      <c r="F255" s="29"/>
      <c r="G255" s="24"/>
      <c r="H255" s="29"/>
      <c r="M255" s="14"/>
      <c r="O255" s="25" t="str" cm="1">
        <f t="array" ref="O255">BIN2HEX(IF(I255&lt;&gt;"",VLOOKUP(I255,Ops!$I$2:'Ops'!$J$15,2,FALSE),IF(ISNUMBER(SEARCH("BR",D255)),"001","000"))&amp;IF(D255&lt;&gt;"",VLOOKUP(D255,Ops!$B$2:'Ops'!$C$23,2,FALSE),"0")&amp;_xlfn.IFS(ISNUMBER(SEARCH("BR",D255)),VLOOKUP(D255,Ops!$B$3:'Ops'!$D$22,3,FALSE),F255&lt;&gt;"",VLOOKUP(F255,Ops!$R$2:'Ops'!$S$11,2),L255&lt;&gt;"",VLOOKUP(L255,Ops!$R$2:'Ops'!$S$25,2,FALSE),TRUE,"0000"),2)</f>
        <v>3F</v>
      </c>
      <c r="P255" s="26" t="str">
        <f>RIGHT(IF($E255&lt;&gt;"",_xlfn.XLOOKUP($E255,$C$4:$C$681,$B$4:$B$681,"NO LABEL"),BIN2HEX(IF(N255="CarryEn","1","0")&amp;IF(M255="SubXY","1","0")&amp;IF(H255&lt;&gt;"",VLOOKUP(H255,Ops!$F$2:'Ops'!$G$20,2,FALSE),"000000"),2)),2)</f>
        <v>06</v>
      </c>
      <c r="Q255" s="26" t="str" cm="1">
        <f t="array" ref="Q255">BIN2HEX(_xlfn.IFS(D255="HWINTEN","10",G255="KeyAck","01",G255="InitLp8","01",TRUE,"00")&amp;IF(OR(Ops!$O$2:'Ops'!$O$13=K255),VLOOKUP(K255,Ops!$O$2:'Ops'!$P$13,2,FALSE),"000")&amp;IF(E255&lt;&gt;"",IF(LEN(_xlfn.XLOOKUP($E255,$C$5:$C$681,$B$5:$B$681,0))=3,HEX2BIN(LEFT(_xlfn.XLOOKUP($E255,$C$5:$C$681,$B$5:$B$681,0),1),3),IF(OR(Ops!$L$2:'Ops'!$L$11=J255),VLOOKUP(J255,Ops!$L$2:'Ops'!$M$11,2,FALSE),"000")),IF(OR(Ops!$L$2:'Ops'!$L$11=J255),VLOOKUP(J255,Ops!$L$2:'Ops'!$M$11,2,FALSE),"000")),2)</f>
        <v>03</v>
      </c>
      <c r="R255" s="27"/>
      <c r="Z255" s="74" t="str">
        <f t="shared" si="81"/>
        <v>0x3F,</v>
      </c>
      <c r="AA255" s="75" t="str">
        <f t="shared" si="82"/>
        <v>0x06,</v>
      </c>
      <c r="AB255" s="75" t="str">
        <f t="shared" si="83"/>
        <v>0x03,</v>
      </c>
      <c r="AC255" s="76"/>
    </row>
    <row r="256" spans="1:29" x14ac:dyDescent="0.3">
      <c r="A256" s="79">
        <f t="shared" si="13"/>
        <v>774</v>
      </c>
      <c r="B256" s="80" t="str">
        <f>DEC2HEX(A256)</f>
        <v>306</v>
      </c>
      <c r="C256" s="4" t="s">
        <v>609</v>
      </c>
      <c r="D256" s="29"/>
      <c r="F256" s="29"/>
      <c r="G256" s="24"/>
      <c r="H256" s="29" t="s">
        <v>68</v>
      </c>
      <c r="I256" s="4" t="s">
        <v>478</v>
      </c>
      <c r="J256" s="4" t="s">
        <v>474</v>
      </c>
      <c r="K256" s="4" t="s">
        <v>469</v>
      </c>
      <c r="M256" s="14"/>
      <c r="O256" s="25" t="str" cm="1">
        <f t="array" ref="O256">BIN2HEX(IF(I256&lt;&gt;"",VLOOKUP(I256,Ops!$I$2:'Ops'!$J$15,2,FALSE),IF(ISNUMBER(SEARCH("BR",D256)),"001","000"))&amp;IF(D256&lt;&gt;"",VLOOKUP(D256,Ops!$B$2:'Ops'!$C$23,2,FALSE),"0")&amp;_xlfn.IFS(ISNUMBER(SEARCH("BR",D256)),VLOOKUP(D256,Ops!$B$3:'Ops'!$D$22,3,FALSE),F256&lt;&gt;"",VLOOKUP(F256,Ops!$R$2:'Ops'!$S$11,2),L256&lt;&gt;"",VLOOKUP(L256,Ops!$R$2:'Ops'!$S$25,2,FALSE),TRUE,"0000"),2)</f>
        <v>20</v>
      </c>
      <c r="P256" s="26" t="str">
        <f>RIGHT(IF($E256&lt;&gt;"",_xlfn.XLOOKUP($E256,$C$4:$C$681,$B$4:$B$681,"NO LABEL"),BIN2HEX(IF(N256="CarryEn","1","0")&amp;IF(M256="SubXY","1","0")&amp;IF(H256&lt;&gt;"",VLOOKUP(H256,Ops!$F$2:'Ops'!$G$20,2,FALSE),"000000"),2)),2)</f>
        <v>05</v>
      </c>
      <c r="Q256" s="26" t="str" cm="1">
        <f t="array" ref="Q256">BIN2HEX(_xlfn.IFS(D256="HWINTEN","10",G256="KeyAck","01",G256="InitLp8","01",TRUE,"00")&amp;IF(OR(Ops!$O$2:'Ops'!$O$13=K256),VLOOKUP(K256,Ops!$O$2:'Ops'!$P$13,2,FALSE),"000")&amp;IF(E256&lt;&gt;"",IF(LEN(_xlfn.XLOOKUP($E256,$C$5:$C$681,$B$5:$B$681,0))=3,HEX2BIN(LEFT(_xlfn.XLOOKUP($E256,$C$5:$C$681,$B$5:$B$681,0),1),3),IF(OR(Ops!$L$2:'Ops'!$L$11=J256),VLOOKUP(J256,Ops!$L$2:'Ops'!$M$11,2,FALSE),"000")),IF(OR(Ops!$L$2:'Ops'!$L$11=J256),VLOOKUP(J256,Ops!$L$2:'Ops'!$M$11,2,FALSE),"000")),2)</f>
        <v>2C</v>
      </c>
      <c r="R256" s="27"/>
      <c r="Z256" s="74" t="str">
        <f t="shared" si="81"/>
        <v>0x20,</v>
      </c>
      <c r="AA256" s="75" t="str">
        <f t="shared" si="82"/>
        <v>0x05,</v>
      </c>
      <c r="AB256" s="75" t="str">
        <f t="shared" si="83"/>
        <v>0x2C,</v>
      </c>
      <c r="AC256" s="76"/>
    </row>
    <row r="257" spans="1:29" x14ac:dyDescent="0.3">
      <c r="A257" s="79">
        <f t="shared" si="13"/>
        <v>777</v>
      </c>
      <c r="B257" s="80" t="str">
        <f>DEC2HEX(A257)</f>
        <v>309</v>
      </c>
      <c r="D257" s="29" t="s">
        <v>251</v>
      </c>
      <c r="E257" s="4" t="s">
        <v>609</v>
      </c>
      <c r="F257" s="29"/>
      <c r="G257" s="24"/>
      <c r="H257" s="29"/>
      <c r="M257" s="14"/>
      <c r="O257" s="25" t="str" cm="1">
        <f t="array" ref="O257">BIN2HEX(IF(I257&lt;&gt;"",VLOOKUP(I257,Ops!$I$2:'Ops'!$J$15,2,FALSE),IF(ISNUMBER(SEARCH("BR",D257)),"001","000"))&amp;IF(D257&lt;&gt;"",VLOOKUP(D257,Ops!$B$2:'Ops'!$C$23,2,FALSE),"0")&amp;_xlfn.IFS(ISNUMBER(SEARCH("BR",D257)),VLOOKUP(D257,Ops!$B$3:'Ops'!$D$22,3,FALSE),F257&lt;&gt;"",VLOOKUP(F257,Ops!$R$2:'Ops'!$S$11,2),L257&lt;&gt;"",VLOOKUP(L257,Ops!$R$2:'Ops'!$S$25,2,FALSE),TRUE,"0000"),2)</f>
        <v>3F</v>
      </c>
      <c r="P257" s="26" t="str">
        <f>RIGHT(IF($E257&lt;&gt;"",_xlfn.XLOOKUP($E257,$C$4:$C$681,$B$4:$B$681,"NO LABEL"),BIN2HEX(IF(N257="CarryEn","1","0")&amp;IF(M257="SubXY","1","0")&amp;IF(H257&lt;&gt;"",VLOOKUP(H257,Ops!$F$2:'Ops'!$G$20,2,FALSE),"000000"),2)),2)</f>
        <v>06</v>
      </c>
      <c r="Q257" s="26" t="str" cm="1">
        <f t="array" ref="Q257">BIN2HEX(_xlfn.IFS(D257="HWINTEN","10",G257="KeyAck","01",G257="InitLp8","01",TRUE,"00")&amp;IF(OR(Ops!$O$2:'Ops'!$O$13=K257),VLOOKUP(K257,Ops!$O$2:'Ops'!$P$13,2,FALSE),"000")&amp;IF(E257&lt;&gt;"",IF(LEN(_xlfn.XLOOKUP($E257,$C$5:$C$681,$B$5:$B$681,0))=3,HEX2BIN(LEFT(_xlfn.XLOOKUP($E257,$C$5:$C$681,$B$5:$B$681,0),1),3),IF(OR(Ops!$L$2:'Ops'!$L$11=J257),VLOOKUP(J257,Ops!$L$2:'Ops'!$M$11,2,FALSE),"000")),IF(OR(Ops!$L$2:'Ops'!$L$11=J257),VLOOKUP(J257,Ops!$L$2:'Ops'!$M$11,2,FALSE),"000")),2)</f>
        <v>03</v>
      </c>
      <c r="R257" s="27"/>
      <c r="Z257" s="74" t="str">
        <f t="shared" si="81"/>
        <v>0x3F,</v>
      </c>
      <c r="AA257" s="75" t="str">
        <f t="shared" si="82"/>
        <v>0x06,</v>
      </c>
      <c r="AB257" s="75" t="str">
        <f t="shared" si="83"/>
        <v>0x03,</v>
      </c>
      <c r="AC257" s="76"/>
    </row>
    <row r="258" spans="1:29" x14ac:dyDescent="0.3">
      <c r="A258" s="79">
        <f t="shared" si="13"/>
        <v>780</v>
      </c>
      <c r="B258" s="80" t="str">
        <f>DEC2HEX(A258)</f>
        <v>30C</v>
      </c>
      <c r="D258" s="29"/>
      <c r="F258" s="29"/>
      <c r="G258" s="24"/>
      <c r="H258" s="29"/>
      <c r="I258" s="4" t="s">
        <v>290</v>
      </c>
      <c r="J258" s="56" t="s">
        <v>56</v>
      </c>
      <c r="K258" s="4" t="s">
        <v>480</v>
      </c>
      <c r="M258" s="14"/>
      <c r="O258" s="25" t="str" cm="1">
        <f t="array" ref="O258">BIN2HEX(IF(I258&lt;&gt;"",VLOOKUP(I258,Ops!$I$2:'Ops'!$J$15,2,FALSE),IF(ISNUMBER(SEARCH("BR",D258)),"001","000"))&amp;IF(D258&lt;&gt;"",VLOOKUP(D258,Ops!$B$2:'Ops'!$C$23,2,FALSE),"0")&amp;_xlfn.IFS(ISNUMBER(SEARCH("BR",D258)),VLOOKUP(D258,Ops!$B$3:'Ops'!$D$22,3,FALSE),F258&lt;&gt;"",VLOOKUP(F258,Ops!$R$2:'Ops'!$S$11,2),L258&lt;&gt;"",VLOOKUP(L258,Ops!$R$2:'Ops'!$S$25,2,FALSE),TRUE,"0000"),2)</f>
        <v>40</v>
      </c>
      <c r="P258" s="26" t="str">
        <f>RIGHT(IF($E258&lt;&gt;"",_xlfn.XLOOKUP($E258,$C$4:$C$681,$B$4:$B$681,"NO LABEL"),BIN2HEX(IF(N258="CarryEn","1","0")&amp;IF(M258="SubXY","1","0")&amp;IF(H258&lt;&gt;"",VLOOKUP(H258,Ops!$F$2:'Ops'!$G$20,2,FALSE),"000000"),2)),2)</f>
        <v>00</v>
      </c>
      <c r="Q258" s="26" t="str" cm="1">
        <f t="array" ref="Q258">BIN2HEX(_xlfn.IFS(D258="HWINTEN","10",G258="KeyAck","01",G258="InitLp8","01",TRUE,"00")&amp;IF(OR(Ops!$O$2:'Ops'!$O$13=K258),VLOOKUP(K258,Ops!$O$2:'Ops'!$P$13,2,FALSE),"000")&amp;IF(E258&lt;&gt;"",IF(LEN(_xlfn.XLOOKUP($E258,$C$5:$C$681,$B$5:$B$681,0))=3,HEX2BIN(LEFT(_xlfn.XLOOKUP($E258,$C$5:$C$681,$B$5:$B$681,0),1),3),IF(OR(Ops!$L$2:'Ops'!$L$11=J258),VLOOKUP(J258,Ops!$L$2:'Ops'!$M$11,2,FALSE),"000")),IF(OR(Ops!$L$2:'Ops'!$L$11=J258),VLOOKUP(J258,Ops!$L$2:'Ops'!$M$11,2,FALSE),"000")),2)</f>
        <v>05</v>
      </c>
      <c r="R258" s="27"/>
      <c r="S258" s="4" t="s">
        <v>305</v>
      </c>
      <c r="Z258" s="74" t="str">
        <f t="shared" si="81"/>
        <v>0x40,</v>
      </c>
      <c r="AA258" s="75" t="str">
        <f t="shared" si="82"/>
        <v>0x00,</v>
      </c>
      <c r="AB258" s="75" t="str">
        <f t="shared" si="83"/>
        <v>0x05,</v>
      </c>
      <c r="AC258" s="76"/>
    </row>
    <row r="259" spans="1:29" x14ac:dyDescent="0.3">
      <c r="A259" s="79">
        <f t="shared" si="13"/>
        <v>783</v>
      </c>
      <c r="B259" s="80" t="str">
        <f>DEC2HEX(A259)</f>
        <v>30F</v>
      </c>
      <c r="C259" s="31"/>
      <c r="D259" s="34" t="s">
        <v>0</v>
      </c>
      <c r="E259" s="31" t="s">
        <v>1</v>
      </c>
      <c r="F259" s="34"/>
      <c r="G259" s="35"/>
      <c r="H259" s="34"/>
      <c r="I259" s="31"/>
      <c r="J259" s="31"/>
      <c r="K259" s="31"/>
      <c r="L259" s="31"/>
      <c r="M259" s="88"/>
      <c r="N259" s="35"/>
      <c r="O259" s="55" t="str" cm="1">
        <f t="array" ref="O259">BIN2HEX(IF(I259&lt;&gt;"",VLOOKUP(I259,Ops!$I$2:'Ops'!$J$15,2,FALSE),IF(ISNUMBER(SEARCH("BR",D259)),"001","000"))&amp;IF(D259&lt;&gt;"",VLOOKUP(D259,Ops!$B$2:'Ops'!$C$23,2,FALSE),"0")&amp;_xlfn.IFS(ISNUMBER(SEARCH("BR",D259)),VLOOKUP(D259,Ops!$B$3:'Ops'!$D$22,3,FALSE),F259&lt;&gt;"",VLOOKUP(F259,Ops!$R$2:'Ops'!$S$11,2),L259&lt;&gt;"",VLOOKUP(L259,Ops!$R$2:'Ops'!$S$25,2,FALSE),TRUE,"0000"),2)</f>
        <v>10</v>
      </c>
      <c r="P259" s="44" t="str">
        <f>RIGHT(IF($E259&lt;&gt;"",_xlfn.XLOOKUP($E259,$C$4:$C$681,$B$4:$B$681,"NO LABEL"),BIN2HEX(IF(N259="CarryEn","1","0")&amp;IF(M259="SubXY","1","0")&amp;IF(H259&lt;&gt;"",VLOOKUP(H259,Ops!$F$2:'Ops'!$G$20,2,FALSE),"000000"),2)),2)</f>
        <v>60</v>
      </c>
      <c r="Q259" s="44" t="str" cm="1">
        <f t="array" ref="Q259">BIN2HEX(_xlfn.IFS(D259="HWINTEN","10",G259="KeyAck","01",G259="InitLp8","01",TRUE,"00")&amp;IF(OR(Ops!$O$2:'Ops'!$O$13=K259),VLOOKUP(K259,Ops!$O$2:'Ops'!$P$13,2,FALSE),"000")&amp;IF(E259&lt;&gt;"",IF(LEN(_xlfn.XLOOKUP($E259,$C$5:$C$681,$B$5:$B$681,0))=3,HEX2BIN(LEFT(_xlfn.XLOOKUP($E259,$C$5:$C$681,$B$5:$B$681,0),1),3),IF(OR(Ops!$L$2:'Ops'!$L$11=J259),VLOOKUP(J259,Ops!$L$2:'Ops'!$M$11,2,FALSE),"000")),IF(OR(Ops!$L$2:'Ops'!$L$11=J259),VLOOKUP(J259,Ops!$L$2:'Ops'!$M$11,2,FALSE),"000")),2)</f>
        <v>00</v>
      </c>
      <c r="R259" s="45"/>
      <c r="S259" s="3"/>
      <c r="Z259" s="74" t="str">
        <f t="shared" si="81"/>
        <v>0x10,</v>
      </c>
      <c r="AA259" s="75" t="str">
        <f t="shared" si="82"/>
        <v>0x60,</v>
      </c>
      <c r="AB259" s="75" t="str">
        <f t="shared" si="83"/>
        <v>0x00,</v>
      </c>
      <c r="AC259" s="76"/>
    </row>
    <row r="260" spans="1:29" x14ac:dyDescent="0.3">
      <c r="A260" s="79">
        <f t="shared" si="13"/>
        <v>786</v>
      </c>
      <c r="B260" s="80" t="str">
        <f>DEC2HEX(A260)</f>
        <v>312</v>
      </c>
      <c r="C260" s="12" t="s">
        <v>16</v>
      </c>
      <c r="D260" s="29" t="s">
        <v>77</v>
      </c>
      <c r="E260" s="4" t="s">
        <v>58</v>
      </c>
      <c r="F260" s="29"/>
      <c r="G260" s="24" t="s">
        <v>692</v>
      </c>
      <c r="H260" s="29"/>
      <c r="M260" s="14"/>
      <c r="O260" s="25" t="str" cm="1">
        <f t="array" ref="O260">BIN2HEX(IF(I260&lt;&gt;"",VLOOKUP(I260,Ops!$I$2:'Ops'!$J$15,2,FALSE),IF(ISNUMBER(SEARCH("BR",D260)),"001","000"))&amp;IF(D260&lt;&gt;"",VLOOKUP(D260,Ops!$B$2:'Ops'!$C$23,2,FALSE),"0")&amp;_xlfn.IFS(ISNUMBER(SEARCH("BR",D260)),VLOOKUP(D260,Ops!$B$3:'Ops'!$D$22,3,FALSE),F260&lt;&gt;"",VLOOKUP(F260,Ops!$R$2:'Ops'!$S$11,2),L260&lt;&gt;"",VLOOKUP(L260,Ops!$R$2:'Ops'!$S$25,2,FALSE),TRUE,"0000"),2)</f>
        <v>36</v>
      </c>
      <c r="P260" s="26" t="str">
        <f>RIGHT(IF($E260&lt;&gt;"",_xlfn.XLOOKUP($E260,$C$4:$C$681,$B$4:$B$681,"NO LABEL"),BIN2HEX(IF(N260="CarryEn","1","0")&amp;IF(M260="SubXY","1","0")&amp;IF(H260&lt;&gt;"",VLOOKUP(H260,Ops!$F$2:'Ops'!$G$20,2,FALSE),"000000"),2)),2)</f>
        <v>24</v>
      </c>
      <c r="Q260" s="26" t="str" cm="1">
        <f t="array" ref="Q260">BIN2HEX(_xlfn.IFS(D260="HWINTEN","10",G260="KeyAck","01",G260="InitLp8","01",TRUE,"00")&amp;IF(OR(Ops!$O$2:'Ops'!$O$13=K260),VLOOKUP(K260,Ops!$O$2:'Ops'!$P$13,2,FALSE),"000")&amp;IF(E260&lt;&gt;"",IF(LEN(_xlfn.XLOOKUP($E260,$C$5:$C$681,$B$5:$B$681,0))=3,HEX2BIN(LEFT(_xlfn.XLOOKUP($E260,$C$5:$C$681,$B$5:$B$681,0),1),3),IF(OR(Ops!$L$2:'Ops'!$L$11=J260),VLOOKUP(J260,Ops!$L$2:'Ops'!$M$11,2,FALSE),"000")),IF(OR(Ops!$L$2:'Ops'!$L$11=J260),VLOOKUP(J260,Ops!$L$2:'Ops'!$M$11,2,FALSE),"000")),2)</f>
        <v>43</v>
      </c>
      <c r="R260" s="27"/>
      <c r="S260" s="39" t="s">
        <v>568</v>
      </c>
      <c r="Z260" s="74" t="str">
        <f t="shared" si="81"/>
        <v>0x36,</v>
      </c>
      <c r="AA260" s="75" t="str">
        <f t="shared" si="82"/>
        <v>0x24,</v>
      </c>
      <c r="AB260" s="75" t="str">
        <f t="shared" si="83"/>
        <v>0x43,</v>
      </c>
      <c r="AC260" s="76"/>
    </row>
    <row r="261" spans="1:29" x14ac:dyDescent="0.3">
      <c r="A261" s="79">
        <f t="shared" si="13"/>
        <v>789</v>
      </c>
      <c r="B261" s="80" t="str">
        <f t="shared" ref="B261:B265" si="84">DEC2HEX(A261)</f>
        <v>315</v>
      </c>
      <c r="C261" s="4" t="s">
        <v>694</v>
      </c>
      <c r="D261" s="29"/>
      <c r="F261" s="29"/>
      <c r="G261" s="24"/>
      <c r="H261" s="29" t="s">
        <v>54</v>
      </c>
      <c r="I261" s="4" t="s">
        <v>481</v>
      </c>
      <c r="L261" s="4" t="s">
        <v>565</v>
      </c>
      <c r="M261" s="14"/>
      <c r="O261" s="25" t="str" cm="1">
        <f t="array" ref="O261">BIN2HEX(IF(I261&lt;&gt;"",VLOOKUP(I261,Ops!$I$2:'Ops'!$J$15,2,FALSE),IF(ISNUMBER(SEARCH("BR",D261)),"001","000"))&amp;IF(D261&lt;&gt;"",VLOOKUP(D261,Ops!$B$2:'Ops'!$C$23,2,FALSE),"0")&amp;_xlfn.IFS(ISNUMBER(SEARCH("BR",D261)),VLOOKUP(D261,Ops!$B$3:'Ops'!$D$22,3,FALSE),F261&lt;&gt;"",VLOOKUP(F261,Ops!$R$2:'Ops'!$S$11,2),L261&lt;&gt;"",VLOOKUP(L261,Ops!$R$2:'Ops'!$S$25,2,FALSE),TRUE,"0000"),2)</f>
        <v>0F</v>
      </c>
      <c r="P261" s="26" t="str">
        <f>RIGHT(IF($E261&lt;&gt;"",_xlfn.XLOOKUP($E261,$C$4:$C$681,$B$4:$B$681,"NO LABEL"),BIN2HEX(IF(N261="CarryEn","1","0")&amp;IF(M261="SubXY","1","0")&amp;IF(H261&lt;&gt;"",VLOOKUP(H261,Ops!$F$2:'Ops'!$G$20,2,FALSE),"000000"),2)),2)</f>
        <v>02</v>
      </c>
      <c r="Q261" s="26" t="str" cm="1">
        <f t="array" ref="Q261">BIN2HEX(_xlfn.IFS(D261="HWINTEN","10",G261="KeyAck","01",G261="InitLp8","01",TRUE,"00")&amp;IF(OR(Ops!$O$2:'Ops'!$O$13=K261),VLOOKUP(K261,Ops!$O$2:'Ops'!$P$13,2,FALSE),"000")&amp;IF(E261&lt;&gt;"",IF(LEN(_xlfn.XLOOKUP($E261,$C$5:$C$681,$B$5:$B$681,0))=3,HEX2BIN(LEFT(_xlfn.XLOOKUP($E261,$C$5:$C$681,$B$5:$B$681,0),1),3),IF(OR(Ops!$L$2:'Ops'!$L$11=J261),VLOOKUP(J261,Ops!$L$2:'Ops'!$M$11,2,FALSE),"000")),IF(OR(Ops!$L$2:'Ops'!$L$11=J261),VLOOKUP(J261,Ops!$L$2:'Ops'!$M$11,2,FALSE),"000")),2)</f>
        <v>00</v>
      </c>
      <c r="R261" s="27"/>
      <c r="S261" s="4" t="s">
        <v>582</v>
      </c>
      <c r="Z261" s="74" t="str">
        <f t="shared" ref="Z261:Z264" si="85">IF(O261="", "};", "0x"&amp;O261&amp;",")</f>
        <v>0x0F,</v>
      </c>
      <c r="AA261" s="75" t="str">
        <f t="shared" ref="AA261:AA264" si="86">"0x"&amp;P261&amp;","</f>
        <v>0x02,</v>
      </c>
      <c r="AB261" s="75" t="str">
        <f t="shared" ref="AB261:AB264" si="87">"0x"&amp;Q261&amp;","</f>
        <v>0x00,</v>
      </c>
      <c r="AC261" s="76"/>
    </row>
    <row r="262" spans="1:29" x14ac:dyDescent="0.3">
      <c r="A262" s="79">
        <f t="shared" si="13"/>
        <v>792</v>
      </c>
      <c r="B262" s="80" t="str">
        <f t="shared" si="84"/>
        <v>318</v>
      </c>
      <c r="C262" s="12"/>
      <c r="D262" s="29" t="s">
        <v>251</v>
      </c>
      <c r="E262" s="4" t="s">
        <v>694</v>
      </c>
      <c r="F262" s="29"/>
      <c r="G262" s="24"/>
      <c r="H262" s="29"/>
      <c r="M262" s="14"/>
      <c r="O262" s="25" t="str" cm="1">
        <f t="array" ref="O262">BIN2HEX(IF(I262&lt;&gt;"",VLOOKUP(I262,Ops!$I$2:'Ops'!$J$15,2,FALSE),IF(ISNUMBER(SEARCH("BR",D262)),"001","000"))&amp;IF(D262&lt;&gt;"",VLOOKUP(D262,Ops!$B$2:'Ops'!$C$23,2,FALSE),"0")&amp;_xlfn.IFS(ISNUMBER(SEARCH("BR",D262)),VLOOKUP(D262,Ops!$B$3:'Ops'!$D$22,3,FALSE),F262&lt;&gt;"",VLOOKUP(F262,Ops!$R$2:'Ops'!$S$11,2),L262&lt;&gt;"",VLOOKUP(L262,Ops!$R$2:'Ops'!$S$25,2,FALSE),TRUE,"0000"),2)</f>
        <v>3F</v>
      </c>
      <c r="P262" s="26" t="str">
        <f>RIGHT(IF($E262&lt;&gt;"",_xlfn.XLOOKUP($E262,$C$4:$C$681,$B$4:$B$681,"NO LABEL"),BIN2HEX(IF(N262="CarryEn","1","0")&amp;IF(M262="SubXY","1","0")&amp;IF(H262&lt;&gt;"",VLOOKUP(H262,Ops!$F$2:'Ops'!$G$20,2,FALSE),"000000"),2)),2)</f>
        <v>15</v>
      </c>
      <c r="Q262" s="26" t="str" cm="1">
        <f t="array" ref="Q262">BIN2HEX(_xlfn.IFS(D262="HWINTEN","10",G262="KeyAck","01",G262="InitLp8","01",TRUE,"00")&amp;IF(OR(Ops!$O$2:'Ops'!$O$13=K262),VLOOKUP(K262,Ops!$O$2:'Ops'!$P$13,2,FALSE),"000")&amp;IF(E262&lt;&gt;"",IF(LEN(_xlfn.XLOOKUP($E262,$C$5:$C$681,$B$5:$B$681,0))=3,HEX2BIN(LEFT(_xlfn.XLOOKUP($E262,$C$5:$C$681,$B$5:$B$681,0),1),3),IF(OR(Ops!$L$2:'Ops'!$L$11=J262),VLOOKUP(J262,Ops!$L$2:'Ops'!$M$11,2,FALSE),"000")),IF(OR(Ops!$L$2:'Ops'!$L$11=J262),VLOOKUP(J262,Ops!$L$2:'Ops'!$M$11,2,FALSE),"000")),2)</f>
        <v>03</v>
      </c>
      <c r="R262" s="27"/>
      <c r="Z262" s="74" t="str">
        <f t="shared" si="85"/>
        <v>0x3F,</v>
      </c>
      <c r="AA262" s="75" t="str">
        <f t="shared" si="86"/>
        <v>0x15,</v>
      </c>
      <c r="AB262" s="75" t="str">
        <f t="shared" si="87"/>
        <v>0x03,</v>
      </c>
      <c r="AC262" s="76"/>
    </row>
    <row r="263" spans="1:29" x14ac:dyDescent="0.3">
      <c r="A263" s="79">
        <f t="shared" si="13"/>
        <v>795</v>
      </c>
      <c r="B263" s="80" t="str">
        <f t="shared" ref="B263:B264" si="88">DEC2HEX(A263)</f>
        <v>31B</v>
      </c>
      <c r="C263" s="12"/>
      <c r="D263" s="29"/>
      <c r="F263" s="29"/>
      <c r="G263" s="24"/>
      <c r="H263" s="29" t="s">
        <v>54</v>
      </c>
      <c r="I263" s="4" t="s">
        <v>481</v>
      </c>
      <c r="L263" s="4">
        <v>0</v>
      </c>
      <c r="M263" s="14"/>
      <c r="O263" s="25" t="str" cm="1">
        <f t="array" ref="O263">BIN2HEX(IF(I263&lt;&gt;"",VLOOKUP(I263,Ops!$I$2:'Ops'!$J$15,2,FALSE),IF(ISNUMBER(SEARCH("BR",D263)),"001","000"))&amp;IF(D263&lt;&gt;"",VLOOKUP(D263,Ops!$B$2:'Ops'!$C$23,2,FALSE),"0")&amp;_xlfn.IFS(ISNUMBER(SEARCH("BR",D263)),VLOOKUP(D263,Ops!$B$3:'Ops'!$D$22,3,FALSE),F263&lt;&gt;"",VLOOKUP(F263,Ops!$R$2:'Ops'!$S$11,2),L263&lt;&gt;"",VLOOKUP(L263,Ops!$R$2:'Ops'!$S$25,2,FALSE),TRUE,"0000"),2)</f>
        <v>00</v>
      </c>
      <c r="P263" s="26" t="str">
        <f>RIGHT(IF($E263&lt;&gt;"",_xlfn.XLOOKUP($E263,$C$4:$C$681,$B$4:$B$681,"NO LABEL"),BIN2HEX(IF(N263="CarryEn","1","0")&amp;IF(M263="SubXY","1","0")&amp;IF(H263&lt;&gt;"",VLOOKUP(H263,Ops!$F$2:'Ops'!$G$20,2,FALSE),"000000"),2)),2)</f>
        <v>02</v>
      </c>
      <c r="Q263" s="26" t="str" cm="1">
        <f t="array" ref="Q263">BIN2HEX(_xlfn.IFS(D263="HWINTEN","10",G263="KeyAck","01",G263="InitLp8","01",TRUE,"00")&amp;IF(OR(Ops!$O$2:'Ops'!$O$13=K263),VLOOKUP(K263,Ops!$O$2:'Ops'!$P$13,2,FALSE),"000")&amp;IF(E263&lt;&gt;"",IF(LEN(_xlfn.XLOOKUP($E263,$C$5:$C$681,$B$5:$B$681,0))=3,HEX2BIN(LEFT(_xlfn.XLOOKUP($E263,$C$5:$C$681,$B$5:$B$681,0),1),3),IF(OR(Ops!$L$2:'Ops'!$L$11=J263),VLOOKUP(J263,Ops!$L$2:'Ops'!$M$11,2,FALSE),"000")),IF(OR(Ops!$L$2:'Ops'!$L$11=J263),VLOOKUP(J263,Ops!$L$2:'Ops'!$M$11,2,FALSE),"000")),2)</f>
        <v>00</v>
      </c>
      <c r="R263" s="27"/>
      <c r="Z263" s="74" t="str">
        <f t="shared" si="85"/>
        <v>0x00,</v>
      </c>
      <c r="AA263" s="75" t="str">
        <f t="shared" si="86"/>
        <v>0x02,</v>
      </c>
      <c r="AB263" s="75" t="str">
        <f t="shared" si="87"/>
        <v>0x00,</v>
      </c>
      <c r="AC263" s="76"/>
    </row>
    <row r="264" spans="1:29" x14ac:dyDescent="0.3">
      <c r="A264" s="79">
        <f t="shared" si="13"/>
        <v>798</v>
      </c>
      <c r="B264" s="80" t="str">
        <f t="shared" si="88"/>
        <v>31E</v>
      </c>
      <c r="D264" s="29"/>
      <c r="F264" s="29"/>
      <c r="G264" s="24"/>
      <c r="H264" s="29"/>
      <c r="J264" s="4" t="s">
        <v>421</v>
      </c>
      <c r="K264" s="4" t="s">
        <v>422</v>
      </c>
      <c r="L264" s="4" t="s">
        <v>423</v>
      </c>
      <c r="M264" s="14"/>
      <c r="O264" s="25" t="str" cm="1">
        <f t="array" ref="O264">BIN2HEX(IF(I264&lt;&gt;"",VLOOKUP(I264,Ops!$I$2:'Ops'!$J$15,2,FALSE),IF(ISNUMBER(SEARCH("BR",D264)),"001","000"))&amp;IF(D264&lt;&gt;"",VLOOKUP(D264,Ops!$B$2:'Ops'!$C$23,2,FALSE),"0")&amp;_xlfn.IFS(ISNUMBER(SEARCH("BR",D264)),VLOOKUP(D264,Ops!$B$3:'Ops'!$D$22,3,FALSE),F264&lt;&gt;"",VLOOKUP(F264,Ops!$R$2:'Ops'!$S$11,2),L264&lt;&gt;"",VLOOKUP(L264,Ops!$R$2:'Ops'!$S$25,2,FALSE),TRUE,"0000"),2)</f>
        <v>03</v>
      </c>
      <c r="P264" s="26" t="str">
        <f>RIGHT(IF($E264&lt;&gt;"",_xlfn.XLOOKUP($E264,$C$4:$C$681,$B$4:$B$681,"NO LABEL"),BIN2HEX(IF(N264="CarryEn","1","0")&amp;IF(M264="SubXY","1","0")&amp;IF(H264&lt;&gt;"",VLOOKUP(H264,Ops!$F$2:'Ops'!$G$20,2,FALSE),"000000"),2)),2)</f>
        <v>00</v>
      </c>
      <c r="Q264" s="26" t="str" cm="1">
        <f t="array" ref="Q264">BIN2HEX(_xlfn.IFS(D264="HWINTEN","10",G264="KeyAck","01",G264="InitLp8","01",TRUE,"00")&amp;IF(OR(Ops!$O$2:'Ops'!$O$13=K264),VLOOKUP(K264,Ops!$O$2:'Ops'!$P$13,2,FALSE),"000")&amp;IF(E264&lt;&gt;"",IF(LEN(_xlfn.XLOOKUP($E264,$C$5:$C$681,$B$5:$B$681,0))=3,HEX2BIN(LEFT(_xlfn.XLOOKUP($E264,$C$5:$C$681,$B$5:$B$681,0),1),3),IF(OR(Ops!$L$2:'Ops'!$L$11=J264),VLOOKUP(J264,Ops!$L$2:'Ops'!$M$11,2,FALSE),"000")),IF(OR(Ops!$L$2:'Ops'!$L$11=J264),VLOOKUP(J264,Ops!$L$2:'Ops'!$M$11,2,FALSE),"000")),2)</f>
        <v>1B</v>
      </c>
      <c r="R264" s="27"/>
      <c r="S264" s="4" t="s">
        <v>76</v>
      </c>
      <c r="Z264" s="74" t="str">
        <f t="shared" si="85"/>
        <v>0x03,</v>
      </c>
      <c r="AA264" s="75" t="str">
        <f t="shared" si="86"/>
        <v>0x00,</v>
      </c>
      <c r="AB264" s="75" t="str">
        <f t="shared" si="87"/>
        <v>0x1B,</v>
      </c>
      <c r="AC264" s="76"/>
    </row>
    <row r="265" spans="1:29" x14ac:dyDescent="0.3">
      <c r="A265" s="79">
        <f t="shared" si="13"/>
        <v>801</v>
      </c>
      <c r="B265" s="80" t="str">
        <f t="shared" si="84"/>
        <v>321</v>
      </c>
      <c r="D265" s="29" t="s">
        <v>0</v>
      </c>
      <c r="E265" s="4" t="s">
        <v>1</v>
      </c>
      <c r="F265" s="29"/>
      <c r="G265" s="24"/>
      <c r="H265" s="29"/>
      <c r="M265" s="14"/>
      <c r="O265" s="25" t="str" cm="1">
        <f t="array" ref="O265">BIN2HEX(IF(I265&lt;&gt;"",VLOOKUP(I265,Ops!$I$2:'Ops'!$J$15,2,FALSE),IF(ISNUMBER(SEARCH("BR",D265)),"001","000"))&amp;IF(D265&lt;&gt;"",VLOOKUP(D265,Ops!$B$2:'Ops'!$C$23,2,FALSE),"0")&amp;_xlfn.IFS(ISNUMBER(SEARCH("BR",D265)),VLOOKUP(D265,Ops!$B$3:'Ops'!$D$22,3,FALSE),F265&lt;&gt;"",VLOOKUP(F265,Ops!$R$2:'Ops'!$S$11,2),L265&lt;&gt;"",VLOOKUP(L265,Ops!$R$2:'Ops'!$S$25,2,FALSE),TRUE,"0000"),2)</f>
        <v>10</v>
      </c>
      <c r="P265" s="26" t="str">
        <f>RIGHT(IF($E265&lt;&gt;"",_xlfn.XLOOKUP($E265,$C$4:$C$681,$B$4:$B$681,"NO LABEL"),BIN2HEX(IF(N265="CarryEn","1","0")&amp;IF(M265="SubXY","1","0")&amp;IF(H265&lt;&gt;"",VLOOKUP(H265,Ops!$F$2:'Ops'!$G$20,2,FALSE),"000000"),2)),2)</f>
        <v>60</v>
      </c>
      <c r="Q265" s="26" t="str" cm="1">
        <f t="array" ref="Q265">BIN2HEX(_xlfn.IFS(D265="HWINTEN","10",G265="KeyAck","01",G265="InitLp8","01",TRUE,"00")&amp;IF(OR(Ops!$O$2:'Ops'!$O$13=K265),VLOOKUP(K265,Ops!$O$2:'Ops'!$P$13,2,FALSE),"000")&amp;IF(E265&lt;&gt;"",IF(LEN(_xlfn.XLOOKUP($E265,$C$5:$C$681,$B$5:$B$681,0))=3,HEX2BIN(LEFT(_xlfn.XLOOKUP($E265,$C$5:$C$681,$B$5:$B$681,0),1),3),IF(OR(Ops!$L$2:'Ops'!$L$11=J265),VLOOKUP(J265,Ops!$L$2:'Ops'!$M$11,2,FALSE),"000")),IF(OR(Ops!$L$2:'Ops'!$L$11=J265),VLOOKUP(J265,Ops!$L$2:'Ops'!$M$11,2,FALSE),"000")),2)</f>
        <v>00</v>
      </c>
      <c r="R265" s="27"/>
      <c r="Z265" s="74" t="str">
        <f t="shared" si="81"/>
        <v>0x10,</v>
      </c>
      <c r="AA265" s="75" t="str">
        <f t="shared" si="82"/>
        <v>0x60,</v>
      </c>
      <c r="AB265" s="75" t="str">
        <f t="shared" si="83"/>
        <v>0x00,</v>
      </c>
      <c r="AC265" s="76"/>
    </row>
    <row r="266" spans="1:29" x14ac:dyDescent="0.3">
      <c r="A266" s="79">
        <f t="shared" si="13"/>
        <v>804</v>
      </c>
      <c r="B266" s="80" t="str">
        <f>DEC2HEX(A266)</f>
        <v>324</v>
      </c>
      <c r="C266" s="12" t="s">
        <v>58</v>
      </c>
      <c r="D266" s="29" t="s">
        <v>30</v>
      </c>
      <c r="E266" s="4" t="s">
        <v>413</v>
      </c>
      <c r="F266" s="29"/>
      <c r="G266" s="24"/>
      <c r="H266" s="29"/>
      <c r="M266" s="14"/>
      <c r="O266" s="25" t="str" cm="1">
        <f t="array" ref="O266">BIN2HEX(IF(I266&lt;&gt;"",VLOOKUP(I266,Ops!$I$2:'Ops'!$J$15,2,FALSE),IF(ISNUMBER(SEARCH("BR",D266)),"001","000"))&amp;IF(D266&lt;&gt;"",VLOOKUP(D266,Ops!$B$2:'Ops'!$C$23,2,FALSE),"0")&amp;_xlfn.IFS(ISNUMBER(SEARCH("BR",D266)),VLOOKUP(D266,Ops!$B$3:'Ops'!$D$22,3,FALSE),F266&lt;&gt;"",VLOOKUP(F266,Ops!$R$2:'Ops'!$S$11,2),L266&lt;&gt;"",VLOOKUP(L266,Ops!$R$2:'Ops'!$S$25,2,FALSE),TRUE,"0000"),2)</f>
        <v>32</v>
      </c>
      <c r="P266" s="26" t="str">
        <f>RIGHT(IF($E266&lt;&gt;"",_xlfn.XLOOKUP($E266,$C$4:$C$681,$B$4:$B$681,"NO LABEL"),BIN2HEX(IF(N266="CarryEn","1","0")&amp;IF(M266="SubXY","1","0")&amp;IF(H266&lt;&gt;"",VLOOKUP(H266,Ops!$F$2:'Ops'!$G$20,2,FALSE),"000000"),2)),2)</f>
        <v>3C</v>
      </c>
      <c r="Q266" s="26" t="str" cm="1">
        <f t="array" ref="Q266">BIN2HEX(_xlfn.IFS(D266="HWINTEN","10",G266="KeyAck","01",G266="InitLp8","01",TRUE,"00")&amp;IF(OR(Ops!$O$2:'Ops'!$O$13=K266),VLOOKUP(K266,Ops!$O$2:'Ops'!$P$13,2,FALSE),"000")&amp;IF(E266&lt;&gt;"",IF(LEN(_xlfn.XLOOKUP($E266,$C$5:$C$681,$B$5:$B$681,0))=3,HEX2BIN(LEFT(_xlfn.XLOOKUP($E266,$C$5:$C$681,$B$5:$B$681,0),1),3),IF(OR(Ops!$L$2:'Ops'!$L$11=J266),VLOOKUP(J266,Ops!$L$2:'Ops'!$M$11,2,FALSE),"000")),IF(OR(Ops!$L$2:'Ops'!$L$11=J266),VLOOKUP(J266,Ops!$L$2:'Ops'!$M$11,2,FALSE),"000")),2)</f>
        <v>03</v>
      </c>
      <c r="R266" s="27"/>
      <c r="S266" s="4" t="s">
        <v>418</v>
      </c>
      <c r="Z266" s="74" t="str">
        <f t="shared" si="81"/>
        <v>0x32,</v>
      </c>
      <c r="AA266" s="75" t="str">
        <f t="shared" si="82"/>
        <v>0x3C,</v>
      </c>
      <c r="AB266" s="75" t="str">
        <f t="shared" si="83"/>
        <v>0x03,</v>
      </c>
      <c r="AC266" s="76"/>
    </row>
    <row r="267" spans="1:29" x14ac:dyDescent="0.3">
      <c r="A267" s="79">
        <f t="shared" si="13"/>
        <v>807</v>
      </c>
      <c r="B267" s="80" t="str">
        <f t="shared" ref="B267:B277" si="89">DEC2HEX(A267)</f>
        <v>327</v>
      </c>
      <c r="C267" s="12"/>
      <c r="D267" s="29" t="s">
        <v>64</v>
      </c>
      <c r="E267" s="4" t="s">
        <v>85</v>
      </c>
      <c r="F267" s="29"/>
      <c r="G267" s="24"/>
      <c r="H267" s="29"/>
      <c r="M267" s="14"/>
      <c r="O267" s="25" t="str" cm="1">
        <f t="array" ref="O267">BIN2HEX(IF(I267&lt;&gt;"",VLOOKUP(I267,Ops!$I$2:'Ops'!$J$15,2,FALSE),IF(ISNUMBER(SEARCH("BR",D267)),"001","000"))&amp;IF(D267&lt;&gt;"",VLOOKUP(D267,Ops!$B$2:'Ops'!$C$23,2,FALSE),"0")&amp;_xlfn.IFS(ISNUMBER(SEARCH("BR",D267)),VLOOKUP(D267,Ops!$B$3:'Ops'!$D$22,3,FALSE),F267&lt;&gt;"",VLOOKUP(F267,Ops!$R$2:'Ops'!$S$11,2),L267&lt;&gt;"",VLOOKUP(L267,Ops!$R$2:'Ops'!$S$25,2,FALSE),TRUE,"0000"),2)</f>
        <v>34</v>
      </c>
      <c r="P267" s="26" t="str">
        <f>RIGHT(IF($E267&lt;&gt;"",_xlfn.XLOOKUP($E267,$C$4:$C$681,$B$4:$B$681,"NO LABEL"),BIN2HEX(IF(N267="CarryEn","1","0")&amp;IF(M267="SubXY","1","0")&amp;IF(H267&lt;&gt;"",VLOOKUP(H267,Ops!$F$2:'Ops'!$G$20,2,FALSE),"000000"),2)),2)</f>
        <v>30</v>
      </c>
      <c r="Q267" s="26" t="str" cm="1">
        <f t="array" ref="Q267">BIN2HEX(_xlfn.IFS(D267="HWINTEN","10",G267="KeyAck","01",G267="InitLp8","01",TRUE,"00")&amp;IF(OR(Ops!$O$2:'Ops'!$O$13=K267),VLOOKUP(K267,Ops!$O$2:'Ops'!$P$13,2,FALSE),"000")&amp;IF(E267&lt;&gt;"",IF(LEN(_xlfn.XLOOKUP($E267,$C$5:$C$681,$B$5:$B$681,0))=3,HEX2BIN(LEFT(_xlfn.XLOOKUP($E267,$C$5:$C$681,$B$5:$B$681,0),1),3),IF(OR(Ops!$L$2:'Ops'!$L$11=J267),VLOOKUP(J267,Ops!$L$2:'Ops'!$M$11,2,FALSE),"000")),IF(OR(Ops!$L$2:'Ops'!$L$11=J267),VLOOKUP(J267,Ops!$L$2:'Ops'!$M$11,2,FALSE),"000")),2)</f>
        <v>03</v>
      </c>
      <c r="R267" s="27"/>
      <c r="S267" s="4" t="s">
        <v>75</v>
      </c>
      <c r="Z267" s="74" t="str">
        <f t="shared" ref="Z267:Z278" si="90">IF(O267="", "};", "0x"&amp;O267&amp;",")</f>
        <v>0x34,</v>
      </c>
      <c r="AA267" s="75" t="str">
        <f t="shared" ref="AA267:AA278" si="91">"0x"&amp;P267&amp;","</f>
        <v>0x30,</v>
      </c>
      <c r="AB267" s="75" t="str">
        <f t="shared" ref="AB267:AB278" si="92">"0x"&amp;Q267&amp;","</f>
        <v>0x03,</v>
      </c>
      <c r="AC267" s="76"/>
    </row>
    <row r="268" spans="1:29" x14ac:dyDescent="0.3">
      <c r="A268" s="79">
        <f t="shared" si="13"/>
        <v>810</v>
      </c>
      <c r="B268" s="80" t="str">
        <f>DEC2HEX(A268)</f>
        <v>32A</v>
      </c>
      <c r="C268" s="12"/>
      <c r="D268" s="29"/>
      <c r="F268" s="29"/>
      <c r="G268" s="24"/>
      <c r="H268" s="29"/>
      <c r="J268" s="4" t="s">
        <v>421</v>
      </c>
      <c r="K268" s="4" t="s">
        <v>422</v>
      </c>
      <c r="L268" s="4" t="s">
        <v>423</v>
      </c>
      <c r="M268" s="14"/>
      <c r="O268" s="25" t="str" cm="1">
        <f t="array" ref="O268">BIN2HEX(IF(I268&lt;&gt;"",VLOOKUP(I268,Ops!$I$2:'Ops'!$J$15,2,FALSE),IF(ISNUMBER(SEARCH("BR",D268)),"001","000"))&amp;IF(D268&lt;&gt;"",VLOOKUP(D268,Ops!$B$2:'Ops'!$C$23,2,FALSE),"0")&amp;_xlfn.IFS(ISNUMBER(SEARCH("BR",D268)),VLOOKUP(D268,Ops!$B$3:'Ops'!$D$22,3,FALSE),F268&lt;&gt;"",VLOOKUP(F268,Ops!$R$2:'Ops'!$S$11,2),L268&lt;&gt;"",VLOOKUP(L268,Ops!$R$2:'Ops'!$S$25,2,FALSE),TRUE,"0000"),2)</f>
        <v>03</v>
      </c>
      <c r="P268" s="26" t="str">
        <f>RIGHT(IF($E268&lt;&gt;"",_xlfn.XLOOKUP($E268,$C$4:$C$681,$B$4:$B$681,"NO LABEL"),BIN2HEX(IF(N268="CarryEn","1","0")&amp;IF(M268="SubXY","1","0")&amp;IF(H268&lt;&gt;"",VLOOKUP(H268,Ops!$F$2:'Ops'!$G$20,2,FALSE),"000000"),2)),2)</f>
        <v>00</v>
      </c>
      <c r="Q268" s="26" t="str" cm="1">
        <f t="array" ref="Q268">BIN2HEX(_xlfn.IFS(D268="HWINTEN","10",G268="KeyAck","01",G268="InitLp8","01",TRUE,"00")&amp;IF(OR(Ops!$O$2:'Ops'!$O$13=K268),VLOOKUP(K268,Ops!$O$2:'Ops'!$P$13,2,FALSE),"000")&amp;IF(E268&lt;&gt;"",IF(LEN(_xlfn.XLOOKUP($E268,$C$5:$C$681,$B$5:$B$681,0))=3,HEX2BIN(LEFT(_xlfn.XLOOKUP($E268,$C$5:$C$681,$B$5:$B$681,0),1),3),IF(OR(Ops!$L$2:'Ops'!$L$11=J268),VLOOKUP(J268,Ops!$L$2:'Ops'!$M$11,2,FALSE),"000")),IF(OR(Ops!$L$2:'Ops'!$L$11=J268),VLOOKUP(J268,Ops!$L$2:'Ops'!$M$11,2,FALSE),"000")),2)</f>
        <v>1B</v>
      </c>
      <c r="R268" s="27"/>
      <c r="Z268" s="74" t="str">
        <f>IF(O268="", "};", "0x"&amp;O268&amp;",")</f>
        <v>0x03,</v>
      </c>
      <c r="AA268" s="75" t="str">
        <f t="shared" ref="AA268:AB271" si="93">"0x"&amp;P268&amp;","</f>
        <v>0x00,</v>
      </c>
      <c r="AB268" s="75" t="str">
        <f t="shared" si="93"/>
        <v>0x1B,</v>
      </c>
      <c r="AC268" s="76"/>
    </row>
    <row r="269" spans="1:29" x14ac:dyDescent="0.3">
      <c r="A269" s="79">
        <f t="shared" si="13"/>
        <v>813</v>
      </c>
      <c r="B269" s="80" t="str">
        <f>DEC2HEX(A269)</f>
        <v>32D</v>
      </c>
      <c r="C269" s="12"/>
      <c r="D269" s="29" t="s">
        <v>0</v>
      </c>
      <c r="E269" s="4" t="s">
        <v>15</v>
      </c>
      <c r="F269" s="29"/>
      <c r="G269" s="24"/>
      <c r="H269" s="29"/>
      <c r="M269" s="14"/>
      <c r="O269" s="25" t="str" cm="1">
        <f t="array" ref="O269">BIN2HEX(IF(I269&lt;&gt;"",VLOOKUP(I269,Ops!$I$2:'Ops'!$J$15,2,FALSE),IF(ISNUMBER(SEARCH("BR",D269)),"001","000"))&amp;IF(D269&lt;&gt;"",VLOOKUP(D269,Ops!$B$2:'Ops'!$C$23,2,FALSE),"0")&amp;_xlfn.IFS(ISNUMBER(SEARCH("BR",D269)),VLOOKUP(D269,Ops!$B$3:'Ops'!$D$22,3,FALSE),F269&lt;&gt;"",VLOOKUP(F269,Ops!$R$2:'Ops'!$S$11,2),L269&lt;&gt;"",VLOOKUP(L269,Ops!$R$2:'Ops'!$S$25,2,FALSE),TRUE,"0000"),2)</f>
        <v>10</v>
      </c>
      <c r="P269" s="26" t="str">
        <f>RIGHT(IF($E269&lt;&gt;"",_xlfn.XLOOKUP($E269,$C$4:$C$681,$B$4:$B$681,"NO LABEL"),BIN2HEX(IF(N269="CarryEn","1","0")&amp;IF(M269="SubXY","1","0")&amp;IF(H269&lt;&gt;"",VLOOKUP(H269,Ops!$F$2:'Ops'!$G$20,2,FALSE),"000000"),2)),2)</f>
        <v>33</v>
      </c>
      <c r="Q269" s="26" t="str" cm="1">
        <f t="array" ref="Q269">BIN2HEX(_xlfn.IFS(D269="HWINTEN","10",G269="KeyAck","01",G269="InitLp8","01",TRUE,"00")&amp;IF(OR(Ops!$O$2:'Ops'!$O$13=K269),VLOOKUP(K269,Ops!$O$2:'Ops'!$P$13,2,FALSE),"000")&amp;IF(E269&lt;&gt;"",IF(LEN(_xlfn.XLOOKUP($E269,$C$5:$C$681,$B$5:$B$681,0))=3,HEX2BIN(LEFT(_xlfn.XLOOKUP($E269,$C$5:$C$681,$B$5:$B$681,0),1),3),IF(OR(Ops!$L$2:'Ops'!$L$11=J269),VLOOKUP(J269,Ops!$L$2:'Ops'!$M$11,2,FALSE),"000")),IF(OR(Ops!$L$2:'Ops'!$L$11=J269),VLOOKUP(J269,Ops!$L$2:'Ops'!$M$11,2,FALSE),"000")),2)</f>
        <v>03</v>
      </c>
      <c r="R269" s="27"/>
      <c r="Z269" s="74" t="str">
        <f>IF(O269="", "};", "0x"&amp;O269&amp;",")</f>
        <v>0x10,</v>
      </c>
      <c r="AA269" s="75" t="str">
        <f t="shared" si="93"/>
        <v>0x33,</v>
      </c>
      <c r="AB269" s="75" t="str">
        <f t="shared" si="93"/>
        <v>0x03,</v>
      </c>
      <c r="AC269" s="76"/>
    </row>
    <row r="270" spans="1:29" x14ac:dyDescent="0.3">
      <c r="A270" s="79">
        <f t="shared" si="13"/>
        <v>816</v>
      </c>
      <c r="B270" s="80" t="str">
        <f>DEC2HEX(A270)</f>
        <v>330</v>
      </c>
      <c r="C270" s="4" t="s">
        <v>85</v>
      </c>
      <c r="D270" s="29"/>
      <c r="F270" s="29"/>
      <c r="G270" s="24"/>
      <c r="H270" s="29"/>
      <c r="J270" s="4" t="s">
        <v>421</v>
      </c>
      <c r="K270" s="4" t="s">
        <v>424</v>
      </c>
      <c r="L270" s="4" t="s">
        <v>423</v>
      </c>
      <c r="M270" s="14"/>
      <c r="O270" s="25" t="str" cm="1">
        <f t="array" ref="O270">BIN2HEX(IF(I270&lt;&gt;"",VLOOKUP(I270,Ops!$I$2:'Ops'!$J$15,2,FALSE),IF(ISNUMBER(SEARCH("BR",D270)),"001","000"))&amp;IF(D270&lt;&gt;"",VLOOKUP(D270,Ops!$B$2:'Ops'!$C$23,2,FALSE),"0")&amp;_xlfn.IFS(ISNUMBER(SEARCH("BR",D270)),VLOOKUP(D270,Ops!$B$3:'Ops'!$D$22,3,FALSE),F270&lt;&gt;"",VLOOKUP(F270,Ops!$R$2:'Ops'!$S$11,2),L270&lt;&gt;"",VLOOKUP(L270,Ops!$R$2:'Ops'!$S$25,2,FALSE),TRUE,"0000"),2)</f>
        <v>03</v>
      </c>
      <c r="P270" s="26" t="str">
        <f>RIGHT(IF($E270&lt;&gt;"",_xlfn.XLOOKUP($E270,$C$4:$C$681,$B$4:$B$681,"NO LABEL"),BIN2HEX(IF(N270="CarryEn","1","0")&amp;IF(M270="SubXY","1","0")&amp;IF(H270&lt;&gt;"",VLOOKUP(H270,Ops!$F$2:'Ops'!$G$20,2,FALSE),"000000"),2)),2)</f>
        <v>00</v>
      </c>
      <c r="Q270" s="26" t="str" cm="1">
        <f t="array" ref="Q270">BIN2HEX(_xlfn.IFS(D270="HWINTEN","10",G270="KeyAck","01",G270="InitLp8","01",TRUE,"00")&amp;IF(OR(Ops!$O$2:'Ops'!$O$13=K270),VLOOKUP(K270,Ops!$O$2:'Ops'!$P$13,2,FALSE),"000")&amp;IF(E270&lt;&gt;"",IF(LEN(_xlfn.XLOOKUP($E270,$C$5:$C$681,$B$5:$B$681,0))=3,HEX2BIN(LEFT(_xlfn.XLOOKUP($E270,$C$5:$C$681,$B$5:$B$681,0),1),3),IF(OR(Ops!$L$2:'Ops'!$L$11=J270),VLOOKUP(J270,Ops!$L$2:'Ops'!$M$11,2,FALSE),"000")),IF(OR(Ops!$L$2:'Ops'!$L$11=J270),VLOOKUP(J270,Ops!$L$2:'Ops'!$M$11,2,FALSE),"000")),2)</f>
        <v>03</v>
      </c>
      <c r="R270" s="27"/>
      <c r="Z270" s="74" t="str">
        <f>IF(O270="", "};", "0x"&amp;O270&amp;",")</f>
        <v>0x03,</v>
      </c>
      <c r="AA270" s="75" t="str">
        <f t="shared" si="93"/>
        <v>0x00,</v>
      </c>
      <c r="AB270" s="75" t="str">
        <f t="shared" si="93"/>
        <v>0x03,</v>
      </c>
      <c r="AC270" s="76"/>
    </row>
    <row r="271" spans="1:29" x14ac:dyDescent="0.3">
      <c r="A271" s="79">
        <f t="shared" si="13"/>
        <v>819</v>
      </c>
      <c r="B271" s="80" t="str">
        <f>DEC2HEX(A271)</f>
        <v>333</v>
      </c>
      <c r="C271" s="12" t="s">
        <v>15</v>
      </c>
      <c r="D271" s="29" t="s">
        <v>30</v>
      </c>
      <c r="E271" s="4" t="s">
        <v>413</v>
      </c>
      <c r="F271" s="29"/>
      <c r="G271" s="24"/>
      <c r="H271" s="29"/>
      <c r="M271" s="14"/>
      <c r="O271" s="25" t="str" cm="1">
        <f t="array" ref="O271">BIN2HEX(IF(I271&lt;&gt;"",VLOOKUP(I271,Ops!$I$2:'Ops'!$J$15,2,FALSE),IF(ISNUMBER(SEARCH("BR",D271)),"001","000"))&amp;IF(D271&lt;&gt;"",VLOOKUP(D271,Ops!$B$2:'Ops'!$C$23,2,FALSE),"0")&amp;_xlfn.IFS(ISNUMBER(SEARCH("BR",D271)),VLOOKUP(D271,Ops!$B$3:'Ops'!$D$22,3,FALSE),F271&lt;&gt;"",VLOOKUP(F271,Ops!$R$2:'Ops'!$S$11,2),L271&lt;&gt;"",VLOOKUP(L271,Ops!$R$2:'Ops'!$S$25,2,FALSE),TRUE,"0000"),2)</f>
        <v>32</v>
      </c>
      <c r="P271" s="26" t="str">
        <f>RIGHT(IF($E271&lt;&gt;"",_xlfn.XLOOKUP($E271,$C$4:$C$681,$B$4:$B$681,"NO LABEL"),BIN2HEX(IF(N271="CarryEn","1","0")&amp;IF(M271="SubXY","1","0")&amp;IF(H271&lt;&gt;"",VLOOKUP(H271,Ops!$F$2:'Ops'!$G$20,2,FALSE),"000000"),2)),2)</f>
        <v>3C</v>
      </c>
      <c r="Q271" s="26" t="str" cm="1">
        <f t="array" ref="Q271">BIN2HEX(_xlfn.IFS(D271="HWINTEN","10",G271="KeyAck","01",G271="InitLp8","01",TRUE,"00")&amp;IF(OR(Ops!$O$2:'Ops'!$O$13=K271),VLOOKUP(K271,Ops!$O$2:'Ops'!$P$13,2,FALSE),"000")&amp;IF(E271&lt;&gt;"",IF(LEN(_xlfn.XLOOKUP($E271,$C$5:$C$681,$B$5:$B$681,0))=3,HEX2BIN(LEFT(_xlfn.XLOOKUP($E271,$C$5:$C$681,$B$5:$B$681,0),1),3),IF(OR(Ops!$L$2:'Ops'!$L$11=J271),VLOOKUP(J271,Ops!$L$2:'Ops'!$M$11,2,FALSE),"000")),IF(OR(Ops!$L$2:'Ops'!$L$11=J271),VLOOKUP(J271,Ops!$L$2:'Ops'!$M$11,2,FALSE),"000")),2)</f>
        <v>03</v>
      </c>
      <c r="R271" s="27"/>
      <c r="S271" s="4" t="s">
        <v>418</v>
      </c>
      <c r="Z271" s="74" t="str">
        <f>IF(O271="", "};", "0x"&amp;O271&amp;",")</f>
        <v>0x32,</v>
      </c>
      <c r="AA271" s="75" t="str">
        <f t="shared" si="93"/>
        <v>0x3C,</v>
      </c>
      <c r="AB271" s="75" t="str">
        <f t="shared" si="93"/>
        <v>0x03,</v>
      </c>
      <c r="AC271" s="76"/>
    </row>
    <row r="272" spans="1:29" x14ac:dyDescent="0.3">
      <c r="A272" s="79">
        <f t="shared" si="13"/>
        <v>822</v>
      </c>
      <c r="B272" s="80" t="str">
        <f t="shared" si="89"/>
        <v>336</v>
      </c>
      <c r="C272" s="12"/>
      <c r="D272" s="29" t="s">
        <v>183</v>
      </c>
      <c r="E272" s="4" t="s">
        <v>239</v>
      </c>
      <c r="F272" s="29"/>
      <c r="G272" s="24"/>
      <c r="H272" s="29"/>
      <c r="M272" s="14"/>
      <c r="O272" s="25" t="str" cm="1">
        <f t="array" ref="O272">BIN2HEX(IF(I272&lt;&gt;"",VLOOKUP(I272,Ops!$I$2:'Ops'!$J$15,2,FALSE),IF(ISNUMBER(SEARCH("BR",D272)),"001","000"))&amp;IF(D272&lt;&gt;"",VLOOKUP(D272,Ops!$B$2:'Ops'!$C$23,2,FALSE),"0")&amp;_xlfn.IFS(ISNUMBER(SEARCH("BR",D272)),VLOOKUP(D272,Ops!$B$3:'Ops'!$D$22,3,FALSE),F272&lt;&gt;"",VLOOKUP(F272,Ops!$R$2:'Ops'!$S$11,2),L272&lt;&gt;"",VLOOKUP(L272,Ops!$R$2:'Ops'!$S$25,2,FALSE),TRUE,"0000"),2)</f>
        <v>37</v>
      </c>
      <c r="P272" s="26" t="str">
        <f>RIGHT(IF($E272&lt;&gt;"",_xlfn.XLOOKUP($E272,$C$4:$C$681,$B$4:$B$681,"NO LABEL"),BIN2HEX(IF(N272="CarryEn","1","0")&amp;IF(M272="SubXY","1","0")&amp;IF(H272&lt;&gt;"",VLOOKUP(H272,Ops!$F$2:'Ops'!$G$20,2,FALSE),"000000"),2)),2)</f>
        <v>45</v>
      </c>
      <c r="Q272" s="26" t="str" cm="1">
        <f t="array" ref="Q272">BIN2HEX(_xlfn.IFS(D272="HWINTEN","10",G272="KeyAck","01",G272="InitLp8","01",TRUE,"00")&amp;IF(OR(Ops!$O$2:'Ops'!$O$13=K272),VLOOKUP(K272,Ops!$O$2:'Ops'!$P$13,2,FALSE),"000")&amp;IF(E272&lt;&gt;"",IF(LEN(_xlfn.XLOOKUP($E272,$C$5:$C$681,$B$5:$B$681,0))=3,HEX2BIN(LEFT(_xlfn.XLOOKUP($E272,$C$5:$C$681,$B$5:$B$681,0),1),3),IF(OR(Ops!$L$2:'Ops'!$L$11=J272),VLOOKUP(J272,Ops!$L$2:'Ops'!$M$11,2,FALSE),"000")),IF(OR(Ops!$L$2:'Ops'!$L$11=J272),VLOOKUP(J272,Ops!$L$2:'Ops'!$M$11,2,FALSE),"000")),2)</f>
        <v>03</v>
      </c>
      <c r="R272" s="27"/>
      <c r="S272" s="4" t="s">
        <v>249</v>
      </c>
      <c r="Z272" s="74" t="str">
        <f t="shared" si="90"/>
        <v>0x37,</v>
      </c>
      <c r="AA272" s="75" t="str">
        <f t="shared" si="91"/>
        <v>0x45,</v>
      </c>
      <c r="AB272" s="75" t="str">
        <f t="shared" si="92"/>
        <v>0x03,</v>
      </c>
      <c r="AC272" s="76"/>
    </row>
    <row r="273" spans="1:29" x14ac:dyDescent="0.3">
      <c r="A273" s="79">
        <f t="shared" si="13"/>
        <v>825</v>
      </c>
      <c r="B273" s="80" t="str">
        <f t="shared" si="89"/>
        <v>339</v>
      </c>
      <c r="D273" s="29" t="s">
        <v>0</v>
      </c>
      <c r="E273" s="4" t="s">
        <v>240</v>
      </c>
      <c r="F273" s="29"/>
      <c r="G273" s="24"/>
      <c r="H273" s="29"/>
      <c r="M273" s="14"/>
      <c r="O273" s="25" t="str" cm="1">
        <f t="array" ref="O273">BIN2HEX(IF(I273&lt;&gt;"",VLOOKUP(I273,Ops!$I$2:'Ops'!$J$15,2,FALSE),IF(ISNUMBER(SEARCH("BR",D273)),"001","000"))&amp;IF(D273&lt;&gt;"",VLOOKUP(D273,Ops!$B$2:'Ops'!$C$23,2,FALSE),"0")&amp;_xlfn.IFS(ISNUMBER(SEARCH("BR",D273)),VLOOKUP(D273,Ops!$B$3:'Ops'!$D$22,3,FALSE),F273&lt;&gt;"",VLOOKUP(F273,Ops!$R$2:'Ops'!$S$11,2),L273&lt;&gt;"",VLOOKUP(L273,Ops!$R$2:'Ops'!$S$25,2,FALSE),TRUE,"0000"),2)</f>
        <v>10</v>
      </c>
      <c r="P273" s="26" t="str">
        <f>RIGHT(IF($E273&lt;&gt;"",_xlfn.XLOOKUP($E273,$C$4:$C$681,$B$4:$B$681,"NO LABEL"),BIN2HEX(IF(N273="CarryEn","1","0")&amp;IF(M273="SubXY","1","0")&amp;IF(H273&lt;&gt;"",VLOOKUP(H273,Ops!$F$2:'Ops'!$G$20,2,FALSE),"000000"),2)),2)</f>
        <v>4E</v>
      </c>
      <c r="Q273" s="26" t="str" cm="1">
        <f t="array" ref="Q273">BIN2HEX(_xlfn.IFS(D273="HWINTEN","10",G273="KeyAck","01",G273="InitLp8","01",TRUE,"00")&amp;IF(OR(Ops!$O$2:'Ops'!$O$13=K273),VLOOKUP(K273,Ops!$O$2:'Ops'!$P$13,2,FALSE),"000")&amp;IF(E273&lt;&gt;"",IF(LEN(_xlfn.XLOOKUP($E273,$C$5:$C$681,$B$5:$B$681,0))=3,HEX2BIN(LEFT(_xlfn.XLOOKUP($E273,$C$5:$C$681,$B$5:$B$681,0),1),3),IF(OR(Ops!$L$2:'Ops'!$L$11=J273),VLOOKUP(J273,Ops!$L$2:'Ops'!$M$11,2,FALSE),"000")),IF(OR(Ops!$L$2:'Ops'!$L$11=J273),VLOOKUP(J273,Ops!$L$2:'Ops'!$M$11,2,FALSE),"000")),2)</f>
        <v>03</v>
      </c>
      <c r="R273" s="27"/>
      <c r="S273" s="4" t="s">
        <v>242</v>
      </c>
      <c r="Z273" s="74" t="str">
        <f t="shared" si="90"/>
        <v>0x10,</v>
      </c>
      <c r="AA273" s="75" t="str">
        <f t="shared" si="91"/>
        <v>0x4E,</v>
      </c>
      <c r="AB273" s="75" t="str">
        <f t="shared" si="92"/>
        <v>0x03,</v>
      </c>
      <c r="AC273" s="76"/>
    </row>
    <row r="274" spans="1:29" x14ac:dyDescent="0.3">
      <c r="A274" s="79">
        <f t="shared" si="13"/>
        <v>828</v>
      </c>
      <c r="B274" s="80" t="str">
        <f t="shared" si="89"/>
        <v>33C</v>
      </c>
      <c r="C274" s="4" t="s">
        <v>413</v>
      </c>
      <c r="D274" s="29"/>
      <c r="F274" s="29"/>
      <c r="G274" s="24"/>
      <c r="H274" s="29"/>
      <c r="J274" s="4" t="s">
        <v>314</v>
      </c>
      <c r="K274" s="4" t="s">
        <v>313</v>
      </c>
      <c r="L274" s="4" t="s">
        <v>180</v>
      </c>
      <c r="M274" s="14"/>
      <c r="O274" s="25" t="str" cm="1">
        <f t="array" ref="O274">BIN2HEX(IF(I274&lt;&gt;"",VLOOKUP(I274,Ops!$I$2:'Ops'!$J$15,2,FALSE),IF(ISNUMBER(SEARCH("BR",D274)),"001","000"))&amp;IF(D274&lt;&gt;"",VLOOKUP(D274,Ops!$B$2:'Ops'!$C$23,2,FALSE),"0")&amp;_xlfn.IFS(ISNUMBER(SEARCH("BR",D274)),VLOOKUP(D274,Ops!$B$3:'Ops'!$D$22,3,FALSE),F274&lt;&gt;"",VLOOKUP(F274,Ops!$R$2:'Ops'!$S$11,2),L274&lt;&gt;"",VLOOKUP(L274,Ops!$R$2:'Ops'!$S$25,2,FALSE),TRUE,"0000"),2)</f>
        <v>01</v>
      </c>
      <c r="P274" s="26" t="str">
        <f>RIGHT(IF($E274&lt;&gt;"",_xlfn.XLOOKUP($E274,$C$4:$C$681,$B$4:$B$681,"NO LABEL"),BIN2HEX(IF(N274="CarryEn","1","0")&amp;IF(M274="SubXY","1","0")&amp;IF(H274&lt;&gt;"",VLOOKUP(H274,Ops!$F$2:'Ops'!$G$20,2,FALSE),"000000"),2)),2)</f>
        <v>00</v>
      </c>
      <c r="Q274" s="26" t="str" cm="1">
        <f t="array" ref="Q274">BIN2HEX(_xlfn.IFS(D274="HWINTEN","10",G274="KeyAck","01",G274="InitLp8","01",TRUE,"00")&amp;IF(OR(Ops!$O$2:'Ops'!$O$13=K274),VLOOKUP(K274,Ops!$O$2:'Ops'!$P$13,2,FALSE),"000")&amp;IF(E274&lt;&gt;"",IF(LEN(_xlfn.XLOOKUP($E274,$C$5:$C$681,$B$5:$B$681,0))=3,HEX2BIN(LEFT(_xlfn.XLOOKUP($E274,$C$5:$C$681,$B$5:$B$681,0),1),3),IF(OR(Ops!$L$2:'Ops'!$L$11=J274),VLOOKUP(J274,Ops!$L$2:'Ops'!$M$11,2,FALSE),"000")),IF(OR(Ops!$L$2:'Ops'!$L$11=J274),VLOOKUP(J274,Ops!$L$2:'Ops'!$M$11,2,FALSE),"000")),2)</f>
        <v>36</v>
      </c>
      <c r="R274" s="27"/>
      <c r="S274" s="4" t="s">
        <v>419</v>
      </c>
      <c r="Z274" s="74" t="str">
        <f t="shared" si="90"/>
        <v>0x01,</v>
      </c>
      <c r="AA274" s="75" t="str">
        <f t="shared" si="91"/>
        <v>0x00,</v>
      </c>
      <c r="AB274" s="75" t="str">
        <f t="shared" si="92"/>
        <v>0x36,</v>
      </c>
      <c r="AC274" s="76"/>
    </row>
    <row r="275" spans="1:29" x14ac:dyDescent="0.3">
      <c r="A275" s="79">
        <f t="shared" si="13"/>
        <v>831</v>
      </c>
      <c r="B275" s="80" t="str">
        <f t="shared" si="89"/>
        <v>33F</v>
      </c>
      <c r="C275" s="3"/>
      <c r="D275" s="29"/>
      <c r="F275" s="29"/>
      <c r="G275" s="24"/>
      <c r="H275" s="29"/>
      <c r="J275" s="4" t="s">
        <v>421</v>
      </c>
      <c r="K275" s="4" t="s">
        <v>422</v>
      </c>
      <c r="L275" s="4" t="s">
        <v>24</v>
      </c>
      <c r="M275" s="14"/>
      <c r="O275" s="25" t="str" cm="1">
        <f t="array" ref="O275">BIN2HEX(IF(I275&lt;&gt;"",VLOOKUP(I275,Ops!$I$2:'Ops'!$J$15,2,FALSE),IF(ISNUMBER(SEARCH("BR",D275)),"001","000"))&amp;IF(D275&lt;&gt;"",VLOOKUP(D275,Ops!$B$2:'Ops'!$C$23,2,FALSE),"0")&amp;_xlfn.IFS(ISNUMBER(SEARCH("BR",D275)),VLOOKUP(D275,Ops!$B$3:'Ops'!$D$22,3,FALSE),F275&lt;&gt;"",VLOOKUP(F275,Ops!$R$2:'Ops'!$S$11,2),L275&lt;&gt;"",VLOOKUP(L275,Ops!$R$2:'Ops'!$S$25,2,FALSE),TRUE,"0000"),2)</f>
        <v>00</v>
      </c>
      <c r="P275" s="26" t="str">
        <f>RIGHT(IF($E275&lt;&gt;"",_xlfn.XLOOKUP($E275,$C$4:$C$681,$B$4:$B$681,"NO LABEL"),BIN2HEX(IF(N275="CarryEn","1","0")&amp;IF(M275="SubXY","1","0")&amp;IF(H275&lt;&gt;"",VLOOKUP(H275,Ops!$F$2:'Ops'!$G$20,2,FALSE),"000000"),2)),2)</f>
        <v>00</v>
      </c>
      <c r="Q275" s="26" t="str" cm="1">
        <f t="array" ref="Q275">BIN2HEX(_xlfn.IFS(D275="HWINTEN","10",G275="KeyAck","01",G275="InitLp8","01",TRUE,"00")&amp;IF(OR(Ops!$O$2:'Ops'!$O$13=K275),VLOOKUP(K275,Ops!$O$2:'Ops'!$P$13,2,FALSE),"000")&amp;IF(E275&lt;&gt;"",IF(LEN(_xlfn.XLOOKUP($E275,$C$5:$C$681,$B$5:$B$681,0))=3,HEX2BIN(LEFT(_xlfn.XLOOKUP($E275,$C$5:$C$681,$B$5:$B$681,0),1),3),IF(OR(Ops!$L$2:'Ops'!$L$11=J275),VLOOKUP(J275,Ops!$L$2:'Ops'!$M$11,2,FALSE),"000")),IF(OR(Ops!$L$2:'Ops'!$L$11=J275),VLOOKUP(J275,Ops!$L$2:'Ops'!$M$11,2,FALSE),"000")),2)</f>
        <v>1B</v>
      </c>
      <c r="R275" s="27"/>
      <c r="Z275" s="74" t="str">
        <f t="shared" si="90"/>
        <v>0x00,</v>
      </c>
      <c r="AA275" s="75" t="str">
        <f t="shared" si="91"/>
        <v>0x00,</v>
      </c>
      <c r="AB275" s="75" t="str">
        <f t="shared" si="92"/>
        <v>0x1B,</v>
      </c>
      <c r="AC275" s="76"/>
    </row>
    <row r="276" spans="1:29" x14ac:dyDescent="0.3">
      <c r="A276" s="79">
        <f t="shared" si="13"/>
        <v>834</v>
      </c>
      <c r="B276" s="80" t="str">
        <f t="shared" si="89"/>
        <v>342</v>
      </c>
      <c r="C276" s="3"/>
      <c r="D276" s="29" t="s">
        <v>0</v>
      </c>
      <c r="E276" s="4" t="s">
        <v>240</v>
      </c>
      <c r="F276" s="29"/>
      <c r="G276" s="24"/>
      <c r="H276" s="29"/>
      <c r="M276" s="14"/>
      <c r="O276" s="25" t="str" cm="1">
        <f t="array" ref="O276">BIN2HEX(IF(I276&lt;&gt;"",VLOOKUP(I276,Ops!$I$2:'Ops'!$J$15,2,FALSE),IF(ISNUMBER(SEARCH("BR",D276)),"001","000"))&amp;IF(D276&lt;&gt;"",VLOOKUP(D276,Ops!$B$2:'Ops'!$C$23,2,FALSE),"0")&amp;_xlfn.IFS(ISNUMBER(SEARCH("BR",D276)),VLOOKUP(D276,Ops!$B$3:'Ops'!$D$22,3,FALSE),F276&lt;&gt;"",VLOOKUP(F276,Ops!$R$2:'Ops'!$S$11,2),L276&lt;&gt;"",VLOOKUP(L276,Ops!$R$2:'Ops'!$S$25,2,FALSE),TRUE,"0000"),2)</f>
        <v>10</v>
      </c>
      <c r="P276" s="26" t="str">
        <f>RIGHT(IF($E276&lt;&gt;"",_xlfn.XLOOKUP($E276,$C$4:$C$681,$B$4:$B$681,"NO LABEL"),BIN2HEX(IF(N276="CarryEn","1","0")&amp;IF(M276="SubXY","1","0")&amp;IF(H276&lt;&gt;"",VLOOKUP(H276,Ops!$F$2:'Ops'!$G$20,2,FALSE),"000000"),2)),2)</f>
        <v>4E</v>
      </c>
      <c r="Q276" s="26" t="str" cm="1">
        <f t="array" ref="Q276">BIN2HEX(_xlfn.IFS(D276="HWINTEN","10",G276="KeyAck","01",G276="InitLp8","01",TRUE,"00")&amp;IF(OR(Ops!$O$2:'Ops'!$O$13=K276),VLOOKUP(K276,Ops!$O$2:'Ops'!$P$13,2,FALSE),"000")&amp;IF(E276&lt;&gt;"",IF(LEN(_xlfn.XLOOKUP($E276,$C$5:$C$681,$B$5:$B$681,0))=3,HEX2BIN(LEFT(_xlfn.XLOOKUP($E276,$C$5:$C$681,$B$5:$B$681,0),1),3),IF(OR(Ops!$L$2:'Ops'!$L$11=J276),VLOOKUP(J276,Ops!$L$2:'Ops'!$M$11,2,FALSE),"000")),IF(OR(Ops!$L$2:'Ops'!$L$11=J276),VLOOKUP(J276,Ops!$L$2:'Ops'!$M$11,2,FALSE),"000")),2)</f>
        <v>03</v>
      </c>
      <c r="R276" s="27"/>
      <c r="Z276" s="74" t="str">
        <f t="shared" si="90"/>
        <v>0x10,</v>
      </c>
      <c r="AA276" s="75" t="str">
        <f t="shared" si="91"/>
        <v>0x4E,</v>
      </c>
      <c r="AB276" s="75" t="str">
        <f t="shared" si="92"/>
        <v>0x03,</v>
      </c>
      <c r="AC276" s="76"/>
    </row>
    <row r="277" spans="1:29" x14ac:dyDescent="0.3">
      <c r="A277" s="79">
        <f t="shared" si="13"/>
        <v>837</v>
      </c>
      <c r="B277" s="80" t="str">
        <f t="shared" si="89"/>
        <v>345</v>
      </c>
      <c r="C277" s="4" t="s">
        <v>239</v>
      </c>
      <c r="D277" s="29"/>
      <c r="F277" s="29"/>
      <c r="G277" s="24"/>
      <c r="H277" s="29"/>
      <c r="J277" s="4" t="s">
        <v>421</v>
      </c>
      <c r="K277" s="4" t="s">
        <v>422</v>
      </c>
      <c r="L277" s="4" t="s">
        <v>24</v>
      </c>
      <c r="M277" s="14"/>
      <c r="O277" s="25" t="str" cm="1">
        <f t="array" ref="O277">BIN2HEX(IF(I277&lt;&gt;"",VLOOKUP(I277,Ops!$I$2:'Ops'!$J$15,2,FALSE),IF(ISNUMBER(SEARCH("BR",D277)),"001","000"))&amp;IF(D277&lt;&gt;"",VLOOKUP(D277,Ops!$B$2:'Ops'!$C$23,2,FALSE),"0")&amp;_xlfn.IFS(ISNUMBER(SEARCH("BR",D277)),VLOOKUP(D277,Ops!$B$3:'Ops'!$D$22,3,FALSE),F277&lt;&gt;"",VLOOKUP(F277,Ops!$R$2:'Ops'!$S$11,2),L277&lt;&gt;"",VLOOKUP(L277,Ops!$R$2:'Ops'!$S$25,2,FALSE),TRUE,"0000"),2)</f>
        <v>00</v>
      </c>
      <c r="P277" s="26" t="str">
        <f>RIGHT(IF($E277&lt;&gt;"",_xlfn.XLOOKUP($E277,$C$4:$C$681,$B$4:$B$681,"NO LABEL"),BIN2HEX(IF(N277="CarryEn","1","0")&amp;IF(M277="SubXY","1","0")&amp;IF(H277&lt;&gt;"",VLOOKUP(H277,Ops!$F$2:'Ops'!$G$20,2,FALSE),"000000"),2)),2)</f>
        <v>00</v>
      </c>
      <c r="Q277" s="26" t="str" cm="1">
        <f t="array" ref="Q277">BIN2HEX(_xlfn.IFS(D277="HWINTEN","10",G277="KeyAck","01",G277="InitLp8","01",TRUE,"00")&amp;IF(OR(Ops!$O$2:'Ops'!$O$13=K277),VLOOKUP(K277,Ops!$O$2:'Ops'!$P$13,2,FALSE),"000")&amp;IF(E277&lt;&gt;"",IF(LEN(_xlfn.XLOOKUP($E277,$C$5:$C$681,$B$5:$B$681,0))=3,HEX2BIN(LEFT(_xlfn.XLOOKUP($E277,$C$5:$C$681,$B$5:$B$681,0),1),3),IF(OR(Ops!$L$2:'Ops'!$L$11=J277),VLOOKUP(J277,Ops!$L$2:'Ops'!$M$11,2,FALSE),"000")),IF(OR(Ops!$L$2:'Ops'!$L$11=J277),VLOOKUP(J277,Ops!$L$2:'Ops'!$M$11,2,FALSE),"000")),2)</f>
        <v>1B</v>
      </c>
      <c r="R277" s="27"/>
      <c r="S277" s="4" t="s">
        <v>241</v>
      </c>
      <c r="Z277" s="74" t="str">
        <f t="shared" si="90"/>
        <v>0x00,</v>
      </c>
      <c r="AA277" s="75" t="str">
        <f t="shared" si="91"/>
        <v>0x00,</v>
      </c>
      <c r="AB277" s="75" t="str">
        <f t="shared" si="92"/>
        <v>0x1B,</v>
      </c>
      <c r="AC277" s="76"/>
    </row>
    <row r="278" spans="1:29" x14ac:dyDescent="0.3">
      <c r="A278" s="79">
        <f t="shared" si="13"/>
        <v>840</v>
      </c>
      <c r="B278" s="80" t="str">
        <f t="shared" ref="B278:B292" si="94">DEC2HEX(A278)</f>
        <v>348</v>
      </c>
      <c r="D278" s="29"/>
      <c r="F278" s="29"/>
      <c r="G278" s="24"/>
      <c r="H278" s="29"/>
      <c r="J278" s="4" t="s">
        <v>314</v>
      </c>
      <c r="L278" s="4" t="s">
        <v>311</v>
      </c>
      <c r="M278" s="14"/>
      <c r="O278" s="25" t="str" cm="1">
        <f t="array" ref="O278">BIN2HEX(IF(I278&lt;&gt;"",VLOOKUP(I278,Ops!$I$2:'Ops'!$J$15,2,FALSE),IF(ISNUMBER(SEARCH("BR",D278)),"001","000"))&amp;IF(D278&lt;&gt;"",VLOOKUP(D278,Ops!$B$2:'Ops'!$C$23,2,FALSE),"0")&amp;_xlfn.IFS(ISNUMBER(SEARCH("BR",D278)),VLOOKUP(D278,Ops!$B$3:'Ops'!$D$22,3,FALSE),F278&lt;&gt;"",VLOOKUP(F278,Ops!$R$2:'Ops'!$S$11,2),L278&lt;&gt;"",VLOOKUP(L278,Ops!$R$2:'Ops'!$S$25,2,FALSE),TRUE,"0000"),2)</f>
        <v>04</v>
      </c>
      <c r="P278" s="26" t="str">
        <f>RIGHT(IF($E278&lt;&gt;"",_xlfn.XLOOKUP($E278,$C$4:$C$681,$B$4:$B$681,"NO LABEL"),BIN2HEX(IF(N278="CarryEn","1","0")&amp;IF(M278="SubXY","1","0")&amp;IF(H278&lt;&gt;"",VLOOKUP(H278,Ops!$F$2:'Ops'!$G$20,2,FALSE),"000000"),2)),2)</f>
        <v>00</v>
      </c>
      <c r="Q278" s="26" t="str" cm="1">
        <f t="array" ref="Q278">BIN2HEX(_xlfn.IFS(D278="HWINTEN","10",G278="KeyAck","01",G278="InitLp8","01",TRUE,"00")&amp;IF(OR(Ops!$O$2:'Ops'!$O$13=K278),VLOOKUP(K278,Ops!$O$2:'Ops'!$P$13,2,FALSE),"000")&amp;IF(E278&lt;&gt;"",IF(LEN(_xlfn.XLOOKUP($E278,$C$5:$C$681,$B$5:$B$681,0))=3,HEX2BIN(LEFT(_xlfn.XLOOKUP($E278,$C$5:$C$681,$B$5:$B$681,0),1),3),IF(OR(Ops!$L$2:'Ops'!$L$11=J278),VLOOKUP(J278,Ops!$L$2:'Ops'!$M$11,2,FALSE),"000")),IF(OR(Ops!$L$2:'Ops'!$L$11=J278),VLOOKUP(J278,Ops!$L$2:'Ops'!$M$11,2,FALSE),"000")),2)</f>
        <v>06</v>
      </c>
      <c r="R278" s="27"/>
      <c r="S278" s="4" t="s">
        <v>243</v>
      </c>
      <c r="Z278" s="74" t="str">
        <f t="shared" si="90"/>
        <v>0x04,</v>
      </c>
      <c r="AA278" s="75" t="str">
        <f t="shared" si="91"/>
        <v>0x00,</v>
      </c>
      <c r="AB278" s="75" t="str">
        <f t="shared" si="92"/>
        <v>0x06,</v>
      </c>
      <c r="AC278" s="76"/>
    </row>
    <row r="279" spans="1:29" x14ac:dyDescent="0.3">
      <c r="A279" s="79">
        <f t="shared" si="13"/>
        <v>843</v>
      </c>
      <c r="B279" s="80" t="str">
        <f t="shared" si="94"/>
        <v>34B</v>
      </c>
      <c r="D279" s="29"/>
      <c r="F279" s="29"/>
      <c r="G279" s="24"/>
      <c r="H279" s="29"/>
      <c r="J279" s="4" t="s">
        <v>314</v>
      </c>
      <c r="K279" s="4" t="s">
        <v>313</v>
      </c>
      <c r="L279" s="4" t="s">
        <v>312</v>
      </c>
      <c r="M279" s="14"/>
      <c r="O279" s="25" t="str" cm="1">
        <f t="array" ref="O279">BIN2HEX(IF(I279&lt;&gt;"",VLOOKUP(I279,Ops!$I$2:'Ops'!$J$15,2,FALSE),IF(ISNUMBER(SEARCH("BR",D279)),"001","000"))&amp;IF(D279&lt;&gt;"",VLOOKUP(D279,Ops!$B$2:'Ops'!$C$23,2,FALSE),"0")&amp;_xlfn.IFS(ISNUMBER(SEARCH("BR",D279)),VLOOKUP(D279,Ops!$B$3:'Ops'!$D$22,3,FALSE),F279&lt;&gt;"",VLOOKUP(F279,Ops!$R$2:'Ops'!$S$11,2),L279&lt;&gt;"",VLOOKUP(L279,Ops!$R$2:'Ops'!$S$25,2,FALSE),TRUE,"0000"),2)</f>
        <v>03</v>
      </c>
      <c r="P279" s="26" t="str">
        <f>RIGHT(IF($E279&lt;&gt;"",_xlfn.XLOOKUP($E279,$C$4:$C$681,$B$4:$B$681,"NO LABEL"),BIN2HEX(IF(N279="CarryEn","1","0")&amp;IF(M279="SubXY","1","0")&amp;IF(H279&lt;&gt;"",VLOOKUP(H279,Ops!$F$2:'Ops'!$G$20,2,FALSE),"000000"),2)),2)</f>
        <v>00</v>
      </c>
      <c r="Q279" s="26" t="str" cm="1">
        <f t="array" ref="Q279">BIN2HEX(_xlfn.IFS(D279="HWINTEN","10",G279="KeyAck","01",G279="InitLp8","01",TRUE,"00")&amp;IF(OR(Ops!$O$2:'Ops'!$O$13=K279),VLOOKUP(K279,Ops!$O$2:'Ops'!$P$13,2,FALSE),"000")&amp;IF(E279&lt;&gt;"",IF(LEN(_xlfn.XLOOKUP($E279,$C$5:$C$681,$B$5:$B$681,0))=3,HEX2BIN(LEFT(_xlfn.XLOOKUP($E279,$C$5:$C$681,$B$5:$B$681,0),1),3),IF(OR(Ops!$L$2:'Ops'!$L$11=J279),VLOOKUP(J279,Ops!$L$2:'Ops'!$M$11,2,FALSE),"000")),IF(OR(Ops!$L$2:'Ops'!$L$11=J279),VLOOKUP(J279,Ops!$L$2:'Ops'!$M$11,2,FALSE),"000")),2)</f>
        <v>36</v>
      </c>
      <c r="R279" s="27"/>
      <c r="Z279" s="74" t="str">
        <f t="shared" si="81"/>
        <v>0x03,</v>
      </c>
      <c r="AA279" s="75" t="str">
        <f t="shared" si="82"/>
        <v>0x00,</v>
      </c>
      <c r="AB279" s="75" t="str">
        <f t="shared" si="83"/>
        <v>0x36,</v>
      </c>
      <c r="AC279" s="76"/>
    </row>
    <row r="280" spans="1:29" x14ac:dyDescent="0.3">
      <c r="A280" s="79">
        <f t="shared" si="13"/>
        <v>846</v>
      </c>
      <c r="B280" s="80" t="str">
        <f t="shared" si="94"/>
        <v>34E</v>
      </c>
      <c r="C280" s="4" t="s">
        <v>240</v>
      </c>
      <c r="D280" s="29" t="s">
        <v>28</v>
      </c>
      <c r="E280" s="4" t="s">
        <v>273</v>
      </c>
      <c r="F280" s="29"/>
      <c r="G280" s="24"/>
      <c r="H280" s="29"/>
      <c r="M280" s="14"/>
      <c r="O280" s="25" t="str" cm="1">
        <f t="array" ref="O280">BIN2HEX(IF(I280&lt;&gt;"",VLOOKUP(I280,Ops!$I$2:'Ops'!$J$15,2,FALSE),IF(ISNUMBER(SEARCH("BR",D280)),"001","000"))&amp;IF(D280&lt;&gt;"",VLOOKUP(D280,Ops!$B$2:'Ops'!$C$23,2,FALSE),"0")&amp;_xlfn.IFS(ISNUMBER(SEARCH("BR",D280)),VLOOKUP(D280,Ops!$B$3:'Ops'!$D$22,3,FALSE),F280&lt;&gt;"",VLOOKUP(F280,Ops!$R$2:'Ops'!$S$11,2),L280&lt;&gt;"",VLOOKUP(L280,Ops!$R$2:'Ops'!$S$25,2,FALSE),TRUE,"0000"),2)</f>
        <v>31</v>
      </c>
      <c r="P280" s="26" t="str">
        <f>RIGHT(IF($E280&lt;&gt;"",_xlfn.XLOOKUP($E280,$C$4:$C$681,$B$4:$B$681,"NO LABEL"),BIN2HEX(IF(N280="CarryEn","1","0")&amp;IF(M280="SubXY","1","0")&amp;IF(H280&lt;&gt;"",VLOOKUP(H280,Ops!$F$2:'Ops'!$G$20,2,FALSE),"000000"),2)),2)</f>
        <v>5D</v>
      </c>
      <c r="Q280" s="26" t="str" cm="1">
        <f t="array" ref="Q280">BIN2HEX(_xlfn.IFS(D280="HWINTEN","10",G280="KeyAck","01",G280="InitLp8","01",TRUE,"00")&amp;IF(OR(Ops!$O$2:'Ops'!$O$13=K280),VLOOKUP(K280,Ops!$O$2:'Ops'!$P$13,2,FALSE),"000")&amp;IF(E280&lt;&gt;"",IF(LEN(_xlfn.XLOOKUP($E280,$C$5:$C$681,$B$5:$B$681,0))=3,HEX2BIN(LEFT(_xlfn.XLOOKUP($E280,$C$5:$C$681,$B$5:$B$681,0),1),3),IF(OR(Ops!$L$2:'Ops'!$L$11=J280),VLOOKUP(J280,Ops!$L$2:'Ops'!$M$11,2,FALSE),"000")),IF(OR(Ops!$L$2:'Ops'!$L$11=J280),VLOOKUP(J280,Ops!$L$2:'Ops'!$M$11,2,FALSE),"000")),2)</f>
        <v>03</v>
      </c>
      <c r="R280" s="27"/>
      <c r="S280" s="4" t="s">
        <v>230</v>
      </c>
      <c r="Z280" s="74" t="str">
        <f t="shared" si="81"/>
        <v>0x31,</v>
      </c>
      <c r="AA280" s="75" t="str">
        <f t="shared" si="82"/>
        <v>0x5D,</v>
      </c>
      <c r="AB280" s="75" t="str">
        <f t="shared" si="83"/>
        <v>0x03,</v>
      </c>
      <c r="AC280" s="76"/>
    </row>
    <row r="281" spans="1:29" x14ac:dyDescent="0.3">
      <c r="A281" s="79">
        <f t="shared" si="13"/>
        <v>849</v>
      </c>
      <c r="B281" s="80" t="str">
        <f t="shared" si="94"/>
        <v>351</v>
      </c>
      <c r="D281" s="29"/>
      <c r="F281" s="29"/>
      <c r="G281" s="24"/>
      <c r="H281" s="29" t="s">
        <v>55</v>
      </c>
      <c r="I281" s="4" t="s">
        <v>481</v>
      </c>
      <c r="L281" s="121">
        <v>0</v>
      </c>
      <c r="M281" s="14"/>
      <c r="O281" s="25" t="str" cm="1">
        <f t="array" ref="O281">BIN2HEX(IF(I281&lt;&gt;"",VLOOKUP(I281,Ops!$I$2:'Ops'!$J$15,2,FALSE),IF(ISNUMBER(SEARCH("BR",D281)),"001","000"))&amp;IF(D281&lt;&gt;"",VLOOKUP(D281,Ops!$B$2:'Ops'!$C$23,2,FALSE),"0")&amp;_xlfn.IFS(ISNUMBER(SEARCH("BR",D281)),VLOOKUP(D281,Ops!$B$3:'Ops'!$D$22,3,FALSE),F281&lt;&gt;"",VLOOKUP(F281,Ops!$R$2:'Ops'!$S$11,2),L281&lt;&gt;"",VLOOKUP(L281,Ops!$R$2:'Ops'!$S$25,2,FALSE),TRUE,"0000"),2)</f>
        <v>00</v>
      </c>
      <c r="P281" s="26" t="str">
        <f>RIGHT(IF($E281&lt;&gt;"",_xlfn.XLOOKUP($E281,$C$4:$C$681,$B$4:$B$681,"NO LABEL"),BIN2HEX(IF(N281="CarryEn","1","0")&amp;IF(M281="SubXY","1","0")&amp;IF(H281&lt;&gt;"",VLOOKUP(H281,Ops!$F$2:'Ops'!$G$20,2,FALSE),"000000"),2)),2)</f>
        <v>02</v>
      </c>
      <c r="Q281" s="26" t="str" cm="1">
        <f t="array" ref="Q281">BIN2HEX(_xlfn.IFS(D281="HWINTEN","10",G281="KeyAck","01",G281="InitLp8","01",TRUE,"00")&amp;IF(OR(Ops!$O$2:'Ops'!$O$13=K281),VLOOKUP(K281,Ops!$O$2:'Ops'!$P$13,2,FALSE),"000")&amp;IF(E281&lt;&gt;"",IF(LEN(_xlfn.XLOOKUP($E281,$C$5:$C$681,$B$5:$B$681,0))=3,HEX2BIN(LEFT(_xlfn.XLOOKUP($E281,$C$5:$C$681,$B$5:$B$681,0),1),3),IF(OR(Ops!$L$2:'Ops'!$L$11=J281),VLOOKUP(J281,Ops!$L$2:'Ops'!$M$11,2,FALSE),"000")),IF(OR(Ops!$L$2:'Ops'!$L$11=J281),VLOOKUP(J281,Ops!$L$2:'Ops'!$M$11,2,FALSE),"000")),2)</f>
        <v>00</v>
      </c>
      <c r="R281" s="27"/>
      <c r="S281" s="4" t="s">
        <v>285</v>
      </c>
      <c r="Z281" s="74" t="str">
        <f t="shared" si="81"/>
        <v>0x00,</v>
      </c>
      <c r="AA281" s="75" t="str">
        <f t="shared" si="82"/>
        <v>0x02,</v>
      </c>
      <c r="AB281" s="75" t="str">
        <f t="shared" si="83"/>
        <v>0x00,</v>
      </c>
      <c r="AC281" s="76"/>
    </row>
    <row r="282" spans="1:29" x14ac:dyDescent="0.3">
      <c r="A282" s="79">
        <f t="shared" si="13"/>
        <v>852</v>
      </c>
      <c r="B282" s="80" t="str">
        <f t="shared" si="94"/>
        <v>354</v>
      </c>
      <c r="C282" s="12"/>
      <c r="D282" s="29"/>
      <c r="F282" s="29"/>
      <c r="G282" s="24"/>
      <c r="H282" s="29"/>
      <c r="J282" s="4" t="s">
        <v>314</v>
      </c>
      <c r="K282" s="4" t="s">
        <v>313</v>
      </c>
      <c r="L282" s="4" t="s">
        <v>180</v>
      </c>
      <c r="M282" s="14"/>
      <c r="O282" s="25" t="str" cm="1">
        <f t="array" ref="O282">BIN2HEX(IF(I282&lt;&gt;"",VLOOKUP(I282,Ops!$I$2:'Ops'!$J$15,2,FALSE),IF(ISNUMBER(SEARCH("BR",D282)),"001","000"))&amp;IF(D282&lt;&gt;"",VLOOKUP(D282,Ops!$B$2:'Ops'!$C$23,2,FALSE),"0")&amp;_xlfn.IFS(ISNUMBER(SEARCH("BR",D282)),VLOOKUP(D282,Ops!$B$3:'Ops'!$D$22,3,FALSE),F282&lt;&gt;"",VLOOKUP(F282,Ops!$R$2:'Ops'!$S$11,2),L282&lt;&gt;"",VLOOKUP(L282,Ops!$R$2:'Ops'!$S$25,2,FALSE),TRUE,"0000"),2)</f>
        <v>01</v>
      </c>
      <c r="P282" s="26" t="str">
        <f>RIGHT(IF($E282&lt;&gt;"",_xlfn.XLOOKUP($E282,$C$4:$C$681,$B$4:$B$681,"NO LABEL"),BIN2HEX(IF(N282="CarryEn","1","0")&amp;IF(M282="SubXY","1","0")&amp;IF(H282&lt;&gt;"",VLOOKUP(H282,Ops!$F$2:'Ops'!$G$20,2,FALSE),"000000"),2)),2)</f>
        <v>00</v>
      </c>
      <c r="Q282" s="26" t="str" cm="1">
        <f t="array" ref="Q282">BIN2HEX(_xlfn.IFS(D282="HWINTEN","10",G282="KeyAck","01",G282="InitLp8","01",TRUE,"00")&amp;IF(OR(Ops!$O$2:'Ops'!$O$13=K282),VLOOKUP(K282,Ops!$O$2:'Ops'!$P$13,2,FALSE),"000")&amp;IF(E282&lt;&gt;"",IF(LEN(_xlfn.XLOOKUP($E282,$C$5:$C$681,$B$5:$B$681,0))=3,HEX2BIN(LEFT(_xlfn.XLOOKUP($E282,$C$5:$C$681,$B$5:$B$681,0),1),3),IF(OR(Ops!$L$2:'Ops'!$L$11=J282),VLOOKUP(J282,Ops!$L$2:'Ops'!$M$11,2,FALSE),"000")),IF(OR(Ops!$L$2:'Ops'!$L$11=J282),VLOOKUP(J282,Ops!$L$2:'Ops'!$M$11,2,FALSE),"000")),2)</f>
        <v>36</v>
      </c>
      <c r="R282" s="27"/>
      <c r="S282" s="4" t="s">
        <v>231</v>
      </c>
      <c r="Z282" s="74" t="str">
        <f t="shared" si="81"/>
        <v>0x01,</v>
      </c>
      <c r="AA282" s="75" t="str">
        <f t="shared" si="82"/>
        <v>0x00,</v>
      </c>
      <c r="AB282" s="75" t="str">
        <f t="shared" si="83"/>
        <v>0x36,</v>
      </c>
      <c r="AC282" s="76"/>
    </row>
    <row r="283" spans="1:29" x14ac:dyDescent="0.3">
      <c r="A283" s="79">
        <f t="shared" si="13"/>
        <v>855</v>
      </c>
      <c r="B283" s="80" t="str">
        <f t="shared" si="94"/>
        <v>357</v>
      </c>
      <c r="C283" s="12"/>
      <c r="D283" s="29"/>
      <c r="F283" s="29"/>
      <c r="G283" s="24"/>
      <c r="H283" s="29"/>
      <c r="J283" s="4" t="s">
        <v>314</v>
      </c>
      <c r="K283" s="4" t="s">
        <v>313</v>
      </c>
      <c r="L283" s="4" t="s">
        <v>181</v>
      </c>
      <c r="M283" s="14"/>
      <c r="O283" s="25" t="str" cm="1">
        <f t="array" ref="O283">BIN2HEX(IF(I283&lt;&gt;"",VLOOKUP(I283,Ops!$I$2:'Ops'!$J$15,2,FALSE),IF(ISNUMBER(SEARCH("BR",D283)),"001","000"))&amp;IF(D283&lt;&gt;"",VLOOKUP(D283,Ops!$B$2:'Ops'!$C$23,2,FALSE),"0")&amp;_xlfn.IFS(ISNUMBER(SEARCH("BR",D283)),VLOOKUP(D283,Ops!$B$3:'Ops'!$D$22,3,FALSE),F283&lt;&gt;"",VLOOKUP(F283,Ops!$R$2:'Ops'!$S$11,2),L283&lt;&gt;"",VLOOKUP(L283,Ops!$R$2:'Ops'!$S$25,2,FALSE),TRUE,"0000"),2)</f>
        <v>02</v>
      </c>
      <c r="P283" s="26" t="str">
        <f>RIGHT(IF($E283&lt;&gt;"",_xlfn.XLOOKUP($E283,$C$4:$C$681,$B$4:$B$681,"NO LABEL"),BIN2HEX(IF(N283="CarryEn","1","0")&amp;IF(M283="SubXY","1","0")&amp;IF(H283&lt;&gt;"",VLOOKUP(H283,Ops!$F$2:'Ops'!$G$20,2,FALSE),"000000"),2)),2)</f>
        <v>00</v>
      </c>
      <c r="Q283" s="26" t="str" cm="1">
        <f t="array" ref="Q283">BIN2HEX(_xlfn.IFS(D283="HWINTEN","10",G283="KeyAck","01",G283="InitLp8","01",TRUE,"00")&amp;IF(OR(Ops!$O$2:'Ops'!$O$13=K283),VLOOKUP(K283,Ops!$O$2:'Ops'!$P$13,2,FALSE),"000")&amp;IF(E283&lt;&gt;"",IF(LEN(_xlfn.XLOOKUP($E283,$C$5:$C$681,$B$5:$B$681,0))=3,HEX2BIN(LEFT(_xlfn.XLOOKUP($E283,$C$5:$C$681,$B$5:$B$681,0),1),3),IF(OR(Ops!$L$2:'Ops'!$L$11=J283),VLOOKUP(J283,Ops!$L$2:'Ops'!$M$11,2,FALSE),"000")),IF(OR(Ops!$L$2:'Ops'!$L$11=J283),VLOOKUP(J283,Ops!$L$2:'Ops'!$M$11,2,FALSE),"000")),2)</f>
        <v>36</v>
      </c>
      <c r="R283" s="27"/>
      <c r="Z283" s="74" t="str">
        <f t="shared" si="81"/>
        <v>0x02,</v>
      </c>
      <c r="AA283" s="75" t="str">
        <f t="shared" si="82"/>
        <v>0x00,</v>
      </c>
      <c r="AB283" s="75" t="str">
        <f t="shared" si="83"/>
        <v>0x36,</v>
      </c>
      <c r="AC283" s="76"/>
    </row>
    <row r="284" spans="1:29" x14ac:dyDescent="0.3">
      <c r="A284" s="79">
        <f t="shared" si="13"/>
        <v>858</v>
      </c>
      <c r="B284" s="80" t="str">
        <f t="shared" si="94"/>
        <v>35A</v>
      </c>
      <c r="D284" s="29" t="s">
        <v>0</v>
      </c>
      <c r="E284" s="4" t="s">
        <v>240</v>
      </c>
      <c r="F284" s="29"/>
      <c r="G284" s="24"/>
      <c r="H284" s="29"/>
      <c r="M284" s="14"/>
      <c r="O284" s="25" t="str" cm="1">
        <f t="array" ref="O284">BIN2HEX(IF(I284&lt;&gt;"",VLOOKUP(I284,Ops!$I$2:'Ops'!$J$15,2,FALSE),IF(ISNUMBER(SEARCH("BR",D284)),"001","000"))&amp;IF(D284&lt;&gt;"",VLOOKUP(D284,Ops!$B$2:'Ops'!$C$23,2,FALSE),"0")&amp;_xlfn.IFS(ISNUMBER(SEARCH("BR",D284)),VLOOKUP(D284,Ops!$B$3:'Ops'!$D$22,3,FALSE),F284&lt;&gt;"",VLOOKUP(F284,Ops!$R$2:'Ops'!$S$11,2),L284&lt;&gt;"",VLOOKUP(L284,Ops!$R$2:'Ops'!$S$25,2,FALSE),TRUE,"0000"),2)</f>
        <v>10</v>
      </c>
      <c r="P284" s="26" t="str">
        <f>RIGHT(IF($E284&lt;&gt;"",_xlfn.XLOOKUP($E284,$C$4:$C$681,$B$4:$B$681,"NO LABEL"),BIN2HEX(IF(N284="CarryEn","1","0")&amp;IF(M284="SubXY","1","0")&amp;IF(H284&lt;&gt;"",VLOOKUP(H284,Ops!$F$2:'Ops'!$G$20,2,FALSE),"000000"),2)),2)</f>
        <v>4E</v>
      </c>
      <c r="Q284" s="26" t="str" cm="1">
        <f t="array" ref="Q284">BIN2HEX(_xlfn.IFS(D284="HWINTEN","10",G284="KeyAck","01",G284="InitLp8","01",TRUE,"00")&amp;IF(OR(Ops!$O$2:'Ops'!$O$13=K284),VLOOKUP(K284,Ops!$O$2:'Ops'!$P$13,2,FALSE),"000")&amp;IF(E284&lt;&gt;"",IF(LEN(_xlfn.XLOOKUP($E284,$C$5:$C$681,$B$5:$B$681,0))=3,HEX2BIN(LEFT(_xlfn.XLOOKUP($E284,$C$5:$C$681,$B$5:$B$681,0),1),3),IF(OR(Ops!$L$2:'Ops'!$L$11=J284),VLOOKUP(J284,Ops!$L$2:'Ops'!$M$11,2,FALSE),"000")),IF(OR(Ops!$L$2:'Ops'!$L$11=J284),VLOOKUP(J284,Ops!$L$2:'Ops'!$M$11,2,FALSE),"000")),2)</f>
        <v>03</v>
      </c>
      <c r="R284" s="27"/>
      <c r="Z284" s="74" t="str">
        <f t="shared" si="81"/>
        <v>0x10,</v>
      </c>
      <c r="AA284" s="75" t="str">
        <f t="shared" si="82"/>
        <v>0x4E,</v>
      </c>
      <c r="AB284" s="75" t="str">
        <f t="shared" si="83"/>
        <v>0x03,</v>
      </c>
      <c r="AC284" s="76"/>
    </row>
    <row r="285" spans="1:29" x14ac:dyDescent="0.3">
      <c r="A285" s="79">
        <f t="shared" si="13"/>
        <v>861</v>
      </c>
      <c r="B285" s="80" t="str">
        <f t="shared" si="94"/>
        <v>35D</v>
      </c>
      <c r="C285" s="4" t="s">
        <v>273</v>
      </c>
      <c r="D285" s="29"/>
      <c r="F285" s="29"/>
      <c r="G285" s="24" t="s">
        <v>692</v>
      </c>
      <c r="H285" s="29"/>
      <c r="M285" s="14"/>
      <c r="O285" s="25" t="str" cm="1">
        <f t="array" ref="O285">BIN2HEX(IF(I285&lt;&gt;"",VLOOKUP(I285,Ops!$I$2:'Ops'!$J$15,2,FALSE),IF(ISNUMBER(SEARCH("BR",D285)),"001","000"))&amp;IF(D285&lt;&gt;"",VLOOKUP(D285,Ops!$B$2:'Ops'!$C$23,2,FALSE),"0")&amp;_xlfn.IFS(ISNUMBER(SEARCH("BR",D285)),VLOOKUP(D285,Ops!$B$3:'Ops'!$D$22,3,FALSE),F285&lt;&gt;"",VLOOKUP(F285,Ops!$R$2:'Ops'!$S$11,2),L285&lt;&gt;"",VLOOKUP(L285,Ops!$R$2:'Ops'!$S$25,2,FALSE),TRUE,"0000"),2)</f>
        <v>00</v>
      </c>
      <c r="P285" s="26" t="str">
        <f>RIGHT(IF($E285&lt;&gt;"",_xlfn.XLOOKUP($E285,$C$4:$C$681,$B$4:$B$681,"NO LABEL"),BIN2HEX(IF(N285="CarryEn","1","0")&amp;IF(M285="SubXY","1","0")&amp;IF(H285&lt;&gt;"",VLOOKUP(H285,Ops!$F$2:'Ops'!$G$20,2,FALSE),"000000"),2)),2)</f>
        <v>00</v>
      </c>
      <c r="Q285" s="26" t="str" cm="1">
        <f t="array" ref="Q285">BIN2HEX(_xlfn.IFS(D285="HWINTEN","10",G285="KeyAck","01",G285="InitLp8","01",TRUE,"00")&amp;IF(OR(Ops!$O$2:'Ops'!$O$13=K285),VLOOKUP(K285,Ops!$O$2:'Ops'!$P$13,2,FALSE),"000")&amp;IF(E285&lt;&gt;"",IF(LEN(_xlfn.XLOOKUP($E285,$C$5:$C$681,$B$5:$B$681,0))=3,HEX2BIN(LEFT(_xlfn.XLOOKUP($E285,$C$5:$C$681,$B$5:$B$681,0),1),3),IF(OR(Ops!$L$2:'Ops'!$L$11=J285),VLOOKUP(J285,Ops!$L$2:'Ops'!$M$11,2,FALSE),"000")),IF(OR(Ops!$L$2:'Ops'!$L$11=J285),VLOOKUP(J285,Ops!$L$2:'Ops'!$M$11,2,FALSE),"000")),2)</f>
        <v>40</v>
      </c>
      <c r="R285" s="27"/>
      <c r="S285" s="4" t="s">
        <v>339</v>
      </c>
      <c r="Z285" s="74" t="str">
        <f t="shared" si="81"/>
        <v>0x00,</v>
      </c>
      <c r="AA285" s="75" t="str">
        <f t="shared" si="82"/>
        <v>0x00,</v>
      </c>
      <c r="AB285" s="75" t="str">
        <f t="shared" si="83"/>
        <v>0x40,</v>
      </c>
      <c r="AC285" s="76"/>
    </row>
    <row r="286" spans="1:29" x14ac:dyDescent="0.3">
      <c r="A286" s="79">
        <f t="shared" si="13"/>
        <v>864</v>
      </c>
      <c r="B286" s="80" t="str">
        <f t="shared" si="94"/>
        <v>360</v>
      </c>
      <c r="D286" s="29" t="s">
        <v>251</v>
      </c>
      <c r="E286" s="4" t="s">
        <v>246</v>
      </c>
      <c r="F286" s="29"/>
      <c r="G286" s="24"/>
      <c r="H286" s="29"/>
      <c r="M286" s="14"/>
      <c r="O286" s="25" t="str" cm="1">
        <f t="array" ref="O286">BIN2HEX(IF(I286&lt;&gt;"",VLOOKUP(I286,Ops!$I$2:'Ops'!$J$15,2,FALSE),IF(ISNUMBER(SEARCH("BR",D286)),"001","000"))&amp;IF(D286&lt;&gt;"",VLOOKUP(D286,Ops!$B$2:'Ops'!$C$23,2,FALSE),"0")&amp;_xlfn.IFS(ISNUMBER(SEARCH("BR",D286)),VLOOKUP(D286,Ops!$B$3:'Ops'!$D$22,3,FALSE),F286&lt;&gt;"",VLOOKUP(F286,Ops!$R$2:'Ops'!$S$11,2),L286&lt;&gt;"",VLOOKUP(L286,Ops!$R$2:'Ops'!$S$25,2,FALSE),TRUE,"0000"),2)</f>
        <v>3F</v>
      </c>
      <c r="P286" s="26" t="str">
        <f>RIGHT(IF($E286&lt;&gt;"",_xlfn.XLOOKUP($E286,$C$4:$C$681,$B$4:$B$681,"NO LABEL"),BIN2HEX(IF(N286="CarryEn","1","0")&amp;IF(M286="SubXY","1","0")&amp;IF(H286&lt;&gt;"",VLOOKUP(H286,Ops!$F$2:'Ops'!$G$20,2,FALSE),"000000"),2)),2)</f>
        <v>69</v>
      </c>
      <c r="Q286" s="26" t="str" cm="1">
        <f t="array" ref="Q286">BIN2HEX(_xlfn.IFS(D286="HWINTEN","10",G286="KeyAck","01",G286="InitLp8","01",TRUE,"00")&amp;IF(OR(Ops!$O$2:'Ops'!$O$13=K286),VLOOKUP(K286,Ops!$O$2:'Ops'!$P$13,2,FALSE),"000")&amp;IF(E286&lt;&gt;"",IF(LEN(_xlfn.XLOOKUP($E286,$C$5:$C$681,$B$5:$B$681,0))=3,HEX2BIN(LEFT(_xlfn.XLOOKUP($E286,$C$5:$C$681,$B$5:$B$681,0),1),3),IF(OR(Ops!$L$2:'Ops'!$L$11=J286),VLOOKUP(J286,Ops!$L$2:'Ops'!$M$11,2,FALSE),"000")),IF(OR(Ops!$L$2:'Ops'!$L$11=J286),VLOOKUP(J286,Ops!$L$2:'Ops'!$M$11,2,FALSE),"000")),2)</f>
        <v>03</v>
      </c>
      <c r="R286" s="27"/>
      <c r="S286" s="4" t="s">
        <v>268</v>
      </c>
      <c r="Z286" s="74" t="str">
        <f t="shared" si="81"/>
        <v>0x3F,</v>
      </c>
      <c r="AA286" s="75" t="str">
        <f t="shared" si="82"/>
        <v>0x69,</v>
      </c>
      <c r="AB286" s="75" t="str">
        <f t="shared" si="83"/>
        <v>0x03,</v>
      </c>
      <c r="AC286" s="76"/>
    </row>
    <row r="287" spans="1:29" x14ac:dyDescent="0.3">
      <c r="A287" s="79">
        <f t="shared" si="13"/>
        <v>867</v>
      </c>
      <c r="B287" s="80" t="str">
        <f t="shared" si="94"/>
        <v>363</v>
      </c>
      <c r="C287" s="4" t="s">
        <v>247</v>
      </c>
      <c r="D287" s="29"/>
      <c r="F287" s="29"/>
      <c r="G287" s="24"/>
      <c r="H287" s="29" t="s">
        <v>468</v>
      </c>
      <c r="I287" s="4" t="s">
        <v>481</v>
      </c>
      <c r="L287" s="121">
        <v>0</v>
      </c>
      <c r="M287" s="14"/>
      <c r="O287" s="25" t="str" cm="1">
        <f t="array" ref="O287">BIN2HEX(IF(I287&lt;&gt;"",VLOOKUP(I287,Ops!$I$2:'Ops'!$J$15,2,FALSE),IF(ISNUMBER(SEARCH("BR",D287)),"001","000"))&amp;IF(D287&lt;&gt;"",VLOOKUP(D287,Ops!$B$2:'Ops'!$C$23,2,FALSE),"0")&amp;_xlfn.IFS(ISNUMBER(SEARCH("BR",D287)),VLOOKUP(D287,Ops!$B$3:'Ops'!$D$22,3,FALSE),F287&lt;&gt;"",VLOOKUP(F287,Ops!$R$2:'Ops'!$S$11,2),L287&lt;&gt;"",VLOOKUP(L287,Ops!$R$2:'Ops'!$S$25,2,FALSE),TRUE,"0000"),2)</f>
        <v>00</v>
      </c>
      <c r="P287" s="26" t="str">
        <f>RIGHT(IF($E287&lt;&gt;"",_xlfn.XLOOKUP($E287,$C$4:$C$681,$B$4:$B$681,"NO LABEL"),BIN2HEX(IF(N287="CarryEn","1","0")&amp;IF(M287="SubXY","1","0")&amp;IF(H287&lt;&gt;"",VLOOKUP(H287,Ops!$F$2:'Ops'!$G$20,2,FALSE),"000000"),2)),2)</f>
        <v>02</v>
      </c>
      <c r="Q287" s="26" t="str" cm="1">
        <f t="array" ref="Q287">BIN2HEX(_xlfn.IFS(D287="HWINTEN","10",G287="KeyAck","01",G287="InitLp8","01",TRUE,"00")&amp;IF(OR(Ops!$O$2:'Ops'!$O$13=K287),VLOOKUP(K287,Ops!$O$2:'Ops'!$P$13,2,FALSE),"000")&amp;IF(E287&lt;&gt;"",IF(LEN(_xlfn.XLOOKUP($E287,$C$5:$C$681,$B$5:$B$681,0))=3,HEX2BIN(LEFT(_xlfn.XLOOKUP($E287,$C$5:$C$681,$B$5:$B$681,0),1),3),IF(OR(Ops!$L$2:'Ops'!$L$11=J287),VLOOKUP(J287,Ops!$L$2:'Ops'!$M$11,2,FALSE),"000")),IF(OR(Ops!$L$2:'Ops'!$L$11=J287),VLOOKUP(J287,Ops!$L$2:'Ops'!$M$11,2,FALSE),"000")),2)</f>
        <v>00</v>
      </c>
      <c r="R287" s="27"/>
      <c r="S287" s="4" t="s">
        <v>261</v>
      </c>
      <c r="Z287" s="74" t="str">
        <f t="shared" si="81"/>
        <v>0x00,</v>
      </c>
      <c r="AA287" s="75" t="str">
        <f t="shared" si="82"/>
        <v>0x02,</v>
      </c>
      <c r="AB287" s="75" t="str">
        <f t="shared" si="83"/>
        <v>0x00,</v>
      </c>
      <c r="AC287" s="76"/>
    </row>
    <row r="288" spans="1:29" x14ac:dyDescent="0.3">
      <c r="A288" s="79">
        <f t="shared" si="13"/>
        <v>870</v>
      </c>
      <c r="B288" s="80" t="str">
        <f t="shared" si="94"/>
        <v>366</v>
      </c>
      <c r="D288" s="29"/>
      <c r="F288" s="29"/>
      <c r="G288" s="24"/>
      <c r="H288" s="29"/>
      <c r="J288" s="4" t="s">
        <v>314</v>
      </c>
      <c r="K288" s="4" t="s">
        <v>313</v>
      </c>
      <c r="L288" s="4" t="s">
        <v>181</v>
      </c>
      <c r="M288" s="14"/>
      <c r="O288" s="25" t="str" cm="1">
        <f t="array" ref="O288">BIN2HEX(IF(I288&lt;&gt;"",VLOOKUP(I288,Ops!$I$2:'Ops'!$J$15,2,FALSE),IF(ISNUMBER(SEARCH("BR",D288)),"001","000"))&amp;IF(D288&lt;&gt;"",VLOOKUP(D288,Ops!$B$2:'Ops'!$C$23,2,FALSE),"0")&amp;_xlfn.IFS(ISNUMBER(SEARCH("BR",D288)),VLOOKUP(D288,Ops!$B$3:'Ops'!$D$22,3,FALSE),F288&lt;&gt;"",VLOOKUP(F288,Ops!$R$2:'Ops'!$S$11,2),L288&lt;&gt;"",VLOOKUP(L288,Ops!$R$2:'Ops'!$S$25,2,FALSE),TRUE,"0000"),2)</f>
        <v>02</v>
      </c>
      <c r="P288" s="26" t="str">
        <f>RIGHT(IF($E288&lt;&gt;"",_xlfn.XLOOKUP($E288,$C$4:$C$681,$B$4:$B$681,"NO LABEL"),BIN2HEX(IF(N288="CarryEn","1","0")&amp;IF(M288="SubXY","1","0")&amp;IF(H288&lt;&gt;"",VLOOKUP(H288,Ops!$F$2:'Ops'!$G$20,2,FALSE),"000000"),2)),2)</f>
        <v>00</v>
      </c>
      <c r="Q288" s="26" t="str" cm="1">
        <f t="array" ref="Q288">BIN2HEX(_xlfn.IFS(D288="HWINTEN","10",G288="KeyAck","01",G288="InitLp8","01",TRUE,"00")&amp;IF(OR(Ops!$O$2:'Ops'!$O$13=K288),VLOOKUP(K288,Ops!$O$2:'Ops'!$P$13,2,FALSE),"000")&amp;IF(E288&lt;&gt;"",IF(LEN(_xlfn.XLOOKUP($E288,$C$5:$C$681,$B$5:$B$681,0))=3,HEX2BIN(LEFT(_xlfn.XLOOKUP($E288,$C$5:$C$681,$B$5:$B$681,0),1),3),IF(OR(Ops!$L$2:'Ops'!$L$11=J288),VLOOKUP(J288,Ops!$L$2:'Ops'!$M$11,2,FALSE),"000")),IF(OR(Ops!$L$2:'Ops'!$L$11=J288),VLOOKUP(J288,Ops!$L$2:'Ops'!$M$11,2,FALSE),"000")),2)</f>
        <v>36</v>
      </c>
      <c r="R288" s="27"/>
      <c r="Z288" s="74" t="str">
        <f t="shared" si="81"/>
        <v>0x02,</v>
      </c>
      <c r="AA288" s="75" t="str">
        <f t="shared" si="82"/>
        <v>0x00,</v>
      </c>
      <c r="AB288" s="75" t="str">
        <f t="shared" si="83"/>
        <v>0x36,</v>
      </c>
      <c r="AC288" s="76"/>
    </row>
    <row r="289" spans="1:29" x14ac:dyDescent="0.3">
      <c r="A289" s="79">
        <f t="shared" si="13"/>
        <v>873</v>
      </c>
      <c r="B289" s="80" t="str">
        <f t="shared" si="94"/>
        <v>369</v>
      </c>
      <c r="C289" s="4" t="s">
        <v>246</v>
      </c>
      <c r="D289" s="29"/>
      <c r="F289" s="29"/>
      <c r="G289" s="24"/>
      <c r="H289" s="29"/>
      <c r="I289" s="4" t="s">
        <v>290</v>
      </c>
      <c r="K289" s="4" t="s">
        <v>515</v>
      </c>
      <c r="M289" s="14"/>
      <c r="O289" s="25" t="str" cm="1">
        <f t="array" ref="O289">BIN2HEX(IF(I289&lt;&gt;"",VLOOKUP(I289,Ops!$I$2:'Ops'!$J$15,2,FALSE),IF(ISNUMBER(SEARCH("BR",D289)),"001","000"))&amp;IF(D289&lt;&gt;"",VLOOKUP(D289,Ops!$B$2:'Ops'!$C$23,2,FALSE),"0")&amp;_xlfn.IFS(ISNUMBER(SEARCH("BR",D289)),VLOOKUP(D289,Ops!$B$3:'Ops'!$D$22,3,FALSE),F289&lt;&gt;"",VLOOKUP(F289,Ops!$R$2:'Ops'!$S$11,2),L289&lt;&gt;"",VLOOKUP(L289,Ops!$R$2:'Ops'!$S$25,2,FALSE),TRUE,"0000"),2)</f>
        <v>40</v>
      </c>
      <c r="P289" s="26" t="str">
        <f>RIGHT(IF($E289&lt;&gt;"",_xlfn.XLOOKUP($E289,$C$4:$C$681,$B$4:$B$681,"NO LABEL"),BIN2HEX(IF(N289="CarryEn","1","0")&amp;IF(M289="SubXY","1","0")&amp;IF(H289&lt;&gt;"",VLOOKUP(H289,Ops!$F$2:'Ops'!$G$20,2,FALSE),"000000"),2)),2)</f>
        <v>00</v>
      </c>
      <c r="Q289" s="26" t="str" cm="1">
        <f t="array" ref="Q289">BIN2HEX(_xlfn.IFS(D289="HWINTEN","10",G289="KeyAck","01",G289="InitLp8","01",TRUE,"00")&amp;IF(OR(Ops!$O$2:'Ops'!$O$13=K289),VLOOKUP(K289,Ops!$O$2:'Ops'!$P$13,2,FALSE),"000")&amp;IF(E289&lt;&gt;"",IF(LEN(_xlfn.XLOOKUP($E289,$C$5:$C$681,$B$5:$B$681,0))=3,HEX2BIN(LEFT(_xlfn.XLOOKUP($E289,$C$5:$C$681,$B$5:$B$681,0),1),3),IF(OR(Ops!$L$2:'Ops'!$L$11=J289),VLOOKUP(J289,Ops!$L$2:'Ops'!$M$11,2,FALSE),"000")),IF(OR(Ops!$L$2:'Ops'!$L$11=J289),VLOOKUP(J289,Ops!$L$2:'Ops'!$M$11,2,FALSE),"000")),2)</f>
        <v>20</v>
      </c>
      <c r="R289" s="27"/>
      <c r="S289" s="4" t="s">
        <v>260</v>
      </c>
      <c r="Z289" s="74" t="str">
        <f t="shared" si="81"/>
        <v>0x40,</v>
      </c>
      <c r="AA289" s="75" t="str">
        <f t="shared" si="82"/>
        <v>0x00,</v>
      </c>
      <c r="AB289" s="75" t="str">
        <f t="shared" si="83"/>
        <v>0x20,</v>
      </c>
      <c r="AC289" s="76"/>
    </row>
    <row r="290" spans="1:29" x14ac:dyDescent="0.3">
      <c r="A290" s="79">
        <f t="shared" si="13"/>
        <v>876</v>
      </c>
      <c r="B290" s="80" t="str">
        <f t="shared" si="94"/>
        <v>36C</v>
      </c>
      <c r="D290" s="29" t="s">
        <v>99</v>
      </c>
      <c r="E290" s="4" t="s">
        <v>252</v>
      </c>
      <c r="F290" s="29"/>
      <c r="G290" s="24"/>
      <c r="H290" s="29"/>
      <c r="M290" s="14"/>
      <c r="O290" s="25" t="str" cm="1">
        <f t="array" ref="O290">BIN2HEX(IF(I290&lt;&gt;"",VLOOKUP(I290,Ops!$I$2:'Ops'!$J$15,2,FALSE),IF(ISNUMBER(SEARCH("BR",D290)),"001","000"))&amp;IF(D290&lt;&gt;"",VLOOKUP(D290,Ops!$B$2:'Ops'!$C$23,2,FALSE),"0")&amp;_xlfn.IFS(ISNUMBER(SEARCH("BR",D290)),VLOOKUP(D290,Ops!$B$3:'Ops'!$D$22,3,FALSE),F290&lt;&gt;"",VLOOKUP(F290,Ops!$R$2:'Ops'!$S$11,2),L290&lt;&gt;"",VLOOKUP(L290,Ops!$R$2:'Ops'!$S$25,2,FALSE),TRUE,"0000"),2)</f>
        <v>39</v>
      </c>
      <c r="P290" s="26" t="str">
        <f>RIGHT(IF($E290&lt;&gt;"",_xlfn.XLOOKUP($E290,$C$4:$C$681,$B$4:$B$681,"NO LABEL"),BIN2HEX(IF(N290="CarryEn","1","0")&amp;IF(M290="SubXY","1","0")&amp;IF(H290&lt;&gt;"",VLOOKUP(H290,Ops!$F$2:'Ops'!$G$20,2,FALSE),"000000"),2)),2)</f>
        <v>72</v>
      </c>
      <c r="Q290" s="26" t="str" cm="1">
        <f t="array" ref="Q290">BIN2HEX(_xlfn.IFS(D290="HWINTEN","10",G290="KeyAck","01",G290="InitLp8","01",TRUE,"00")&amp;IF(OR(Ops!$O$2:'Ops'!$O$13=K290),VLOOKUP(K290,Ops!$O$2:'Ops'!$P$13,2,FALSE),"000")&amp;IF(E290&lt;&gt;"",IF(LEN(_xlfn.XLOOKUP($E290,$C$5:$C$681,$B$5:$B$681,0))=3,HEX2BIN(LEFT(_xlfn.XLOOKUP($E290,$C$5:$C$681,$B$5:$B$681,0),1),3),IF(OR(Ops!$L$2:'Ops'!$L$11=J290),VLOOKUP(J290,Ops!$L$2:'Ops'!$M$11,2,FALSE),"000")),IF(OR(Ops!$L$2:'Ops'!$L$11=J290),VLOOKUP(J290,Ops!$L$2:'Ops'!$M$11,2,FALSE),"000")),2)</f>
        <v>03</v>
      </c>
      <c r="R290" s="27"/>
      <c r="Z290" s="74" t="str">
        <f t="shared" si="81"/>
        <v>0x39,</v>
      </c>
      <c r="AA290" s="75" t="str">
        <f t="shared" si="82"/>
        <v>0x72,</v>
      </c>
      <c r="AB290" s="75" t="str">
        <f t="shared" si="83"/>
        <v>0x03,</v>
      </c>
      <c r="AC290" s="76"/>
    </row>
    <row r="291" spans="1:29" x14ac:dyDescent="0.3">
      <c r="A291" s="79">
        <f t="shared" si="13"/>
        <v>879</v>
      </c>
      <c r="B291" s="80" t="str">
        <f t="shared" si="94"/>
        <v>36F</v>
      </c>
      <c r="D291" s="29" t="s">
        <v>0</v>
      </c>
      <c r="E291" s="4" t="s">
        <v>72</v>
      </c>
      <c r="F291" s="29"/>
      <c r="G291" s="24"/>
      <c r="H291" s="29"/>
      <c r="M291" s="14"/>
      <c r="O291" s="25" t="str" cm="1">
        <f t="array" ref="O291">BIN2HEX(IF(I291&lt;&gt;"",VLOOKUP(I291,Ops!$I$2:'Ops'!$J$15,2,FALSE),IF(ISNUMBER(SEARCH("BR",D291)),"001","000"))&amp;IF(D291&lt;&gt;"",VLOOKUP(D291,Ops!$B$2:'Ops'!$C$23,2,FALSE),"0")&amp;_xlfn.IFS(ISNUMBER(SEARCH("BR",D291)),VLOOKUP(D291,Ops!$B$3:'Ops'!$D$22,3,FALSE),F291&lt;&gt;"",VLOOKUP(F291,Ops!$R$2:'Ops'!$S$11,2),L291&lt;&gt;"",VLOOKUP(L291,Ops!$R$2:'Ops'!$S$25,2,FALSE),TRUE,"0000"),2)</f>
        <v>10</v>
      </c>
      <c r="P291" s="26" t="str">
        <f>RIGHT(IF($E291&lt;&gt;"",_xlfn.XLOOKUP($E291,$C$4:$C$681,$B$4:$B$681,"NO LABEL"),BIN2HEX(IF(N291="CarryEn","1","0")&amp;IF(M291="SubXY","1","0")&amp;IF(H291&lt;&gt;"",VLOOKUP(H291,Ops!$F$2:'Ops'!$G$20,2,FALSE),"000000"),2)),2)</f>
        <v>7B</v>
      </c>
      <c r="Q291" s="26" t="str" cm="1">
        <f t="array" ref="Q291">BIN2HEX(_xlfn.IFS(D291="HWINTEN","10",G291="KeyAck","01",G291="InitLp8","01",TRUE,"00")&amp;IF(OR(Ops!$O$2:'Ops'!$O$13=K291),VLOOKUP(K291,Ops!$O$2:'Ops'!$P$13,2,FALSE),"000")&amp;IF(E291&lt;&gt;"",IF(LEN(_xlfn.XLOOKUP($E291,$C$5:$C$681,$B$5:$B$681,0))=3,HEX2BIN(LEFT(_xlfn.XLOOKUP($E291,$C$5:$C$681,$B$5:$B$681,0),1),3),IF(OR(Ops!$L$2:'Ops'!$L$11=J291),VLOOKUP(J291,Ops!$L$2:'Ops'!$M$11,2,FALSE),"000")),IF(OR(Ops!$L$2:'Ops'!$L$11=J291),VLOOKUP(J291,Ops!$L$2:'Ops'!$M$11,2,FALSE),"000")),2)</f>
        <v>03</v>
      </c>
      <c r="R291" s="27"/>
      <c r="Z291" s="74" t="str">
        <f t="shared" si="81"/>
        <v>0x10,</v>
      </c>
      <c r="AA291" s="75" t="str">
        <f t="shared" si="82"/>
        <v>0x7B,</v>
      </c>
      <c r="AB291" s="75" t="str">
        <f t="shared" si="83"/>
        <v>0x03,</v>
      </c>
      <c r="AC291" s="76"/>
    </row>
    <row r="292" spans="1:29" x14ac:dyDescent="0.3">
      <c r="A292" s="79">
        <f t="shared" si="13"/>
        <v>882</v>
      </c>
      <c r="B292" s="80" t="str">
        <f t="shared" si="94"/>
        <v>372</v>
      </c>
      <c r="C292" s="4" t="s">
        <v>252</v>
      </c>
      <c r="D292" s="29" t="s">
        <v>251</v>
      </c>
      <c r="E292" s="4" t="s">
        <v>247</v>
      </c>
      <c r="F292" s="29"/>
      <c r="G292" s="24"/>
      <c r="H292" s="29"/>
      <c r="M292" s="14"/>
      <c r="O292" s="25" t="str" cm="1">
        <f t="array" ref="O292">BIN2HEX(IF(I292&lt;&gt;"",VLOOKUP(I292,Ops!$I$2:'Ops'!$J$15,2,FALSE),IF(ISNUMBER(SEARCH("BR",D292)),"001","000"))&amp;IF(D292&lt;&gt;"",VLOOKUP(D292,Ops!$B$2:'Ops'!$C$23,2,FALSE),"0")&amp;_xlfn.IFS(ISNUMBER(SEARCH("BR",D292)),VLOOKUP(D292,Ops!$B$3:'Ops'!$D$22,3,FALSE),F292&lt;&gt;"",VLOOKUP(F292,Ops!$R$2:'Ops'!$S$11,2),L292&lt;&gt;"",VLOOKUP(L292,Ops!$R$2:'Ops'!$S$25,2,FALSE),TRUE,"0000"),2)</f>
        <v>3F</v>
      </c>
      <c r="P292" s="26" t="str">
        <f>RIGHT(IF($E292&lt;&gt;"",_xlfn.XLOOKUP($E292,$C$4:$C$681,$B$4:$B$681,"NO LABEL"),BIN2HEX(IF(N292="CarryEn","1","0")&amp;IF(M292="SubXY","1","0")&amp;IF(H292&lt;&gt;"",VLOOKUP(H292,Ops!$F$2:'Ops'!$G$20,2,FALSE),"000000"),2)),2)</f>
        <v>63</v>
      </c>
      <c r="Q292" s="26" t="str" cm="1">
        <f t="array" ref="Q292">BIN2HEX(_xlfn.IFS(D292="HWINTEN","10",G292="KeyAck","01",G292="InitLp8","01",TRUE,"00")&amp;IF(OR(Ops!$O$2:'Ops'!$O$13=K292),VLOOKUP(K292,Ops!$O$2:'Ops'!$P$13,2,FALSE),"000")&amp;IF(E292&lt;&gt;"",IF(LEN(_xlfn.XLOOKUP($E292,$C$5:$C$681,$B$5:$B$681,0))=3,HEX2BIN(LEFT(_xlfn.XLOOKUP($E292,$C$5:$C$681,$B$5:$B$681,0),1),3),IF(OR(Ops!$L$2:'Ops'!$L$11=J292),VLOOKUP(J292,Ops!$L$2:'Ops'!$M$11,2,FALSE),"000")),IF(OR(Ops!$L$2:'Ops'!$L$11=J292),VLOOKUP(J292,Ops!$L$2:'Ops'!$M$11,2,FALSE),"000")),2)</f>
        <v>03</v>
      </c>
      <c r="R292" s="27"/>
      <c r="S292" s="4" t="s">
        <v>414</v>
      </c>
      <c r="Z292" s="74" t="str">
        <f t="shared" si="81"/>
        <v>0x3F,</v>
      </c>
      <c r="AA292" s="75" t="str">
        <f t="shared" si="82"/>
        <v>0x63,</v>
      </c>
      <c r="AB292" s="75" t="str">
        <f t="shared" si="83"/>
        <v>0x03,</v>
      </c>
      <c r="AC292" s="76"/>
    </row>
    <row r="293" spans="1:29" x14ac:dyDescent="0.3">
      <c r="A293" s="79">
        <f t="shared" si="13"/>
        <v>885</v>
      </c>
      <c r="B293" s="80" t="str">
        <f t="shared" ref="B293:B298" si="95">DEC2HEX(A293)</f>
        <v>375</v>
      </c>
      <c r="C293" s="4" t="s">
        <v>415</v>
      </c>
      <c r="D293" s="37"/>
      <c r="E293" s="3"/>
      <c r="F293" s="37"/>
      <c r="G293" s="38"/>
      <c r="H293" s="37"/>
      <c r="I293" s="3"/>
      <c r="J293" s="4" t="s">
        <v>314</v>
      </c>
      <c r="L293" s="4" t="s">
        <v>181</v>
      </c>
      <c r="M293" s="14"/>
      <c r="O293" s="25" t="str" cm="1">
        <f t="array" ref="O293">BIN2HEX(IF(I293&lt;&gt;"",VLOOKUP(I293,Ops!$I$2:'Ops'!$J$15,2,FALSE),IF(ISNUMBER(SEARCH("BR",D293)),"001","000"))&amp;IF(D293&lt;&gt;"",VLOOKUP(D293,Ops!$B$2:'Ops'!$C$23,2,FALSE),"0")&amp;_xlfn.IFS(ISNUMBER(SEARCH("BR",D293)),VLOOKUP(D293,Ops!$B$3:'Ops'!$D$22,3,FALSE),F293&lt;&gt;"",VLOOKUP(F293,Ops!$R$2:'Ops'!$S$11,2),L293&lt;&gt;"",VLOOKUP(L293,Ops!$R$2:'Ops'!$S$25,2,FALSE),TRUE,"0000"),2)</f>
        <v>02</v>
      </c>
      <c r="P293" s="26" t="str">
        <f>RIGHT(IF($E293&lt;&gt;"",_xlfn.XLOOKUP($E293,$C$4:$C$681,$B$4:$B$681,"NO LABEL"),BIN2HEX(IF(N293="CarryEn","1","0")&amp;IF(M293="SubXY","1","0")&amp;IF(H293&lt;&gt;"",VLOOKUP(H293,Ops!$F$2:'Ops'!$G$20,2,FALSE),"000000"),2)),2)</f>
        <v>00</v>
      </c>
      <c r="Q293" s="26" t="str" cm="1">
        <f t="array" ref="Q293">BIN2HEX(_xlfn.IFS(D293="HWINTEN","10",G293="KeyAck","01",G293="InitLp8","01",TRUE,"00")&amp;IF(OR(Ops!$O$2:'Ops'!$O$13=K293),VLOOKUP(K293,Ops!$O$2:'Ops'!$P$13,2,FALSE),"000")&amp;IF(E293&lt;&gt;"",IF(LEN(_xlfn.XLOOKUP($E293,$C$5:$C$681,$B$5:$B$681,0))=3,HEX2BIN(LEFT(_xlfn.XLOOKUP($E293,$C$5:$C$681,$B$5:$B$681,0),1),3),IF(OR(Ops!$L$2:'Ops'!$L$11=J293),VLOOKUP(J293,Ops!$L$2:'Ops'!$M$11,2,FALSE),"000")),IF(OR(Ops!$L$2:'Ops'!$L$11=J293),VLOOKUP(J293,Ops!$L$2:'Ops'!$M$11,2,FALSE),"000")),2)</f>
        <v>06</v>
      </c>
      <c r="R293" s="27"/>
      <c r="S293" s="3"/>
      <c r="Z293" s="74" t="str">
        <f t="shared" ref="Z293:Z301" si="96">IF(O293="", "};", "0x"&amp;O293&amp;",")</f>
        <v>0x02,</v>
      </c>
      <c r="AA293" s="75" t="str">
        <f t="shared" ref="AA293:AA301" si="97">"0x"&amp;P293&amp;","</f>
        <v>0x00,</v>
      </c>
      <c r="AB293" s="75" t="str">
        <f t="shared" ref="AB293:AB301" si="98">"0x"&amp;Q293&amp;","</f>
        <v>0x06,</v>
      </c>
      <c r="AC293" s="76"/>
    </row>
    <row r="294" spans="1:29" x14ac:dyDescent="0.3">
      <c r="A294" s="79">
        <f t="shared" si="13"/>
        <v>888</v>
      </c>
      <c r="B294" s="80" t="str">
        <f t="shared" si="95"/>
        <v>378</v>
      </c>
      <c r="C294" s="3"/>
      <c r="D294" s="29" t="s">
        <v>175</v>
      </c>
      <c r="E294" s="4" t="s">
        <v>415</v>
      </c>
      <c r="F294" s="37"/>
      <c r="G294" s="38"/>
      <c r="H294" s="37"/>
      <c r="I294" s="3"/>
      <c r="J294" s="3"/>
      <c r="K294" s="3"/>
      <c r="L294" s="3"/>
      <c r="M294" s="14"/>
      <c r="O294" s="25" t="str" cm="1">
        <f t="array" ref="O294">BIN2HEX(IF(I294&lt;&gt;"",VLOOKUP(I294,Ops!$I$2:'Ops'!$J$15,2,FALSE),IF(ISNUMBER(SEARCH("BR",D294)),"001","000"))&amp;IF(D294&lt;&gt;"",VLOOKUP(D294,Ops!$B$2:'Ops'!$C$23,2,FALSE),"0")&amp;_xlfn.IFS(ISNUMBER(SEARCH("BR",D294)),VLOOKUP(D294,Ops!$B$3:'Ops'!$D$22,3,FALSE),F294&lt;&gt;"",VLOOKUP(F294,Ops!$R$2:'Ops'!$S$11,2),L294&lt;&gt;"",VLOOKUP(L294,Ops!$R$2:'Ops'!$S$25,2,FALSE),TRUE,"0000"),2)</f>
        <v>3A</v>
      </c>
      <c r="P294" s="26" t="str">
        <f>RIGHT(IF($E294&lt;&gt;"",_xlfn.XLOOKUP($E294,$C$4:$C$681,$B$4:$B$681,"NO LABEL"),BIN2HEX(IF(N294="CarryEn","1","0")&amp;IF(M294="SubXY","1","0")&amp;IF(H294&lt;&gt;"",VLOOKUP(H294,Ops!$F$2:'Ops'!$G$20,2,FALSE),"000000"),2)),2)</f>
        <v>75</v>
      </c>
      <c r="Q294" s="26" t="str" cm="1">
        <f t="array" ref="Q294">BIN2HEX(_xlfn.IFS(D294="HWINTEN","10",G294="KeyAck","01",G294="InitLp8","01",TRUE,"00")&amp;IF(OR(Ops!$O$2:'Ops'!$O$13=K294),VLOOKUP(K294,Ops!$O$2:'Ops'!$P$13,2,FALSE),"000")&amp;IF(E294&lt;&gt;"",IF(LEN(_xlfn.XLOOKUP($E294,$C$5:$C$681,$B$5:$B$681,0))=3,HEX2BIN(LEFT(_xlfn.XLOOKUP($E294,$C$5:$C$681,$B$5:$B$681,0),1),3),IF(OR(Ops!$L$2:'Ops'!$L$11=J294),VLOOKUP(J294,Ops!$L$2:'Ops'!$M$11,2,FALSE),"000")),IF(OR(Ops!$L$2:'Ops'!$L$11=J294),VLOOKUP(J294,Ops!$L$2:'Ops'!$M$11,2,FALSE),"000")),2)</f>
        <v>03</v>
      </c>
      <c r="R294" s="27"/>
      <c r="S294" s="3"/>
      <c r="Z294" s="74" t="str">
        <f t="shared" si="96"/>
        <v>0x3A,</v>
      </c>
      <c r="AA294" s="75" t="str">
        <f t="shared" si="97"/>
        <v>0x75,</v>
      </c>
      <c r="AB294" s="75" t="str">
        <f t="shared" si="98"/>
        <v>0x03,</v>
      </c>
      <c r="AC294" s="76"/>
    </row>
    <row r="295" spans="1:29" x14ac:dyDescent="0.3">
      <c r="A295" s="79">
        <f t="shared" si="13"/>
        <v>891</v>
      </c>
      <c r="B295" s="80" t="str">
        <f t="shared" si="95"/>
        <v>37B</v>
      </c>
      <c r="C295" s="4" t="s">
        <v>72</v>
      </c>
      <c r="D295" s="29"/>
      <c r="F295" s="29"/>
      <c r="G295" s="24"/>
      <c r="H295" s="29"/>
      <c r="I295" s="4" t="s">
        <v>290</v>
      </c>
      <c r="J295" s="56" t="s">
        <v>56</v>
      </c>
      <c r="K295" s="4" t="s">
        <v>480</v>
      </c>
      <c r="M295" s="14"/>
      <c r="O295" s="25" t="str" cm="1">
        <f t="array" ref="O295">BIN2HEX(IF(I295&lt;&gt;"",VLOOKUP(I295,Ops!$I$2:'Ops'!$J$15,2,FALSE),IF(ISNUMBER(SEARCH("BR",D295)),"001","000"))&amp;IF(D295&lt;&gt;"",VLOOKUP(D295,Ops!$B$2:'Ops'!$C$23,2,FALSE),"0")&amp;_xlfn.IFS(ISNUMBER(SEARCH("BR",D295)),VLOOKUP(D295,Ops!$B$3:'Ops'!$D$22,3,FALSE),F295&lt;&gt;"",VLOOKUP(F295,Ops!$R$2:'Ops'!$S$11,2),L295&lt;&gt;"",VLOOKUP(L295,Ops!$R$2:'Ops'!$S$25,2,FALSE),TRUE,"0000"),2)</f>
        <v>40</v>
      </c>
      <c r="P295" s="26" t="str">
        <f>RIGHT(IF($E295&lt;&gt;"",_xlfn.XLOOKUP($E295,$C$4:$C$681,$B$4:$B$681,"NO LABEL"),BIN2HEX(IF(N295="CarryEn","1","0")&amp;IF(M295="SubXY","1","0")&amp;IF(H295&lt;&gt;"",VLOOKUP(H295,Ops!$F$2:'Ops'!$G$20,2,FALSE),"000000"),2)),2)</f>
        <v>00</v>
      </c>
      <c r="Q295" s="26" t="str" cm="1">
        <f t="array" ref="Q295">BIN2HEX(_xlfn.IFS(D295="HWINTEN","10",G295="KeyAck","01",G295="InitLp8","01",TRUE,"00")&amp;IF(OR(Ops!$O$2:'Ops'!$O$13=K295),VLOOKUP(K295,Ops!$O$2:'Ops'!$P$13,2,FALSE),"000")&amp;IF(E295&lt;&gt;"",IF(LEN(_xlfn.XLOOKUP($E295,$C$5:$C$681,$B$5:$B$681,0))=3,HEX2BIN(LEFT(_xlfn.XLOOKUP($E295,$C$5:$C$681,$B$5:$B$681,0),1),3),IF(OR(Ops!$L$2:'Ops'!$L$11=J295),VLOOKUP(J295,Ops!$L$2:'Ops'!$M$11,2,FALSE),"000")),IF(OR(Ops!$L$2:'Ops'!$L$11=J295),VLOOKUP(J295,Ops!$L$2:'Ops'!$M$11,2,FALSE),"000")),2)</f>
        <v>05</v>
      </c>
      <c r="R295" s="27"/>
      <c r="S295" s="4" t="s">
        <v>289</v>
      </c>
      <c r="Z295" s="74" t="str">
        <f t="shared" si="96"/>
        <v>0x40,</v>
      </c>
      <c r="AA295" s="75" t="str">
        <f t="shared" si="97"/>
        <v>0x00,</v>
      </c>
      <c r="AB295" s="75" t="str">
        <f t="shared" si="98"/>
        <v>0x05,</v>
      </c>
      <c r="AC295" s="76"/>
    </row>
    <row r="296" spans="1:29" x14ac:dyDescent="0.3">
      <c r="A296" s="79">
        <f t="shared" si="13"/>
        <v>894</v>
      </c>
      <c r="B296" s="80" t="str">
        <f t="shared" si="95"/>
        <v>37E</v>
      </c>
      <c r="D296" s="29" t="s">
        <v>45</v>
      </c>
      <c r="E296" s="4" t="s">
        <v>262</v>
      </c>
      <c r="F296" s="29"/>
      <c r="G296" s="24"/>
      <c r="H296" s="29"/>
      <c r="M296" s="14"/>
      <c r="O296" s="25" t="str" cm="1">
        <f t="array" ref="O296">BIN2HEX(IF(I296&lt;&gt;"",VLOOKUP(I296,Ops!$I$2:'Ops'!$J$15,2,FALSE),IF(ISNUMBER(SEARCH("BR",D296)),"001","000"))&amp;IF(D296&lt;&gt;"",VLOOKUP(D296,Ops!$B$2:'Ops'!$C$23,2,FALSE),"0")&amp;_xlfn.IFS(ISNUMBER(SEARCH("BR",D296)),VLOOKUP(D296,Ops!$B$3:'Ops'!$D$22,3,FALSE),F296&lt;&gt;"",VLOOKUP(F296,Ops!$R$2:'Ops'!$S$11,2),L296&lt;&gt;"",VLOOKUP(L296,Ops!$R$2:'Ops'!$S$25,2,FALSE),TRUE,"0000"),2)</f>
        <v>30</v>
      </c>
      <c r="P296" s="26" t="str">
        <f>RIGHT(IF($E296&lt;&gt;"",_xlfn.XLOOKUP($E296,$C$4:$C$681,$B$4:$B$681,"NO LABEL"),BIN2HEX(IF(N296="CarryEn","1","0")&amp;IF(M296="SubXY","1","0")&amp;IF(H296&lt;&gt;"",VLOOKUP(H296,Ops!$F$2:'Ops'!$G$20,2,FALSE),"000000"),2)),2)</f>
        <v>9F</v>
      </c>
      <c r="Q296" s="26" t="str" cm="1">
        <f t="array" ref="Q296">BIN2HEX(_xlfn.IFS(D296="HWINTEN","10",G296="KeyAck","01",G296="InitLp8","01",TRUE,"00")&amp;IF(OR(Ops!$O$2:'Ops'!$O$13=K296),VLOOKUP(K296,Ops!$O$2:'Ops'!$P$13,2,FALSE),"000")&amp;IF(E296&lt;&gt;"",IF(LEN(_xlfn.XLOOKUP($E296,$C$5:$C$681,$B$5:$B$681,0))=3,HEX2BIN(LEFT(_xlfn.XLOOKUP($E296,$C$5:$C$681,$B$5:$B$681,0),1),3),IF(OR(Ops!$L$2:'Ops'!$L$11=J296),VLOOKUP(J296,Ops!$L$2:'Ops'!$M$11,2,FALSE),"000")),IF(OR(Ops!$L$2:'Ops'!$L$11=J296),VLOOKUP(J296,Ops!$L$2:'Ops'!$M$11,2,FALSE),"000")),2)</f>
        <v>03</v>
      </c>
      <c r="R296" s="27"/>
      <c r="S296" s="4" t="s">
        <v>267</v>
      </c>
      <c r="Z296" s="74" t="str">
        <f t="shared" si="96"/>
        <v>0x30,</v>
      </c>
      <c r="AA296" s="75" t="str">
        <f t="shared" si="97"/>
        <v>0x9F,</v>
      </c>
      <c r="AB296" s="75" t="str">
        <f t="shared" si="98"/>
        <v>0x03,</v>
      </c>
      <c r="AC296" s="76"/>
    </row>
    <row r="297" spans="1:29" x14ac:dyDescent="0.3">
      <c r="A297" s="79">
        <f t="shared" si="13"/>
        <v>897</v>
      </c>
      <c r="B297" s="80" t="str">
        <f t="shared" si="95"/>
        <v>381</v>
      </c>
      <c r="D297" s="54" t="s">
        <v>200</v>
      </c>
      <c r="E297" s="4" t="s">
        <v>195</v>
      </c>
      <c r="F297" s="29"/>
      <c r="G297" s="24"/>
      <c r="H297" s="29"/>
      <c r="M297" s="14"/>
      <c r="O297" s="25" t="str" cm="1">
        <f t="array" ref="O297">BIN2HEX(IF(I297&lt;&gt;"",VLOOKUP(I297,Ops!$I$2:'Ops'!$J$15,2,FALSE),IF(ISNUMBER(SEARCH("BR",D297)),"001","000"))&amp;IF(D297&lt;&gt;"",VLOOKUP(D297,Ops!$B$2:'Ops'!$C$23,2,FALSE),"0")&amp;_xlfn.IFS(ISNUMBER(SEARCH("BR",D297)),VLOOKUP(D297,Ops!$B$3:'Ops'!$D$22,3,FALSE),F297&lt;&gt;"",VLOOKUP(F297,Ops!$R$2:'Ops'!$S$11,2),L297&lt;&gt;"",VLOOKUP(L297,Ops!$R$2:'Ops'!$S$25,2,FALSE),TRUE,"0000"),2)</f>
        <v>33</v>
      </c>
      <c r="P297" s="26" t="str">
        <f>RIGHT(IF($E297&lt;&gt;"",_xlfn.XLOOKUP($E297,$C$4:$C$681,$B$4:$B$681,"NO LABEL"),BIN2HEX(IF(N297="CarryEn","1","0")&amp;IF(M297="SubXY","1","0")&amp;IF(H297&lt;&gt;"",VLOOKUP(H297,Ops!$F$2:'Ops'!$G$20,2,FALSE),"000000"),2)),2)</f>
        <v>93</v>
      </c>
      <c r="Q297" s="26" t="str" cm="1">
        <f t="array" ref="Q297">BIN2HEX(_xlfn.IFS(D297="HWINTEN","10",G297="KeyAck","01",G297="InitLp8","01",TRUE,"00")&amp;IF(OR(Ops!$O$2:'Ops'!$O$13=K297),VLOOKUP(K297,Ops!$O$2:'Ops'!$P$13,2,FALSE),"000")&amp;IF(E297&lt;&gt;"",IF(LEN(_xlfn.XLOOKUP($E297,$C$5:$C$681,$B$5:$B$681,0))=3,HEX2BIN(LEFT(_xlfn.XLOOKUP($E297,$C$5:$C$681,$B$5:$B$681,0),1),3),IF(OR(Ops!$L$2:'Ops'!$L$11=J297),VLOOKUP(J297,Ops!$L$2:'Ops'!$M$11,2,FALSE),"000")),IF(OR(Ops!$L$2:'Ops'!$L$11=J297),VLOOKUP(J297,Ops!$L$2:'Ops'!$M$11,2,FALSE),"000")),2)</f>
        <v>03</v>
      </c>
      <c r="R297" s="27"/>
      <c r="S297" s="4" t="s">
        <v>197</v>
      </c>
      <c r="Z297" s="74" t="str">
        <f t="shared" si="96"/>
        <v>0x33,</v>
      </c>
      <c r="AA297" s="75" t="str">
        <f t="shared" si="97"/>
        <v>0x93,</v>
      </c>
      <c r="AB297" s="75" t="str">
        <f t="shared" si="98"/>
        <v>0x03,</v>
      </c>
      <c r="AC297" s="76"/>
    </row>
    <row r="298" spans="1:29" x14ac:dyDescent="0.3">
      <c r="A298" s="79">
        <f t="shared" si="13"/>
        <v>900</v>
      </c>
      <c r="B298" s="80" t="str">
        <f t="shared" si="95"/>
        <v>384</v>
      </c>
      <c r="C298" s="4" t="s">
        <v>196</v>
      </c>
      <c r="D298" s="29"/>
      <c r="F298" s="29"/>
      <c r="G298" s="24"/>
      <c r="H298" s="29" t="s">
        <v>46</v>
      </c>
      <c r="I298" s="4" t="s">
        <v>482</v>
      </c>
      <c r="J298" s="4" t="s">
        <v>191</v>
      </c>
      <c r="M298" s="14"/>
      <c r="O298" s="25" t="str" cm="1">
        <f t="array" ref="O298">BIN2HEX(IF(I298&lt;&gt;"",VLOOKUP(I298,Ops!$I$2:'Ops'!$J$15,2,FALSE),IF(ISNUMBER(SEARCH("BR",D298)),"001","000"))&amp;IF(D298&lt;&gt;"",VLOOKUP(D298,Ops!$B$2:'Ops'!$C$23,2,FALSE),"0")&amp;_xlfn.IFS(ISNUMBER(SEARCH("BR",D298)),VLOOKUP(D298,Ops!$B$3:'Ops'!$D$22,3,FALSE),F298&lt;&gt;"",VLOOKUP(F298,Ops!$R$2:'Ops'!$S$11,2),L298&lt;&gt;"",VLOOKUP(L298,Ops!$R$2:'Ops'!$S$25,2,FALSE),TRUE,"0000"),2)</f>
        <v>00</v>
      </c>
      <c r="P298" s="26" t="str">
        <f>RIGHT(IF($E298&lt;&gt;"",_xlfn.XLOOKUP($E298,$C$4:$C$681,$B$4:$B$681,"NO LABEL"),BIN2HEX(IF(N298="CarryEn","1","0")&amp;IF(M298="SubXY","1","0")&amp;IF(H298&lt;&gt;"",VLOOKUP(H298,Ops!$F$2:'Ops'!$G$20,2,FALSE),"000000"),2)),2)</f>
        <v>01</v>
      </c>
      <c r="Q298" s="26" t="str" cm="1">
        <f t="array" ref="Q298">BIN2HEX(_xlfn.IFS(D298="HWINTEN","10",G298="KeyAck","01",G298="InitLp8","01",TRUE,"00")&amp;IF(OR(Ops!$O$2:'Ops'!$O$13=K298),VLOOKUP(K298,Ops!$O$2:'Ops'!$P$13,2,FALSE),"000")&amp;IF(E298&lt;&gt;"",IF(LEN(_xlfn.XLOOKUP($E298,$C$5:$C$681,$B$5:$B$681,0))=3,HEX2BIN(LEFT(_xlfn.XLOOKUP($E298,$C$5:$C$681,$B$5:$B$681,0),1),3),IF(OR(Ops!$L$2:'Ops'!$L$11=J298),VLOOKUP(J298,Ops!$L$2:'Ops'!$M$11,2,FALSE),"000")),IF(OR(Ops!$L$2:'Ops'!$L$11=J298),VLOOKUP(J298,Ops!$L$2:'Ops'!$M$11,2,FALSE),"000")),2)</f>
        <v>00</v>
      </c>
      <c r="R298" s="27"/>
      <c r="S298" s="3"/>
      <c r="Z298" s="74" t="str">
        <f t="shared" si="96"/>
        <v>0x00,</v>
      </c>
      <c r="AA298" s="75" t="str">
        <f t="shared" si="97"/>
        <v>0x01,</v>
      </c>
      <c r="AB298" s="75" t="str">
        <f t="shared" si="98"/>
        <v>0x00,</v>
      </c>
      <c r="AC298" s="76"/>
    </row>
    <row r="299" spans="1:29" x14ac:dyDescent="0.3">
      <c r="A299" s="79">
        <f t="shared" si="13"/>
        <v>903</v>
      </c>
      <c r="B299" s="80" t="str">
        <f t="shared" ref="B299:B306" si="99">DEC2HEX(A299)</f>
        <v>387</v>
      </c>
      <c r="D299" s="29"/>
      <c r="F299" s="29"/>
      <c r="G299" s="24"/>
      <c r="H299" s="29"/>
      <c r="J299" s="4" t="s">
        <v>314</v>
      </c>
      <c r="L299" s="4" t="s">
        <v>181</v>
      </c>
      <c r="M299" s="14"/>
      <c r="O299" s="25" t="str" cm="1">
        <f t="array" ref="O299">BIN2HEX(IF(I299&lt;&gt;"",VLOOKUP(I299,Ops!$I$2:'Ops'!$J$15,2,FALSE),IF(ISNUMBER(SEARCH("BR",D299)),"001","000"))&amp;IF(D299&lt;&gt;"",VLOOKUP(D299,Ops!$B$2:'Ops'!$C$23,2,FALSE),"0")&amp;_xlfn.IFS(ISNUMBER(SEARCH("BR",D299)),VLOOKUP(D299,Ops!$B$3:'Ops'!$D$22,3,FALSE),F299&lt;&gt;"",VLOOKUP(F299,Ops!$R$2:'Ops'!$S$11,2),L299&lt;&gt;"",VLOOKUP(L299,Ops!$R$2:'Ops'!$S$25,2,FALSE),TRUE,"0000"),2)</f>
        <v>02</v>
      </c>
      <c r="P299" s="26" t="str">
        <f>RIGHT(IF($E299&lt;&gt;"",_xlfn.XLOOKUP($E299,$C$4:$C$681,$B$4:$B$681,"NO LABEL"),BIN2HEX(IF(N299="CarryEn","1","0")&amp;IF(M299="SubXY","1","0")&amp;IF(H299&lt;&gt;"",VLOOKUP(H299,Ops!$F$2:'Ops'!$G$20,2,FALSE),"000000"),2)),2)</f>
        <v>00</v>
      </c>
      <c r="Q299" s="26" t="str" cm="1">
        <f t="array" ref="Q299">BIN2HEX(_xlfn.IFS(D299="HWINTEN","10",G299="KeyAck","01",G299="InitLp8","01",TRUE,"00")&amp;IF(OR(Ops!$O$2:'Ops'!$O$13=K299),VLOOKUP(K299,Ops!$O$2:'Ops'!$P$13,2,FALSE),"000")&amp;IF(E299&lt;&gt;"",IF(LEN(_xlfn.XLOOKUP($E299,$C$5:$C$681,$B$5:$B$681,0))=3,HEX2BIN(LEFT(_xlfn.XLOOKUP($E299,$C$5:$C$681,$B$5:$B$681,0),1),3),IF(OR(Ops!$L$2:'Ops'!$L$11=J299),VLOOKUP(J299,Ops!$L$2:'Ops'!$M$11,2,FALSE),"000")),IF(OR(Ops!$L$2:'Ops'!$L$11=J299),VLOOKUP(J299,Ops!$L$2:'Ops'!$M$11,2,FALSE),"000")),2)</f>
        <v>06</v>
      </c>
      <c r="R299" s="27"/>
      <c r="S299" s="3"/>
      <c r="Z299" s="74" t="str">
        <f t="shared" si="96"/>
        <v>0x02,</v>
      </c>
      <c r="AA299" s="75" t="str">
        <f t="shared" si="97"/>
        <v>0x00,</v>
      </c>
      <c r="AB299" s="75" t="str">
        <f t="shared" si="98"/>
        <v>0x06,</v>
      </c>
      <c r="AC299" s="76"/>
    </row>
    <row r="300" spans="1:29" x14ac:dyDescent="0.3">
      <c r="A300" s="79">
        <f>A299+3</f>
        <v>906</v>
      </c>
      <c r="B300" s="80" t="str">
        <f t="shared" si="99"/>
        <v>38A</v>
      </c>
      <c r="D300" s="29"/>
      <c r="F300" s="29"/>
      <c r="G300" s="24"/>
      <c r="H300" s="29"/>
      <c r="J300" s="4" t="s">
        <v>314</v>
      </c>
      <c r="L300" s="4" t="s">
        <v>312</v>
      </c>
      <c r="M300" s="14"/>
      <c r="O300" s="25" t="str" cm="1">
        <f t="array" ref="O300">BIN2HEX(IF(I300&lt;&gt;"",VLOOKUP(I300,Ops!$I$2:'Ops'!$J$15,2,FALSE),IF(ISNUMBER(SEARCH("BR",D300)),"001","000"))&amp;IF(D300&lt;&gt;"",VLOOKUP(D300,Ops!$B$2:'Ops'!$C$23,2,FALSE),"0")&amp;_xlfn.IFS(ISNUMBER(SEARCH("BR",D300)),VLOOKUP(D300,Ops!$B$3:'Ops'!$D$22,3,FALSE),F300&lt;&gt;"",VLOOKUP(F300,Ops!$R$2:'Ops'!$S$11,2),L300&lt;&gt;"",VLOOKUP(L300,Ops!$R$2:'Ops'!$S$25,2,FALSE),TRUE,"0000"),2)</f>
        <v>03</v>
      </c>
      <c r="P300" s="26" t="str">
        <f>RIGHT(IF($E300&lt;&gt;"",_xlfn.XLOOKUP($E300,$C$4:$C$681,$B$4:$B$681,"NO LABEL"),BIN2HEX(IF(N300="CarryEn","1","0")&amp;IF(M300="SubXY","1","0")&amp;IF(H300&lt;&gt;"",VLOOKUP(H300,Ops!$F$2:'Ops'!$G$20,2,FALSE),"000000"),2)),2)</f>
        <v>00</v>
      </c>
      <c r="Q300" s="26" t="str" cm="1">
        <f t="array" ref="Q300">BIN2HEX(_xlfn.IFS(D300="HWINTEN","10",G300="KeyAck","01",G300="InitLp8","01",TRUE,"00")&amp;IF(OR(Ops!$O$2:'Ops'!$O$13=K300),VLOOKUP(K300,Ops!$O$2:'Ops'!$P$13,2,FALSE),"000")&amp;IF(E300&lt;&gt;"",IF(LEN(_xlfn.XLOOKUP($E300,$C$5:$C$681,$B$5:$B$681,0))=3,HEX2BIN(LEFT(_xlfn.XLOOKUP($E300,$C$5:$C$681,$B$5:$B$681,0),1),3),IF(OR(Ops!$L$2:'Ops'!$L$11=J300),VLOOKUP(J300,Ops!$L$2:'Ops'!$M$11,2,FALSE),"000")),IF(OR(Ops!$L$2:'Ops'!$L$11=J300),VLOOKUP(J300,Ops!$L$2:'Ops'!$M$11,2,FALSE),"000")),2)</f>
        <v>06</v>
      </c>
      <c r="R300" s="27"/>
      <c r="Z300" s="74" t="str">
        <f t="shared" si="96"/>
        <v>0x03,</v>
      </c>
      <c r="AA300" s="75" t="str">
        <f t="shared" si="97"/>
        <v>0x00,</v>
      </c>
      <c r="AB300" s="75" t="str">
        <f t="shared" si="98"/>
        <v>0x06,</v>
      </c>
      <c r="AC300" s="76"/>
    </row>
    <row r="301" spans="1:29" x14ac:dyDescent="0.3">
      <c r="A301" s="79">
        <f>A300+3</f>
        <v>909</v>
      </c>
      <c r="B301" s="80" t="str">
        <f t="shared" si="99"/>
        <v>38D</v>
      </c>
      <c r="D301" s="29" t="s">
        <v>45</v>
      </c>
      <c r="E301" s="4" t="s">
        <v>262</v>
      </c>
      <c r="F301" s="29"/>
      <c r="G301" s="24"/>
      <c r="H301" s="29"/>
      <c r="M301" s="14"/>
      <c r="O301" s="25" t="str" cm="1">
        <f t="array" ref="O301">BIN2HEX(IF(I301&lt;&gt;"",VLOOKUP(I301,Ops!$I$2:'Ops'!$J$15,2,FALSE),IF(ISNUMBER(SEARCH("BR",D301)),"001","000"))&amp;IF(D301&lt;&gt;"",VLOOKUP(D301,Ops!$B$2:'Ops'!$C$23,2,FALSE),"0")&amp;_xlfn.IFS(ISNUMBER(SEARCH("BR",D301)),VLOOKUP(D301,Ops!$B$3:'Ops'!$D$22,3,FALSE),F301&lt;&gt;"",VLOOKUP(F301,Ops!$R$2:'Ops'!$S$11,2),L301&lt;&gt;"",VLOOKUP(L301,Ops!$R$2:'Ops'!$S$25,2,FALSE),TRUE,"0000"),2)</f>
        <v>30</v>
      </c>
      <c r="P301" s="26" t="str">
        <f>RIGHT(IF($E301&lt;&gt;"",_xlfn.XLOOKUP($E301,$C$4:$C$681,$B$4:$B$681,"NO LABEL"),BIN2HEX(IF(N301="CarryEn","1","0")&amp;IF(M301="SubXY","1","0")&amp;IF(H301&lt;&gt;"",VLOOKUP(H301,Ops!$F$2:'Ops'!$G$20,2,FALSE),"000000"),2)),2)</f>
        <v>9F</v>
      </c>
      <c r="Q301" s="26" t="str" cm="1">
        <f t="array" ref="Q301">BIN2HEX(_xlfn.IFS(D301="HWINTEN","10",G301="KeyAck","01",G301="InitLp8","01",TRUE,"00")&amp;IF(OR(Ops!$O$2:'Ops'!$O$13=K301),VLOOKUP(K301,Ops!$O$2:'Ops'!$P$13,2,FALSE),"000")&amp;IF(E301&lt;&gt;"",IF(LEN(_xlfn.XLOOKUP($E301,$C$5:$C$681,$B$5:$B$681,0))=3,HEX2BIN(LEFT(_xlfn.XLOOKUP($E301,$C$5:$C$681,$B$5:$B$681,0),1),3),IF(OR(Ops!$L$2:'Ops'!$L$11=J301),VLOOKUP(J301,Ops!$L$2:'Ops'!$M$11,2,FALSE),"000")),IF(OR(Ops!$L$2:'Ops'!$L$11=J301),VLOOKUP(J301,Ops!$L$2:'Ops'!$M$11,2,FALSE),"000")),2)</f>
        <v>03</v>
      </c>
      <c r="R301" s="27"/>
      <c r="Z301" s="74" t="str">
        <f t="shared" si="96"/>
        <v>0x30,</v>
      </c>
      <c r="AA301" s="75" t="str">
        <f t="shared" si="97"/>
        <v>0x9F,</v>
      </c>
      <c r="AB301" s="75" t="str">
        <f t="shared" si="98"/>
        <v>0x03,</v>
      </c>
      <c r="AC301" s="76"/>
    </row>
    <row r="302" spans="1:29" x14ac:dyDescent="0.3">
      <c r="A302" s="79">
        <f t="shared" ref="A302:A390" si="100">A301+3</f>
        <v>912</v>
      </c>
      <c r="B302" s="80" t="str">
        <f t="shared" si="99"/>
        <v>390</v>
      </c>
      <c r="D302" s="29" t="s">
        <v>0</v>
      </c>
      <c r="E302" s="4" t="s">
        <v>196</v>
      </c>
      <c r="F302" s="29"/>
      <c r="G302" s="24"/>
      <c r="H302" s="29"/>
      <c r="M302" s="14"/>
      <c r="O302" s="25" t="str" cm="1">
        <f t="array" ref="O302">BIN2HEX(IF(I302&lt;&gt;"",VLOOKUP(I302,Ops!$I$2:'Ops'!$J$15,2,FALSE),IF(ISNUMBER(SEARCH("BR",D302)),"001","000"))&amp;IF(D302&lt;&gt;"",VLOOKUP(D302,Ops!$B$2:'Ops'!$C$23,2,FALSE),"0")&amp;_xlfn.IFS(ISNUMBER(SEARCH("BR",D302)),VLOOKUP(D302,Ops!$B$3:'Ops'!$D$22,3,FALSE),F302&lt;&gt;"",VLOOKUP(F302,Ops!$R$2:'Ops'!$S$11,2),L302&lt;&gt;"",VLOOKUP(L302,Ops!$R$2:'Ops'!$S$25,2,FALSE),TRUE,"0000"),2)</f>
        <v>10</v>
      </c>
      <c r="P302" s="26" t="str">
        <f>RIGHT(IF($E302&lt;&gt;"",_xlfn.XLOOKUP($E302,$C$4:$C$681,$B$4:$B$681,"NO LABEL"),BIN2HEX(IF(N302="CarryEn","1","0")&amp;IF(M302="SubXY","1","0")&amp;IF(H302&lt;&gt;"",VLOOKUP(H302,Ops!$F$2:'Ops'!$G$20,2,FALSE),"000000"),2)),2)</f>
        <v>84</v>
      </c>
      <c r="Q302" s="26" t="str" cm="1">
        <f t="array" ref="Q302">BIN2HEX(_xlfn.IFS(D302="HWINTEN","10",G302="KeyAck","01",G302="InitLp8","01",TRUE,"00")&amp;IF(OR(Ops!$O$2:'Ops'!$O$13=K302),VLOOKUP(K302,Ops!$O$2:'Ops'!$P$13,2,FALSE),"000")&amp;IF(E302&lt;&gt;"",IF(LEN(_xlfn.XLOOKUP($E302,$C$5:$C$681,$B$5:$B$681,0))=3,HEX2BIN(LEFT(_xlfn.XLOOKUP($E302,$C$5:$C$681,$B$5:$B$681,0),1),3),IF(OR(Ops!$L$2:'Ops'!$L$11=J302),VLOOKUP(J302,Ops!$L$2:'Ops'!$M$11,2,FALSE),"000")),IF(OR(Ops!$L$2:'Ops'!$L$11=J302),VLOOKUP(J302,Ops!$L$2:'Ops'!$M$11,2,FALSE),"000")),2)</f>
        <v>03</v>
      </c>
      <c r="R302" s="27"/>
      <c r="Z302" s="74" t="str">
        <f t="shared" si="81"/>
        <v>0x10,</v>
      </c>
      <c r="AA302" s="75" t="str">
        <f t="shared" si="82"/>
        <v>0x84,</v>
      </c>
      <c r="AB302" s="75" t="str">
        <f t="shared" si="83"/>
        <v>0x03,</v>
      </c>
      <c r="AC302" s="76"/>
    </row>
    <row r="303" spans="1:29" x14ac:dyDescent="0.3">
      <c r="A303" s="79">
        <f t="shared" si="100"/>
        <v>915</v>
      </c>
      <c r="B303" s="80" t="str">
        <f t="shared" si="99"/>
        <v>393</v>
      </c>
      <c r="C303" s="4" t="s">
        <v>195</v>
      </c>
      <c r="D303" s="29"/>
      <c r="F303" s="29"/>
      <c r="G303" s="24"/>
      <c r="H303" s="29" t="s">
        <v>47</v>
      </c>
      <c r="K303" s="4" t="s">
        <v>179</v>
      </c>
      <c r="M303" s="14"/>
      <c r="O303" s="25" t="str" cm="1">
        <f t="array" ref="O303">BIN2HEX(IF(I303&lt;&gt;"",VLOOKUP(I303,Ops!$I$2:'Ops'!$J$15,2,FALSE),IF(ISNUMBER(SEARCH("BR",D303)),"001","000"))&amp;IF(D303&lt;&gt;"",VLOOKUP(D303,Ops!$B$2:'Ops'!$C$23,2,FALSE),"0")&amp;_xlfn.IFS(ISNUMBER(SEARCH("BR",D303)),VLOOKUP(D303,Ops!$B$3:'Ops'!$D$22,3,FALSE),F303&lt;&gt;"",VLOOKUP(F303,Ops!$R$2:'Ops'!$S$11,2),L303&lt;&gt;"",VLOOKUP(L303,Ops!$R$2:'Ops'!$S$25,2,FALSE),TRUE,"0000"),2)</f>
        <v>00</v>
      </c>
      <c r="P303" s="26" t="str">
        <f>RIGHT(IF($E303&lt;&gt;"",_xlfn.XLOOKUP($E303,$C$4:$C$681,$B$4:$B$681,"NO LABEL"),BIN2HEX(IF(N303="CarryEn","1","0")&amp;IF(M303="SubXY","1","0")&amp;IF(H303&lt;&gt;"",VLOOKUP(H303,Ops!$F$2:'Ops'!$G$20,2,FALSE),"000000"),2)),2)</f>
        <v>04</v>
      </c>
      <c r="Q303" s="26" t="str" cm="1">
        <f t="array" ref="Q303">BIN2HEX(_xlfn.IFS(D303="HWINTEN","10",G303="KeyAck","01",G303="InitLp8","01",TRUE,"00")&amp;IF(OR(Ops!$O$2:'Ops'!$O$13=K303),VLOOKUP(K303,Ops!$O$2:'Ops'!$P$13,2,FALSE),"000")&amp;IF(E303&lt;&gt;"",IF(LEN(_xlfn.XLOOKUP($E303,$C$5:$C$681,$B$5:$B$681,0))=3,HEX2BIN(LEFT(_xlfn.XLOOKUP($E303,$C$5:$C$681,$B$5:$B$681,0),1),3),IF(OR(Ops!$L$2:'Ops'!$L$11=J303),VLOOKUP(J303,Ops!$L$2:'Ops'!$M$11,2,FALSE),"000")),IF(OR(Ops!$L$2:'Ops'!$L$11=J303),VLOOKUP(J303,Ops!$L$2:'Ops'!$M$11,2,FALSE),"000")),2)</f>
        <v>00</v>
      </c>
      <c r="R303" s="27"/>
      <c r="Z303" s="74" t="str">
        <f t="shared" si="81"/>
        <v>0x00,</v>
      </c>
      <c r="AA303" s="75" t="str">
        <f t="shared" si="82"/>
        <v>0x04,</v>
      </c>
      <c r="AB303" s="75" t="str">
        <f t="shared" si="83"/>
        <v>0x00,</v>
      </c>
      <c r="AC303" s="76"/>
    </row>
    <row r="304" spans="1:29" x14ac:dyDescent="0.3">
      <c r="A304" s="79">
        <f t="shared" si="100"/>
        <v>918</v>
      </c>
      <c r="B304" s="80" t="str">
        <f t="shared" si="99"/>
        <v>396</v>
      </c>
      <c r="D304" s="29"/>
      <c r="F304" s="29"/>
      <c r="G304" s="24"/>
      <c r="H304" s="29"/>
      <c r="J304" s="4" t="s">
        <v>314</v>
      </c>
      <c r="K304" s="4" t="s">
        <v>313</v>
      </c>
      <c r="L304" s="4" t="s">
        <v>312</v>
      </c>
      <c r="M304" s="14"/>
      <c r="O304" s="25" t="str" cm="1">
        <f t="array" ref="O304">BIN2HEX(IF(I304&lt;&gt;"",VLOOKUP(I304,Ops!$I$2:'Ops'!$J$15,2,FALSE),IF(ISNUMBER(SEARCH("BR",D304)),"001","000"))&amp;IF(D304&lt;&gt;"",VLOOKUP(D304,Ops!$B$2:'Ops'!$C$23,2,FALSE),"0")&amp;_xlfn.IFS(ISNUMBER(SEARCH("BR",D304)),VLOOKUP(D304,Ops!$B$3:'Ops'!$D$22,3,FALSE),F304&lt;&gt;"",VLOOKUP(F304,Ops!$R$2:'Ops'!$S$11,2),L304&lt;&gt;"",VLOOKUP(L304,Ops!$R$2:'Ops'!$S$25,2,FALSE),TRUE,"0000"),2)</f>
        <v>03</v>
      </c>
      <c r="P304" s="26" t="str">
        <f>RIGHT(IF($E304&lt;&gt;"",_xlfn.XLOOKUP($E304,$C$4:$C$681,$B$4:$B$681,"NO LABEL"),BIN2HEX(IF(N304="CarryEn","1","0")&amp;IF(M304="SubXY","1","0")&amp;IF(H304&lt;&gt;"",VLOOKUP(H304,Ops!$F$2:'Ops'!$G$20,2,FALSE),"000000"),2)),2)</f>
        <v>00</v>
      </c>
      <c r="Q304" s="26" t="str" cm="1">
        <f t="array" ref="Q304">BIN2HEX(_xlfn.IFS(D304="HWINTEN","10",G304="KeyAck","01",G304="InitLp8","01",TRUE,"00")&amp;IF(OR(Ops!$O$2:'Ops'!$O$13=K304),VLOOKUP(K304,Ops!$O$2:'Ops'!$P$13,2,FALSE),"000")&amp;IF(E304&lt;&gt;"",IF(LEN(_xlfn.XLOOKUP($E304,$C$5:$C$681,$B$5:$B$681,0))=3,HEX2BIN(LEFT(_xlfn.XLOOKUP($E304,$C$5:$C$681,$B$5:$B$681,0),1),3),IF(OR(Ops!$L$2:'Ops'!$L$11=J304),VLOOKUP(J304,Ops!$L$2:'Ops'!$M$11,2,FALSE),"000")),IF(OR(Ops!$L$2:'Ops'!$L$11=J304),VLOOKUP(J304,Ops!$L$2:'Ops'!$M$11,2,FALSE),"000")),2)</f>
        <v>36</v>
      </c>
      <c r="R304" s="27"/>
      <c r="Z304" s="74" t="str">
        <f t="shared" si="81"/>
        <v>0x03,</v>
      </c>
      <c r="AA304" s="75" t="str">
        <f t="shared" si="82"/>
        <v>0x00,</v>
      </c>
      <c r="AB304" s="75" t="str">
        <f t="shared" si="83"/>
        <v>0x36,</v>
      </c>
      <c r="AC304" s="76"/>
    </row>
    <row r="305" spans="1:29" x14ac:dyDescent="0.3">
      <c r="A305" s="79">
        <f t="shared" si="100"/>
        <v>921</v>
      </c>
      <c r="B305" s="80" t="str">
        <f t="shared" si="99"/>
        <v>399</v>
      </c>
      <c r="D305" s="29" t="s">
        <v>45</v>
      </c>
      <c r="E305" s="4" t="s">
        <v>262</v>
      </c>
      <c r="F305" s="29"/>
      <c r="G305" s="24"/>
      <c r="H305" s="29"/>
      <c r="M305" s="14"/>
      <c r="O305" s="25" t="str" cm="1">
        <f t="array" ref="O305">BIN2HEX(IF(I305&lt;&gt;"",VLOOKUP(I305,Ops!$I$2:'Ops'!$J$15,2,FALSE),IF(ISNUMBER(SEARCH("BR",D305)),"001","000"))&amp;IF(D305&lt;&gt;"",VLOOKUP(D305,Ops!$B$2:'Ops'!$C$23,2,FALSE),"0")&amp;_xlfn.IFS(ISNUMBER(SEARCH("BR",D305)),VLOOKUP(D305,Ops!$B$3:'Ops'!$D$22,3,FALSE),F305&lt;&gt;"",VLOOKUP(F305,Ops!$R$2:'Ops'!$S$11,2),L305&lt;&gt;"",VLOOKUP(L305,Ops!$R$2:'Ops'!$S$25,2,FALSE),TRUE,"0000"),2)</f>
        <v>30</v>
      </c>
      <c r="P305" s="26" t="str">
        <f>RIGHT(IF($E305&lt;&gt;"",_xlfn.XLOOKUP($E305,$C$4:$C$681,$B$4:$B$681,"NO LABEL"),BIN2HEX(IF(N305="CarryEn","1","0")&amp;IF(M305="SubXY","1","0")&amp;IF(H305&lt;&gt;"",VLOOKUP(H305,Ops!$F$2:'Ops'!$G$20,2,FALSE),"000000"),2)),2)</f>
        <v>9F</v>
      </c>
      <c r="Q305" s="26" t="str" cm="1">
        <f t="array" ref="Q305">BIN2HEX(_xlfn.IFS(D305="HWINTEN","10",G305="KeyAck","01",G305="InitLp8","01",TRUE,"00")&amp;IF(OR(Ops!$O$2:'Ops'!$O$13=K305),VLOOKUP(K305,Ops!$O$2:'Ops'!$P$13,2,FALSE),"000")&amp;IF(E305&lt;&gt;"",IF(LEN(_xlfn.XLOOKUP($E305,$C$5:$C$681,$B$5:$B$681,0))=3,HEX2BIN(LEFT(_xlfn.XLOOKUP($E305,$C$5:$C$681,$B$5:$B$681,0),1),3),IF(OR(Ops!$L$2:'Ops'!$L$11=J305),VLOOKUP(J305,Ops!$L$2:'Ops'!$M$11,2,FALSE),"000")),IF(OR(Ops!$L$2:'Ops'!$L$11=J305),VLOOKUP(J305,Ops!$L$2:'Ops'!$M$11,2,FALSE),"000")),2)</f>
        <v>03</v>
      </c>
      <c r="R305" s="27"/>
      <c r="Z305" s="74" t="str">
        <f t="shared" si="81"/>
        <v>0x30,</v>
      </c>
      <c r="AA305" s="75" t="str">
        <f t="shared" si="82"/>
        <v>0x9F,</v>
      </c>
      <c r="AB305" s="75" t="str">
        <f t="shared" si="83"/>
        <v>0x03,</v>
      </c>
      <c r="AC305" s="76"/>
    </row>
    <row r="306" spans="1:29" x14ac:dyDescent="0.3">
      <c r="A306" s="79">
        <f t="shared" si="100"/>
        <v>924</v>
      </c>
      <c r="B306" s="80" t="str">
        <f t="shared" si="99"/>
        <v>39C</v>
      </c>
      <c r="D306" s="29" t="s">
        <v>0</v>
      </c>
      <c r="E306" s="4" t="s">
        <v>195</v>
      </c>
      <c r="F306" s="29"/>
      <c r="G306" s="24"/>
      <c r="H306" s="29"/>
      <c r="M306" s="14"/>
      <c r="O306" s="25" t="str" cm="1">
        <f t="array" ref="O306">BIN2HEX(IF(I306&lt;&gt;"",VLOOKUP(I306,Ops!$I$2:'Ops'!$J$15,2,FALSE),IF(ISNUMBER(SEARCH("BR",D306)),"001","000"))&amp;IF(D306&lt;&gt;"",VLOOKUP(D306,Ops!$B$2:'Ops'!$C$23,2,FALSE),"0")&amp;_xlfn.IFS(ISNUMBER(SEARCH("BR",D306)),VLOOKUP(D306,Ops!$B$3:'Ops'!$D$22,3,FALSE),F306&lt;&gt;"",VLOOKUP(F306,Ops!$R$2:'Ops'!$S$11,2),L306&lt;&gt;"",VLOOKUP(L306,Ops!$R$2:'Ops'!$S$25,2,FALSE),TRUE,"0000"),2)</f>
        <v>10</v>
      </c>
      <c r="P306" s="26" t="str">
        <f>RIGHT(IF($E306&lt;&gt;"",_xlfn.XLOOKUP($E306,$C$4:$C$681,$B$4:$B$681,"NO LABEL"),BIN2HEX(IF(N306="CarryEn","1","0")&amp;IF(M306="SubXY","1","0")&amp;IF(H306&lt;&gt;"",VLOOKUP(H306,Ops!$F$2:'Ops'!$G$20,2,FALSE),"000000"),2)),2)</f>
        <v>93</v>
      </c>
      <c r="Q306" s="26" t="str" cm="1">
        <f t="array" ref="Q306">BIN2HEX(_xlfn.IFS(D306="HWINTEN","10",G306="KeyAck","01",G306="InitLp8","01",TRUE,"00")&amp;IF(OR(Ops!$O$2:'Ops'!$O$13=K306),VLOOKUP(K306,Ops!$O$2:'Ops'!$P$13,2,FALSE),"000")&amp;IF(E306&lt;&gt;"",IF(LEN(_xlfn.XLOOKUP($E306,$C$5:$C$681,$B$5:$B$681,0))=3,HEX2BIN(LEFT(_xlfn.XLOOKUP($E306,$C$5:$C$681,$B$5:$B$681,0),1),3),IF(OR(Ops!$L$2:'Ops'!$L$11=J306),VLOOKUP(J306,Ops!$L$2:'Ops'!$M$11,2,FALSE),"000")),IF(OR(Ops!$L$2:'Ops'!$L$11=J306),VLOOKUP(J306,Ops!$L$2:'Ops'!$M$11,2,FALSE),"000")),2)</f>
        <v>03</v>
      </c>
      <c r="R306" s="27"/>
      <c r="Z306" s="74" t="str">
        <f t="shared" si="81"/>
        <v>0x10,</v>
      </c>
      <c r="AA306" s="75" t="str">
        <f t="shared" si="82"/>
        <v>0x93,</v>
      </c>
      <c r="AB306" s="75" t="str">
        <f t="shared" si="83"/>
        <v>0x03,</v>
      </c>
      <c r="AC306" s="76"/>
    </row>
    <row r="307" spans="1:29" x14ac:dyDescent="0.3">
      <c r="A307" s="79">
        <f t="shared" si="100"/>
        <v>927</v>
      </c>
      <c r="B307" s="80" t="str">
        <f t="shared" ref="B307:B312" si="101">DEC2HEX(A307)</f>
        <v>39F</v>
      </c>
      <c r="C307" s="4" t="s">
        <v>262</v>
      </c>
      <c r="D307" s="29" t="s">
        <v>0</v>
      </c>
      <c r="E307" s="4" t="s">
        <v>263</v>
      </c>
      <c r="F307" s="29"/>
      <c r="G307" s="24"/>
      <c r="H307" s="29"/>
      <c r="M307" s="14"/>
      <c r="O307" s="25" t="str" cm="1">
        <f t="array" ref="O307">BIN2HEX(IF(I307&lt;&gt;"",VLOOKUP(I307,Ops!$I$2:'Ops'!$J$15,2,FALSE),IF(ISNUMBER(SEARCH("BR",D307)),"001","000"))&amp;IF(D307&lt;&gt;"",VLOOKUP(D307,Ops!$B$2:'Ops'!$C$23,2,FALSE),"0")&amp;_xlfn.IFS(ISNUMBER(SEARCH("BR",D307)),VLOOKUP(D307,Ops!$B$3:'Ops'!$D$22,3,FALSE),F307&lt;&gt;"",VLOOKUP(F307,Ops!$R$2:'Ops'!$S$11,2),L307&lt;&gt;"",VLOOKUP(L307,Ops!$R$2:'Ops'!$S$25,2,FALSE),TRUE,"0000"),2)</f>
        <v>10</v>
      </c>
      <c r="P307" s="26" t="str">
        <f>RIGHT(IF($E307&lt;&gt;"",_xlfn.XLOOKUP($E307,$C$4:$C$681,$B$4:$B$681,"NO LABEL"),BIN2HEX(IF(N307="CarryEn","1","0")&amp;IF(M307="SubXY","1","0")&amp;IF(H307&lt;&gt;"",VLOOKUP(H307,Ops!$F$2:'Ops'!$G$20,2,FALSE),"000000"),2)),2)</f>
        <v>A8</v>
      </c>
      <c r="Q307" s="26" t="str" cm="1">
        <f t="array" ref="Q307">BIN2HEX(_xlfn.IFS(D307="HWINTEN","10",G307="KeyAck","01",G307="InitLp8","01",TRUE,"00")&amp;IF(OR(Ops!$O$2:'Ops'!$O$13=K307),VLOOKUP(K307,Ops!$O$2:'Ops'!$P$13,2,FALSE),"000")&amp;IF(E307&lt;&gt;"",IF(LEN(_xlfn.XLOOKUP($E307,$C$5:$C$681,$B$5:$B$681,0))=3,HEX2BIN(LEFT(_xlfn.XLOOKUP($E307,$C$5:$C$681,$B$5:$B$681,0),1),3),IF(OR(Ops!$L$2:'Ops'!$L$11=J307),VLOOKUP(J307,Ops!$L$2:'Ops'!$M$11,2,FALSE),"000")),IF(OR(Ops!$L$2:'Ops'!$L$11=J307),VLOOKUP(J307,Ops!$L$2:'Ops'!$M$11,2,FALSE),"000")),2)</f>
        <v>03</v>
      </c>
      <c r="R307" s="27"/>
      <c r="S307" s="4" t="s">
        <v>265</v>
      </c>
      <c r="Z307" s="74" t="str">
        <f t="shared" si="81"/>
        <v>0x10,</v>
      </c>
      <c r="AA307" s="75" t="str">
        <f t="shared" si="82"/>
        <v>0xA8,</v>
      </c>
      <c r="AB307" s="75" t="str">
        <f t="shared" si="83"/>
        <v>0x03,</v>
      </c>
      <c r="AC307" s="76"/>
    </row>
    <row r="308" spans="1:29" x14ac:dyDescent="0.3">
      <c r="A308" s="79">
        <f t="shared" si="100"/>
        <v>930</v>
      </c>
      <c r="B308" s="80" t="str">
        <f t="shared" si="101"/>
        <v>3A2</v>
      </c>
      <c r="C308" s="4" t="s">
        <v>264</v>
      </c>
      <c r="D308" s="29"/>
      <c r="F308" s="29"/>
      <c r="G308" s="24"/>
      <c r="H308" s="29" t="s">
        <v>464</v>
      </c>
      <c r="I308" s="4" t="s">
        <v>482</v>
      </c>
      <c r="J308" s="4" t="s">
        <v>191</v>
      </c>
      <c r="K308" s="4" t="s">
        <v>179</v>
      </c>
      <c r="M308" s="14"/>
      <c r="O308" s="25" t="str" cm="1">
        <f t="array" ref="O308">BIN2HEX(IF(I308&lt;&gt;"",VLOOKUP(I308,Ops!$I$2:'Ops'!$J$15,2,FALSE),IF(ISNUMBER(SEARCH("BR",D308)),"001","000"))&amp;IF(D308&lt;&gt;"",VLOOKUP(D308,Ops!$B$2:'Ops'!$C$23,2,FALSE),"0")&amp;_xlfn.IFS(ISNUMBER(SEARCH("BR",D308)),VLOOKUP(D308,Ops!$B$3:'Ops'!$D$22,3,FALSE),F308&lt;&gt;"",VLOOKUP(F308,Ops!$R$2:'Ops'!$S$11,2),L308&lt;&gt;"",VLOOKUP(L308,Ops!$R$2:'Ops'!$S$25,2,FALSE),TRUE,"0000"),2)</f>
        <v>00</v>
      </c>
      <c r="P308" s="26" t="str">
        <f>RIGHT(IF($E308&lt;&gt;"",_xlfn.XLOOKUP($E308,$C$4:$C$681,$B$4:$B$681,"NO LABEL"),BIN2HEX(IF(N308="CarryEn","1","0")&amp;IF(M308="SubXY","1","0")&amp;IF(H308&lt;&gt;"",VLOOKUP(H308,Ops!$F$2:'Ops'!$G$20,2,FALSE),"000000"),2)),2)</f>
        <v>05</v>
      </c>
      <c r="Q308" s="26" t="str" cm="1">
        <f t="array" ref="Q308">BIN2HEX(_xlfn.IFS(D308="HWINTEN","10",G308="KeyAck","01",G308="InitLp8","01",TRUE,"00")&amp;IF(OR(Ops!$O$2:'Ops'!$O$13=K308),VLOOKUP(K308,Ops!$O$2:'Ops'!$P$13,2,FALSE),"000")&amp;IF(E308&lt;&gt;"",IF(LEN(_xlfn.XLOOKUP($E308,$C$5:$C$681,$B$5:$B$681,0))=3,HEX2BIN(LEFT(_xlfn.XLOOKUP($E308,$C$5:$C$681,$B$5:$B$681,0),1),3),IF(OR(Ops!$L$2:'Ops'!$L$11=J308),VLOOKUP(J308,Ops!$L$2:'Ops'!$M$11,2,FALSE),"000")),IF(OR(Ops!$L$2:'Ops'!$L$11=J308),VLOOKUP(J308,Ops!$L$2:'Ops'!$M$11,2,FALSE),"000")),2)</f>
        <v>00</v>
      </c>
      <c r="R308" s="27"/>
      <c r="S308" s="4" t="s">
        <v>266</v>
      </c>
      <c r="Z308" s="74" t="str">
        <f t="shared" si="81"/>
        <v>0x00,</v>
      </c>
      <c r="AA308" s="75" t="str">
        <f t="shared" si="82"/>
        <v>0x05,</v>
      </c>
      <c r="AB308" s="75" t="str">
        <f t="shared" si="83"/>
        <v>0x00,</v>
      </c>
      <c r="AC308" s="76"/>
    </row>
    <row r="309" spans="1:29" x14ac:dyDescent="0.3">
      <c r="A309" s="79">
        <f t="shared" si="100"/>
        <v>933</v>
      </c>
      <c r="B309" s="80" t="str">
        <f t="shared" si="101"/>
        <v>3A5</v>
      </c>
      <c r="D309" s="29"/>
      <c r="F309" s="29"/>
      <c r="G309" s="24"/>
      <c r="H309" s="29"/>
      <c r="J309" s="4" t="s">
        <v>314</v>
      </c>
      <c r="L309" s="4" t="s">
        <v>181</v>
      </c>
      <c r="M309" s="14"/>
      <c r="O309" s="25" t="str" cm="1">
        <f t="array" ref="O309">BIN2HEX(IF(I309&lt;&gt;"",VLOOKUP(I309,Ops!$I$2:'Ops'!$J$15,2,FALSE),IF(ISNUMBER(SEARCH("BR",D309)),"001","000"))&amp;IF(D309&lt;&gt;"",VLOOKUP(D309,Ops!$B$2:'Ops'!$C$23,2,FALSE),"0")&amp;_xlfn.IFS(ISNUMBER(SEARCH("BR",D309)),VLOOKUP(D309,Ops!$B$3:'Ops'!$D$22,3,FALSE),F309&lt;&gt;"",VLOOKUP(F309,Ops!$R$2:'Ops'!$S$11,2),L309&lt;&gt;"",VLOOKUP(L309,Ops!$R$2:'Ops'!$S$25,2,FALSE),TRUE,"0000"),2)</f>
        <v>02</v>
      </c>
      <c r="P309" s="26" t="str">
        <f>RIGHT(IF($E309&lt;&gt;"",_xlfn.XLOOKUP($E309,$C$4:$C$681,$B$4:$B$681,"NO LABEL"),BIN2HEX(IF(N309="CarryEn","1","0")&amp;IF(M309="SubXY","1","0")&amp;IF(H309&lt;&gt;"",VLOOKUP(H309,Ops!$F$2:'Ops'!$G$20,2,FALSE),"000000"),2)),2)</f>
        <v>00</v>
      </c>
      <c r="Q309" s="26" t="str" cm="1">
        <f t="array" ref="Q309">BIN2HEX(_xlfn.IFS(D309="HWINTEN","10",G309="KeyAck","01",G309="InitLp8","01",TRUE,"00")&amp;IF(OR(Ops!$O$2:'Ops'!$O$13=K309),VLOOKUP(K309,Ops!$O$2:'Ops'!$P$13,2,FALSE),"000")&amp;IF(E309&lt;&gt;"",IF(LEN(_xlfn.XLOOKUP($E309,$C$5:$C$681,$B$5:$B$681,0))=3,HEX2BIN(LEFT(_xlfn.XLOOKUP($E309,$C$5:$C$681,$B$5:$B$681,0),1),3),IF(OR(Ops!$L$2:'Ops'!$L$11=J309),VLOOKUP(J309,Ops!$L$2:'Ops'!$M$11,2,FALSE),"000")),IF(OR(Ops!$L$2:'Ops'!$L$11=J309),VLOOKUP(J309,Ops!$L$2:'Ops'!$M$11,2,FALSE),"000")),2)</f>
        <v>06</v>
      </c>
      <c r="R309" s="27"/>
      <c r="S309" s="4" t="s">
        <v>342</v>
      </c>
      <c r="Z309" s="74" t="str">
        <f t="shared" si="81"/>
        <v>0x02,</v>
      </c>
      <c r="AA309" s="75" t="str">
        <f t="shared" si="82"/>
        <v>0x00,</v>
      </c>
      <c r="AB309" s="75" t="str">
        <f t="shared" si="83"/>
        <v>0x06,</v>
      </c>
      <c r="AC309" s="76"/>
    </row>
    <row r="310" spans="1:29" x14ac:dyDescent="0.3">
      <c r="A310" s="79">
        <f t="shared" si="100"/>
        <v>936</v>
      </c>
      <c r="B310" s="80" t="str">
        <f t="shared" si="101"/>
        <v>3A8</v>
      </c>
      <c r="C310" s="4" t="s">
        <v>263</v>
      </c>
      <c r="D310" s="29" t="s">
        <v>175</v>
      </c>
      <c r="E310" s="4" t="s">
        <v>264</v>
      </c>
      <c r="F310" s="29"/>
      <c r="G310" s="24"/>
      <c r="H310" s="29"/>
      <c r="M310" s="14"/>
      <c r="O310" s="25" t="str" cm="1">
        <f t="array" ref="O310">BIN2HEX(IF(I310&lt;&gt;"",VLOOKUP(I310,Ops!$I$2:'Ops'!$J$15,2,FALSE),IF(ISNUMBER(SEARCH("BR",D310)),"001","000"))&amp;IF(D310&lt;&gt;"",VLOOKUP(D310,Ops!$B$2:'Ops'!$C$23,2,FALSE),"0")&amp;_xlfn.IFS(ISNUMBER(SEARCH("BR",D310)),VLOOKUP(D310,Ops!$B$3:'Ops'!$D$22,3,FALSE),F310&lt;&gt;"",VLOOKUP(F310,Ops!$R$2:'Ops'!$S$11,2),L310&lt;&gt;"",VLOOKUP(L310,Ops!$R$2:'Ops'!$S$25,2,FALSE),TRUE,"0000"),2)</f>
        <v>3A</v>
      </c>
      <c r="P310" s="26" t="str">
        <f>RIGHT(IF($E310&lt;&gt;"",_xlfn.XLOOKUP($E310,$C$4:$C$681,$B$4:$B$681,"NO LABEL"),BIN2HEX(IF(N310="CarryEn","1","0")&amp;IF(M310="SubXY","1","0")&amp;IF(H310&lt;&gt;"",VLOOKUP(H310,Ops!$F$2:'Ops'!$G$20,2,FALSE),"000000"),2)),2)</f>
        <v>A2</v>
      </c>
      <c r="Q310" s="26" t="str" cm="1">
        <f t="array" ref="Q310">BIN2HEX(_xlfn.IFS(D310="HWINTEN","10",G310="KeyAck","01",G310="InitLp8","01",TRUE,"00")&amp;IF(OR(Ops!$O$2:'Ops'!$O$13=K310),VLOOKUP(K310,Ops!$O$2:'Ops'!$P$13,2,FALSE),"000")&amp;IF(E310&lt;&gt;"",IF(LEN(_xlfn.XLOOKUP($E310,$C$5:$C$681,$B$5:$B$681,0))=3,HEX2BIN(LEFT(_xlfn.XLOOKUP($E310,$C$5:$C$681,$B$5:$B$681,0),1),3),IF(OR(Ops!$L$2:'Ops'!$L$11=J310),VLOOKUP(J310,Ops!$L$2:'Ops'!$M$11,2,FALSE),"000")),IF(OR(Ops!$L$2:'Ops'!$L$11=J310),VLOOKUP(J310,Ops!$L$2:'Ops'!$M$11,2,FALSE),"000")),2)</f>
        <v>03</v>
      </c>
      <c r="R310" s="27"/>
      <c r="Z310" s="74" t="str">
        <f t="shared" si="81"/>
        <v>0x3A,</v>
      </c>
      <c r="AA310" s="75" t="str">
        <f t="shared" si="82"/>
        <v>0xA2,</v>
      </c>
      <c r="AB310" s="75" t="str">
        <f t="shared" si="83"/>
        <v>0x03,</v>
      </c>
      <c r="AC310" s="76"/>
    </row>
    <row r="311" spans="1:29" x14ac:dyDescent="0.3">
      <c r="A311" s="79">
        <f t="shared" si="100"/>
        <v>939</v>
      </c>
      <c r="B311" s="80" t="str">
        <f t="shared" si="101"/>
        <v>3AB</v>
      </c>
      <c r="C311" s="4" t="s">
        <v>70</v>
      </c>
      <c r="D311" s="29" t="s">
        <v>64</v>
      </c>
      <c r="E311" s="4" t="s">
        <v>71</v>
      </c>
      <c r="F311" s="29"/>
      <c r="G311" s="24"/>
      <c r="H311" s="29"/>
      <c r="M311" s="14"/>
      <c r="O311" s="25" t="str" cm="1">
        <f t="array" ref="O311">BIN2HEX(IF(I311&lt;&gt;"",VLOOKUP(I311,Ops!$I$2:'Ops'!$J$15,2,FALSE),IF(ISNUMBER(SEARCH("BR",D311)),"001","000"))&amp;IF(D311&lt;&gt;"",VLOOKUP(D311,Ops!$B$2:'Ops'!$C$23,2,FALSE),"0")&amp;_xlfn.IFS(ISNUMBER(SEARCH("BR",D311)),VLOOKUP(D311,Ops!$B$3:'Ops'!$D$22,3,FALSE),F311&lt;&gt;"",VLOOKUP(F311,Ops!$R$2:'Ops'!$S$11,2),L311&lt;&gt;"",VLOOKUP(L311,Ops!$R$2:'Ops'!$S$25,2,FALSE),TRUE,"0000"),2)</f>
        <v>34</v>
      </c>
      <c r="P311" s="26" t="str">
        <f>RIGHT(IF($E311&lt;&gt;"",_xlfn.XLOOKUP($E311,$C$4:$C$681,$B$4:$B$681,"NO LABEL"),BIN2HEX(IF(N311="CarryEn","1","0")&amp;IF(M311="SubXY","1","0")&amp;IF(H311&lt;&gt;"",VLOOKUP(H311,Ops!$F$2:'Ops'!$G$20,2,FALSE),"000000"),2)),2)</f>
        <v>B1</v>
      </c>
      <c r="Q311" s="26" t="str" cm="1">
        <f t="array" ref="Q311">BIN2HEX(_xlfn.IFS(D311="HWINTEN","10",G311="KeyAck","01",G311="InitLp8","01",TRUE,"00")&amp;IF(OR(Ops!$O$2:'Ops'!$O$13=K311),VLOOKUP(K311,Ops!$O$2:'Ops'!$P$13,2,FALSE),"000")&amp;IF(E311&lt;&gt;"",IF(LEN(_xlfn.XLOOKUP($E311,$C$5:$C$681,$B$5:$B$681,0))=3,HEX2BIN(LEFT(_xlfn.XLOOKUP($E311,$C$5:$C$681,$B$5:$B$681,0),1),3),IF(OR(Ops!$L$2:'Ops'!$L$11=J311),VLOOKUP(J311,Ops!$L$2:'Ops'!$M$11,2,FALSE),"000")),IF(OR(Ops!$L$2:'Ops'!$L$11=J311),VLOOKUP(J311,Ops!$L$2:'Ops'!$M$11,2,FALSE),"000")),2)</f>
        <v>03</v>
      </c>
      <c r="R311" s="27"/>
      <c r="S311" s="4" t="s">
        <v>158</v>
      </c>
      <c r="Z311" s="74" t="str">
        <f t="shared" si="81"/>
        <v>0x34,</v>
      </c>
      <c r="AA311" s="75" t="str">
        <f t="shared" si="82"/>
        <v>0xB1,</v>
      </c>
      <c r="AB311" s="75" t="str">
        <f t="shared" si="83"/>
        <v>0x03,</v>
      </c>
      <c r="AC311" s="76"/>
    </row>
    <row r="312" spans="1:29" x14ac:dyDescent="0.3">
      <c r="A312" s="79">
        <f t="shared" si="100"/>
        <v>942</v>
      </c>
      <c r="B312" s="80" t="str">
        <f t="shared" si="101"/>
        <v>3AE</v>
      </c>
      <c r="D312" s="29" t="s">
        <v>0</v>
      </c>
      <c r="E312" s="4" t="s">
        <v>66</v>
      </c>
      <c r="F312" s="29"/>
      <c r="G312" s="24"/>
      <c r="H312" s="29"/>
      <c r="M312" s="14"/>
      <c r="O312" s="25" t="str" cm="1">
        <f t="array" ref="O312">BIN2HEX(IF(I312&lt;&gt;"",VLOOKUP(I312,Ops!$I$2:'Ops'!$J$15,2,FALSE),IF(ISNUMBER(SEARCH("BR",D312)),"001","000"))&amp;IF(D312&lt;&gt;"",VLOOKUP(D312,Ops!$B$2:'Ops'!$C$23,2,FALSE),"0")&amp;_xlfn.IFS(ISNUMBER(SEARCH("BR",D312)),VLOOKUP(D312,Ops!$B$3:'Ops'!$D$22,3,FALSE),F312&lt;&gt;"",VLOOKUP(F312,Ops!$R$2:'Ops'!$S$11,2),L312&lt;&gt;"",VLOOKUP(L312,Ops!$R$2:'Ops'!$S$25,2,FALSE),TRUE,"0000"),2)</f>
        <v>10</v>
      </c>
      <c r="P312" s="26" t="str">
        <f>RIGHT(IF($E312&lt;&gt;"",_xlfn.XLOOKUP($E312,$C$4:$C$681,$B$4:$B$681,"NO LABEL"),BIN2HEX(IF(N312="CarryEn","1","0")&amp;IF(M312="SubXY","1","0")&amp;IF(H312&lt;&gt;"",VLOOKUP(H312,Ops!$F$2:'Ops'!$G$20,2,FALSE),"000000"),2)),2)</f>
        <v>B7</v>
      </c>
      <c r="Q312" s="26" t="str" cm="1">
        <f t="array" ref="Q312">BIN2HEX(_xlfn.IFS(D312="HWINTEN","10",G312="KeyAck","01",G312="InitLp8","01",TRUE,"00")&amp;IF(OR(Ops!$O$2:'Ops'!$O$13=K312),VLOOKUP(K312,Ops!$O$2:'Ops'!$P$13,2,FALSE),"000")&amp;IF(E312&lt;&gt;"",IF(LEN(_xlfn.XLOOKUP($E312,$C$5:$C$681,$B$5:$B$681,0))=3,HEX2BIN(LEFT(_xlfn.XLOOKUP($E312,$C$5:$C$681,$B$5:$B$681,0),1),3),IF(OR(Ops!$L$2:'Ops'!$L$11=J312),VLOOKUP(J312,Ops!$L$2:'Ops'!$M$11,2,FALSE),"000")),IF(OR(Ops!$L$2:'Ops'!$L$11=J312),VLOOKUP(J312,Ops!$L$2:'Ops'!$M$11,2,FALSE),"000")),2)</f>
        <v>03</v>
      </c>
      <c r="R312" s="27"/>
      <c r="S312" s="4" t="s">
        <v>159</v>
      </c>
      <c r="Z312" s="74" t="str">
        <f t="shared" si="81"/>
        <v>0x10,</v>
      </c>
      <c r="AA312" s="75" t="str">
        <f t="shared" si="82"/>
        <v>0xB7,</v>
      </c>
      <c r="AB312" s="75" t="str">
        <f t="shared" si="83"/>
        <v>0x03,</v>
      </c>
      <c r="AC312" s="76"/>
    </row>
    <row r="313" spans="1:29" x14ac:dyDescent="0.3">
      <c r="A313" s="79">
        <f t="shared" si="100"/>
        <v>945</v>
      </c>
      <c r="B313" s="80" t="str">
        <f t="shared" ref="B313:B323" si="102">DEC2HEX(A313)</f>
        <v>3B1</v>
      </c>
      <c r="C313" s="4" t="s">
        <v>71</v>
      </c>
      <c r="D313" s="29" t="s">
        <v>67</v>
      </c>
      <c r="E313" s="4" t="s">
        <v>27</v>
      </c>
      <c r="F313" s="29"/>
      <c r="G313" s="24"/>
      <c r="H313" s="29"/>
      <c r="M313" s="14"/>
      <c r="O313" s="25" t="str" cm="1">
        <f t="array" ref="O313">BIN2HEX(IF(I313&lt;&gt;"",VLOOKUP(I313,Ops!$I$2:'Ops'!$J$15,2,FALSE),IF(ISNUMBER(SEARCH("BR",D313)),"001","000"))&amp;IF(D313&lt;&gt;"",VLOOKUP(D313,Ops!$B$2:'Ops'!$C$23,2,FALSE),"0")&amp;_xlfn.IFS(ISNUMBER(SEARCH("BR",D313)),VLOOKUP(D313,Ops!$B$3:'Ops'!$D$22,3,FALSE),F313&lt;&gt;"",VLOOKUP(F313,Ops!$R$2:'Ops'!$S$11,2),L313&lt;&gt;"",VLOOKUP(L313,Ops!$R$2:'Ops'!$S$25,2,FALSE),TRUE,"0000"),2)</f>
        <v>35</v>
      </c>
      <c r="P313" s="26" t="str">
        <f>RIGHT(IF($E313&lt;&gt;"",_xlfn.XLOOKUP($E313,$C$4:$C$681,$B$4:$B$681,"NO LABEL"),BIN2HEX(IF(N313="CarryEn","1","0")&amp;IF(M313="SubXY","1","0")&amp;IF(H313&lt;&gt;"",VLOOKUP(H313,Ops!$F$2:'Ops'!$G$20,2,FALSE),"000000"),2)),2)</f>
        <v>3B</v>
      </c>
      <c r="Q313" s="26" t="str" cm="1">
        <f t="array" ref="Q313">BIN2HEX(_xlfn.IFS(D313="HWINTEN","10",G313="KeyAck","01",G313="InitLp8","01",TRUE,"00")&amp;IF(OR(Ops!$O$2:'Ops'!$O$13=K313),VLOOKUP(K313,Ops!$O$2:'Ops'!$P$13,2,FALSE),"000")&amp;IF(E313&lt;&gt;"",IF(LEN(_xlfn.XLOOKUP($E313,$C$5:$C$681,$B$5:$B$681,0))=3,HEX2BIN(LEFT(_xlfn.XLOOKUP($E313,$C$5:$C$681,$B$5:$B$681,0),1),3),IF(OR(Ops!$L$2:'Ops'!$L$11=J313),VLOOKUP(J313,Ops!$L$2:'Ops'!$M$11,2,FALSE),"000")),IF(OR(Ops!$L$2:'Ops'!$L$11=J313),VLOOKUP(J313,Ops!$L$2:'Ops'!$M$11,2,FALSE),"000")),2)</f>
        <v>04</v>
      </c>
      <c r="R313" s="27"/>
      <c r="S313" s="4" t="s">
        <v>161</v>
      </c>
      <c r="Z313" s="74" t="str">
        <f t="shared" si="81"/>
        <v>0x35,</v>
      </c>
      <c r="AA313" s="75" t="str">
        <f t="shared" si="82"/>
        <v>0x3B,</v>
      </c>
      <c r="AB313" s="75" t="str">
        <f t="shared" si="83"/>
        <v>0x04,</v>
      </c>
      <c r="AC313" s="76"/>
    </row>
    <row r="314" spans="1:29" x14ac:dyDescent="0.3">
      <c r="A314" s="79">
        <f t="shared" si="100"/>
        <v>948</v>
      </c>
      <c r="B314" s="80" t="str">
        <f t="shared" si="102"/>
        <v>3B4</v>
      </c>
      <c r="D314" s="29" t="s">
        <v>0</v>
      </c>
      <c r="E314" s="4" t="s">
        <v>65</v>
      </c>
      <c r="F314" s="29"/>
      <c r="G314" s="24"/>
      <c r="H314" s="29"/>
      <c r="M314" s="14"/>
      <c r="O314" s="25" t="str" cm="1">
        <f t="array" ref="O314">BIN2HEX(IF(I314&lt;&gt;"",VLOOKUP(I314,Ops!$I$2:'Ops'!$J$15,2,FALSE),IF(ISNUMBER(SEARCH("BR",D314)),"001","000"))&amp;IF(D314&lt;&gt;"",VLOOKUP(D314,Ops!$B$2:'Ops'!$C$23,2,FALSE),"0")&amp;_xlfn.IFS(ISNUMBER(SEARCH("BR",D314)),VLOOKUP(D314,Ops!$B$3:'Ops'!$D$22,3,FALSE),F314&lt;&gt;"",VLOOKUP(F314,Ops!$R$2:'Ops'!$S$11,2),L314&lt;&gt;"",VLOOKUP(L314,Ops!$R$2:'Ops'!$S$25,2,FALSE),TRUE,"0000"),2)</f>
        <v>10</v>
      </c>
      <c r="P314" s="26" t="str">
        <f>RIGHT(IF($E314&lt;&gt;"",_xlfn.XLOOKUP($E314,$C$4:$C$681,$B$4:$B$681,"NO LABEL"),BIN2HEX(IF(N314="CarryEn","1","0")&amp;IF(M314="SubXY","1","0")&amp;IF(H314&lt;&gt;"",VLOOKUP(H314,Ops!$F$2:'Ops'!$G$20,2,FALSE),"000000"),2)),2)</f>
        <v>BD</v>
      </c>
      <c r="Q314" s="26" t="str" cm="1">
        <f t="array" ref="Q314">BIN2HEX(_xlfn.IFS(D314="HWINTEN","10",G314="KeyAck","01",G314="InitLp8","01",TRUE,"00")&amp;IF(OR(Ops!$O$2:'Ops'!$O$13=K314),VLOOKUP(K314,Ops!$O$2:'Ops'!$P$13,2,FALSE),"000")&amp;IF(E314&lt;&gt;"",IF(LEN(_xlfn.XLOOKUP($E314,$C$5:$C$681,$B$5:$B$681,0))=3,HEX2BIN(LEFT(_xlfn.XLOOKUP($E314,$C$5:$C$681,$B$5:$B$681,0),1),3),IF(OR(Ops!$L$2:'Ops'!$L$11=J314),VLOOKUP(J314,Ops!$L$2:'Ops'!$M$11,2,FALSE),"000")),IF(OR(Ops!$L$2:'Ops'!$L$11=J314),VLOOKUP(J314,Ops!$L$2:'Ops'!$M$11,2,FALSE),"000")),2)</f>
        <v>03</v>
      </c>
      <c r="R314" s="27"/>
      <c r="S314" s="4" t="s">
        <v>162</v>
      </c>
      <c r="Z314" s="74" t="str">
        <f t="shared" si="81"/>
        <v>0x10,</v>
      </c>
      <c r="AA314" s="75" t="str">
        <f t="shared" si="82"/>
        <v>0xBD,</v>
      </c>
      <c r="AB314" s="75" t="str">
        <f t="shared" si="83"/>
        <v>0x03,</v>
      </c>
      <c r="AC314" s="76"/>
    </row>
    <row r="315" spans="1:29" x14ac:dyDescent="0.3">
      <c r="A315" s="79">
        <f t="shared" si="100"/>
        <v>951</v>
      </c>
      <c r="B315" s="80" t="str">
        <f t="shared" si="102"/>
        <v>3B7</v>
      </c>
      <c r="C315" s="4" t="s">
        <v>66</v>
      </c>
      <c r="D315" s="29" t="s">
        <v>67</v>
      </c>
      <c r="E315" s="4" t="s">
        <v>29</v>
      </c>
      <c r="F315" s="29"/>
      <c r="G315" s="24"/>
      <c r="H315" s="29"/>
      <c r="M315" s="14"/>
      <c r="O315" s="25" t="str" cm="1">
        <f t="array" ref="O315">BIN2HEX(IF(I315&lt;&gt;"",VLOOKUP(I315,Ops!$I$2:'Ops'!$J$15,2,FALSE),IF(ISNUMBER(SEARCH("BR",D315)),"001","000"))&amp;IF(D315&lt;&gt;"",VLOOKUP(D315,Ops!$B$2:'Ops'!$C$23,2,FALSE),"0")&amp;_xlfn.IFS(ISNUMBER(SEARCH("BR",D315)),VLOOKUP(D315,Ops!$B$3:'Ops'!$D$22,3,FALSE),F315&lt;&gt;"",VLOOKUP(F315,Ops!$R$2:'Ops'!$S$11,2),L315&lt;&gt;"",VLOOKUP(L315,Ops!$R$2:'Ops'!$S$25,2,FALSE),TRUE,"0000"),2)</f>
        <v>35</v>
      </c>
      <c r="P315" s="26" t="str">
        <f>RIGHT(IF($E315&lt;&gt;"",_xlfn.XLOOKUP($E315,$C$4:$C$681,$B$4:$B$681,"NO LABEL"),BIN2HEX(IF(N315="CarryEn","1","0")&amp;IF(M315="SubXY","1","0")&amp;IF(H315&lt;&gt;"",VLOOKUP(H315,Ops!$F$2:'Ops'!$G$20,2,FALSE),"000000"),2)),2)</f>
        <v>CF</v>
      </c>
      <c r="Q315" s="26" t="str" cm="1">
        <f t="array" ref="Q315">BIN2HEX(_xlfn.IFS(D315="HWINTEN","10",G315="KeyAck","01",G315="InitLp8","01",TRUE,"00")&amp;IF(OR(Ops!$O$2:'Ops'!$O$13=K315),VLOOKUP(K315,Ops!$O$2:'Ops'!$P$13,2,FALSE),"000")&amp;IF(E315&lt;&gt;"",IF(LEN(_xlfn.XLOOKUP($E315,$C$5:$C$681,$B$5:$B$681,0))=3,HEX2BIN(LEFT(_xlfn.XLOOKUP($E315,$C$5:$C$681,$B$5:$B$681,0),1),3),IF(OR(Ops!$L$2:'Ops'!$L$11=J315),VLOOKUP(J315,Ops!$L$2:'Ops'!$M$11,2,FALSE),"000")),IF(OR(Ops!$L$2:'Ops'!$L$11=J315),VLOOKUP(J315,Ops!$L$2:'Ops'!$M$11,2,FALSE),"000")),2)</f>
        <v>03</v>
      </c>
      <c r="R315" s="27"/>
      <c r="S315" s="4" t="s">
        <v>192</v>
      </c>
      <c r="Z315" s="74" t="str">
        <f t="shared" si="81"/>
        <v>0x35,</v>
      </c>
      <c r="AA315" s="75" t="str">
        <f t="shared" si="82"/>
        <v>0xCF,</v>
      </c>
      <c r="AB315" s="75" t="str">
        <f t="shared" si="83"/>
        <v>0x03,</v>
      </c>
      <c r="AC315" s="76"/>
    </row>
    <row r="316" spans="1:29" x14ac:dyDescent="0.3">
      <c r="A316" s="79">
        <f t="shared" si="100"/>
        <v>954</v>
      </c>
      <c r="B316" s="80" t="str">
        <f t="shared" si="102"/>
        <v>3BA</v>
      </c>
      <c r="D316" s="29" t="s">
        <v>0</v>
      </c>
      <c r="E316" s="4" t="s">
        <v>27</v>
      </c>
      <c r="F316" s="29"/>
      <c r="G316" s="93"/>
      <c r="H316" s="29"/>
      <c r="M316" s="14"/>
      <c r="O316" s="25" t="str" cm="1">
        <f t="array" ref="O316">BIN2HEX(IF(I316&lt;&gt;"",VLOOKUP(I316,Ops!$I$2:'Ops'!$J$15,2,FALSE),IF(ISNUMBER(SEARCH("BR",D316)),"001","000"))&amp;IF(D316&lt;&gt;"",VLOOKUP(D316,Ops!$B$2:'Ops'!$C$23,2,FALSE),"0")&amp;_xlfn.IFS(ISNUMBER(SEARCH("BR",D316)),VLOOKUP(D316,Ops!$B$3:'Ops'!$D$22,3,FALSE),F316&lt;&gt;"",VLOOKUP(F316,Ops!$R$2:'Ops'!$S$11,2),L316&lt;&gt;"",VLOOKUP(L316,Ops!$R$2:'Ops'!$S$25,2,FALSE),TRUE,"0000"),2)</f>
        <v>10</v>
      </c>
      <c r="P316" s="26" t="str">
        <f>RIGHT(IF($E316&lt;&gt;"",_xlfn.XLOOKUP($E316,$C$4:$C$681,$B$4:$B$681,"NO LABEL"),BIN2HEX(IF(N316="CarryEn","1","0")&amp;IF(M316="SubXY","1","0")&amp;IF(H316&lt;&gt;"",VLOOKUP(H316,Ops!$F$2:'Ops'!$G$20,2,FALSE),"000000"),2)),2)</f>
        <v>3B</v>
      </c>
      <c r="Q316" s="26" t="str" cm="1">
        <f t="array" ref="Q316">BIN2HEX(_xlfn.IFS(D316="HWINTEN","10",G316="KeyAck","01",G316="InitLp8","01",TRUE,"00")&amp;IF(OR(Ops!$O$2:'Ops'!$O$13=K316),VLOOKUP(K316,Ops!$O$2:'Ops'!$P$13,2,FALSE),"000")&amp;IF(E316&lt;&gt;"",IF(LEN(_xlfn.XLOOKUP($E316,$C$5:$C$681,$B$5:$B$681,0))=3,HEX2BIN(LEFT(_xlfn.XLOOKUP($E316,$C$5:$C$681,$B$5:$B$681,0),1),3),IF(OR(Ops!$L$2:'Ops'!$L$11=J316),VLOOKUP(J316,Ops!$L$2:'Ops'!$M$11,2,FALSE),"000")),IF(OR(Ops!$L$2:'Ops'!$L$11=J316),VLOOKUP(J316,Ops!$L$2:'Ops'!$M$11,2,FALSE),"000")),2)</f>
        <v>04</v>
      </c>
      <c r="R316" s="27"/>
      <c r="S316" s="4" t="s">
        <v>193</v>
      </c>
      <c r="Z316" s="74" t="str">
        <f t="shared" si="81"/>
        <v>0x10,</v>
      </c>
      <c r="AA316" s="75" t="str">
        <f t="shared" si="82"/>
        <v>0x3B,</v>
      </c>
      <c r="AB316" s="75" t="str">
        <f t="shared" si="83"/>
        <v>0x04,</v>
      </c>
      <c r="AC316" s="76"/>
    </row>
    <row r="317" spans="1:29" x14ac:dyDescent="0.3">
      <c r="A317" s="79">
        <f t="shared" si="100"/>
        <v>957</v>
      </c>
      <c r="B317" s="80" t="str">
        <f t="shared" si="102"/>
        <v>3BD</v>
      </c>
      <c r="C317" s="4" t="s">
        <v>65</v>
      </c>
      <c r="D317" s="29"/>
      <c r="F317" s="29"/>
      <c r="G317" s="24" t="s">
        <v>692</v>
      </c>
      <c r="H317" s="29"/>
      <c r="I317"/>
      <c r="J317"/>
      <c r="K317"/>
      <c r="M317" s="14"/>
      <c r="O317" s="25" t="str" cm="1">
        <f t="array" ref="O317">BIN2HEX(IF(I317&lt;&gt;"",VLOOKUP(I317,Ops!$I$2:'Ops'!$J$15,2,FALSE),IF(ISNUMBER(SEARCH("BR",D317)),"001","000"))&amp;IF(D317&lt;&gt;"",VLOOKUP(D317,Ops!$B$2:'Ops'!$C$23,2,FALSE),"0")&amp;_xlfn.IFS(ISNUMBER(SEARCH("BR",D317)),VLOOKUP(D317,Ops!$B$3:'Ops'!$D$22,3,FALSE),F317&lt;&gt;"",VLOOKUP(F317,Ops!$R$2:'Ops'!$S$11,2),L317&lt;&gt;"",VLOOKUP(L317,Ops!$R$2:'Ops'!$S$25,2,FALSE),TRUE,"0000"),2)</f>
        <v>00</v>
      </c>
      <c r="P317" s="26" t="str">
        <f>RIGHT(IF($E317&lt;&gt;"",_xlfn.XLOOKUP($E317,$C$4:$C$681,$B$4:$B$681,"NO LABEL"),BIN2HEX(IF(N317="CarryEn","1","0")&amp;IF(M317="SubXY","1","0")&amp;IF(H317&lt;&gt;"",VLOOKUP(H317,Ops!$F$2:'Ops'!$G$20,2,FALSE),"000000"),2)),2)</f>
        <v>00</v>
      </c>
      <c r="Q317" s="26" t="str" cm="1">
        <f t="array" ref="Q317">BIN2HEX(_xlfn.IFS(D317="HWINTEN","10",G317="KeyAck","01",G317="InitLp8","01",TRUE,"00")&amp;IF(OR(Ops!$O$2:'Ops'!$O$13=K317),VLOOKUP(K317,Ops!$O$2:'Ops'!$P$13,2,FALSE),"000")&amp;IF(E317&lt;&gt;"",IF(LEN(_xlfn.XLOOKUP($E317,$C$5:$C$681,$B$5:$B$681,0))=3,HEX2BIN(LEFT(_xlfn.XLOOKUP($E317,$C$5:$C$681,$B$5:$B$681,0),1),3),IF(OR(Ops!$L$2:'Ops'!$L$11=J317),VLOOKUP(J317,Ops!$L$2:'Ops'!$M$11,2,FALSE),"000")),IF(OR(Ops!$L$2:'Ops'!$L$11=J317),VLOOKUP(J317,Ops!$L$2:'Ops'!$M$11,2,FALSE),"000")),2)</f>
        <v>40</v>
      </c>
      <c r="R317" s="27"/>
      <c r="S317" s="36" t="s">
        <v>194</v>
      </c>
      <c r="Z317" s="74" t="str">
        <f t="shared" ref="Z317:Z384" si="103">IF(O317="", "};", "0x"&amp;O317&amp;",")</f>
        <v>0x00,</v>
      </c>
      <c r="AA317" s="75" t="str">
        <f t="shared" si="82"/>
        <v>0x00,</v>
      </c>
      <c r="AB317" s="75" t="str">
        <f t="shared" si="83"/>
        <v>0x40,</v>
      </c>
      <c r="AC317" s="76"/>
    </row>
    <row r="318" spans="1:29" x14ac:dyDescent="0.3">
      <c r="A318" s="79">
        <f t="shared" si="100"/>
        <v>960</v>
      </c>
      <c r="B318" s="80" t="str">
        <f t="shared" si="102"/>
        <v>3C0</v>
      </c>
      <c r="D318" s="29" t="s">
        <v>251</v>
      </c>
      <c r="E318" s="4" t="s">
        <v>608</v>
      </c>
      <c r="F318" s="29"/>
      <c r="G318" s="24"/>
      <c r="H318" s="29"/>
      <c r="I318"/>
      <c r="J318"/>
      <c r="K318"/>
      <c r="M318" s="14"/>
      <c r="O318" s="25" t="str" cm="1">
        <f t="array" ref="O318">BIN2HEX(IF(I318&lt;&gt;"",VLOOKUP(I318,Ops!$I$2:'Ops'!$J$15,2,FALSE),IF(ISNUMBER(SEARCH("BR",D318)),"001","000"))&amp;IF(D318&lt;&gt;"",VLOOKUP(D318,Ops!$B$2:'Ops'!$C$23,2,FALSE),"0")&amp;_xlfn.IFS(ISNUMBER(SEARCH("BR",D318)),VLOOKUP(D318,Ops!$B$3:'Ops'!$D$22,3,FALSE),F318&lt;&gt;"",VLOOKUP(F318,Ops!$R$2:'Ops'!$S$11,2),L318&lt;&gt;"",VLOOKUP(L318,Ops!$R$2:'Ops'!$S$25,2,FALSE),TRUE,"0000"),2)</f>
        <v>3F</v>
      </c>
      <c r="P318" s="26" t="str">
        <f>RIGHT(IF($E318&lt;&gt;"",_xlfn.XLOOKUP($E318,$C$4:$C$681,$B$4:$B$681,"NO LABEL"),BIN2HEX(IF(N318="CarryEn","1","0")&amp;IF(M318="SubXY","1","0")&amp;IF(H318&lt;&gt;"",VLOOKUP(H318,Ops!$F$2:'Ops'!$G$20,2,FALSE),"000000"),2)),2)</f>
        <v>C3</v>
      </c>
      <c r="Q318" s="26" t="str" cm="1">
        <f t="array" ref="Q318">BIN2HEX(_xlfn.IFS(D318="HWINTEN","10",G318="KeyAck","01",G318="InitLp8","01",TRUE,"00")&amp;IF(OR(Ops!$O$2:'Ops'!$O$13=K318),VLOOKUP(K318,Ops!$O$2:'Ops'!$P$13,2,FALSE),"000")&amp;IF(E318&lt;&gt;"",IF(LEN(_xlfn.XLOOKUP($E318,$C$5:$C$681,$B$5:$B$681,0))=3,HEX2BIN(LEFT(_xlfn.XLOOKUP($E318,$C$5:$C$681,$B$5:$B$681,0),1),3),IF(OR(Ops!$L$2:'Ops'!$L$11=J318),VLOOKUP(J318,Ops!$L$2:'Ops'!$M$11,2,FALSE),"000")),IF(OR(Ops!$L$2:'Ops'!$L$11=J318),VLOOKUP(J318,Ops!$L$2:'Ops'!$M$11,2,FALSE),"000")),2)</f>
        <v>03</v>
      </c>
      <c r="R318" s="27"/>
      <c r="Z318" s="74" t="str">
        <f t="shared" si="103"/>
        <v>0x3F,</v>
      </c>
      <c r="AA318" s="75" t="str">
        <f t="shared" ref="AA318:AA384" si="104">"0x"&amp;P318&amp;","</f>
        <v>0xC3,</v>
      </c>
      <c r="AB318" s="75" t="str">
        <f t="shared" ref="AB318:AB384" si="105">"0x"&amp;Q318&amp;","</f>
        <v>0x03,</v>
      </c>
      <c r="AC318" s="76"/>
    </row>
    <row r="319" spans="1:29" x14ac:dyDescent="0.3">
      <c r="A319" s="79">
        <f t="shared" si="100"/>
        <v>963</v>
      </c>
      <c r="B319" s="80" t="str">
        <f t="shared" si="102"/>
        <v>3C3</v>
      </c>
      <c r="C319" s="4" t="s">
        <v>608</v>
      </c>
      <c r="D319" s="29"/>
      <c r="F319" s="29"/>
      <c r="G319" s="24"/>
      <c r="H319" s="29" t="s">
        <v>68</v>
      </c>
      <c r="I319" t="s">
        <v>478</v>
      </c>
      <c r="J319" t="s">
        <v>474</v>
      </c>
      <c r="K319" t="s">
        <v>469</v>
      </c>
      <c r="M319" s="14"/>
      <c r="O319" s="25" t="str" cm="1">
        <f t="array" ref="O319">BIN2HEX(IF(I319&lt;&gt;"",VLOOKUP(I319,Ops!$I$2:'Ops'!$J$15,2,FALSE),IF(ISNUMBER(SEARCH("BR",D319)),"001","000"))&amp;IF(D319&lt;&gt;"",VLOOKUP(D319,Ops!$B$2:'Ops'!$C$23,2,FALSE),"0")&amp;_xlfn.IFS(ISNUMBER(SEARCH("BR",D319)),VLOOKUP(D319,Ops!$B$3:'Ops'!$D$22,3,FALSE),F319&lt;&gt;"",VLOOKUP(F319,Ops!$R$2:'Ops'!$S$11,2),L319&lt;&gt;"",VLOOKUP(L319,Ops!$R$2:'Ops'!$S$25,2,FALSE),TRUE,"0000"),2)</f>
        <v>20</v>
      </c>
      <c r="P319" s="26" t="str">
        <f>RIGHT(IF($E319&lt;&gt;"",_xlfn.XLOOKUP($E319,$C$4:$C$681,$B$4:$B$681,"NO LABEL"),BIN2HEX(IF(N319="CarryEn","1","0")&amp;IF(M319="SubXY","1","0")&amp;IF(H319&lt;&gt;"",VLOOKUP(H319,Ops!$F$2:'Ops'!$G$20,2,FALSE),"000000"),2)),2)</f>
        <v>05</v>
      </c>
      <c r="Q319" s="26" t="str" cm="1">
        <f t="array" ref="Q319">BIN2HEX(_xlfn.IFS(D319="HWINTEN","10",G319="KeyAck","01",G319="InitLp8","01",TRUE,"00")&amp;IF(OR(Ops!$O$2:'Ops'!$O$13=K319),VLOOKUP(K319,Ops!$O$2:'Ops'!$P$13,2,FALSE),"000")&amp;IF(E319&lt;&gt;"",IF(LEN(_xlfn.XLOOKUP($E319,$C$5:$C$681,$B$5:$B$681,0))=3,HEX2BIN(LEFT(_xlfn.XLOOKUP($E319,$C$5:$C$681,$B$5:$B$681,0),1),3),IF(OR(Ops!$L$2:'Ops'!$L$11=J319),VLOOKUP(J319,Ops!$L$2:'Ops'!$M$11,2,FALSE),"000")),IF(OR(Ops!$L$2:'Ops'!$L$11=J319),VLOOKUP(J319,Ops!$L$2:'Ops'!$M$11,2,FALSE),"000")),2)</f>
        <v>2C</v>
      </c>
      <c r="R319" s="27"/>
      <c r="Z319" s="74" t="str">
        <f t="shared" si="103"/>
        <v>0x20,</v>
      </c>
      <c r="AA319" s="75" t="str">
        <f t="shared" si="104"/>
        <v>0x05,</v>
      </c>
      <c r="AB319" s="75" t="str">
        <f t="shared" si="105"/>
        <v>0x2C,</v>
      </c>
      <c r="AC319" s="76"/>
    </row>
    <row r="320" spans="1:29" x14ac:dyDescent="0.3">
      <c r="A320" s="79">
        <f t="shared" si="100"/>
        <v>966</v>
      </c>
      <c r="B320" s="80" t="str">
        <f t="shared" si="102"/>
        <v>3C6</v>
      </c>
      <c r="D320" s="29" t="s">
        <v>251</v>
      </c>
      <c r="E320" s="4" t="s">
        <v>608</v>
      </c>
      <c r="F320" s="29"/>
      <c r="G320" s="24"/>
      <c r="H320" s="29"/>
      <c r="I320"/>
      <c r="J320"/>
      <c r="K320"/>
      <c r="M320" s="14"/>
      <c r="O320" s="25" t="str" cm="1">
        <f t="array" ref="O320">BIN2HEX(IF(I320&lt;&gt;"",VLOOKUP(I320,Ops!$I$2:'Ops'!$J$15,2,FALSE),IF(ISNUMBER(SEARCH("BR",D320)),"001","000"))&amp;IF(D320&lt;&gt;"",VLOOKUP(D320,Ops!$B$2:'Ops'!$C$23,2,FALSE),"0")&amp;_xlfn.IFS(ISNUMBER(SEARCH("BR",D320)),VLOOKUP(D320,Ops!$B$3:'Ops'!$D$22,3,FALSE),F320&lt;&gt;"",VLOOKUP(F320,Ops!$R$2:'Ops'!$S$11,2),L320&lt;&gt;"",VLOOKUP(L320,Ops!$R$2:'Ops'!$S$25,2,FALSE),TRUE,"0000"),2)</f>
        <v>3F</v>
      </c>
      <c r="P320" s="26" t="str">
        <f>RIGHT(IF($E320&lt;&gt;"",_xlfn.XLOOKUP($E320,$C$4:$C$681,$B$4:$B$681,"NO LABEL"),BIN2HEX(IF(N320="CarryEn","1","0")&amp;IF(M320="SubXY","1","0")&amp;IF(H320&lt;&gt;"",VLOOKUP(H320,Ops!$F$2:'Ops'!$G$20,2,FALSE),"000000"),2)),2)</f>
        <v>C3</v>
      </c>
      <c r="Q320" s="26" t="str" cm="1">
        <f t="array" ref="Q320">BIN2HEX(_xlfn.IFS(D320="HWINTEN","10",G320="KeyAck","01",G320="InitLp8","01",TRUE,"00")&amp;IF(OR(Ops!$O$2:'Ops'!$O$13=K320),VLOOKUP(K320,Ops!$O$2:'Ops'!$P$13,2,FALSE),"000")&amp;IF(E320&lt;&gt;"",IF(LEN(_xlfn.XLOOKUP($E320,$C$5:$C$681,$B$5:$B$681,0))=3,HEX2BIN(LEFT(_xlfn.XLOOKUP($E320,$C$5:$C$681,$B$5:$B$681,0),1),3),IF(OR(Ops!$L$2:'Ops'!$L$11=J320),VLOOKUP(J320,Ops!$L$2:'Ops'!$M$11,2,FALSE),"000")),IF(OR(Ops!$L$2:'Ops'!$L$11=J320),VLOOKUP(J320,Ops!$L$2:'Ops'!$M$11,2,FALSE),"000")),2)</f>
        <v>03</v>
      </c>
      <c r="R320" s="27"/>
      <c r="Z320" s="74" t="str">
        <f t="shared" si="103"/>
        <v>0x3F,</v>
      </c>
      <c r="AA320" s="75" t="str">
        <f t="shared" si="104"/>
        <v>0xC3,</v>
      </c>
      <c r="AB320" s="75" t="str">
        <f t="shared" si="105"/>
        <v>0x03,</v>
      </c>
      <c r="AC320" s="76"/>
    </row>
    <row r="321" spans="1:29" x14ac:dyDescent="0.3">
      <c r="A321" s="79">
        <f t="shared" si="100"/>
        <v>969</v>
      </c>
      <c r="B321" s="80" t="str">
        <f t="shared" si="102"/>
        <v>3C9</v>
      </c>
      <c r="D321" s="29"/>
      <c r="F321" s="29"/>
      <c r="G321" s="24"/>
      <c r="H321" s="29"/>
      <c r="I321"/>
      <c r="J321" s="4" t="s">
        <v>421</v>
      </c>
      <c r="K321" s="4" t="s">
        <v>422</v>
      </c>
      <c r="L321" s="4" t="s">
        <v>40</v>
      </c>
      <c r="M321" s="14"/>
      <c r="O321" s="25" t="str" cm="1">
        <f t="array" ref="O321">BIN2HEX(IF(I321&lt;&gt;"",VLOOKUP(I321,Ops!$I$2:'Ops'!$J$15,2,FALSE),IF(ISNUMBER(SEARCH("BR",D321)),"001","000"))&amp;IF(D321&lt;&gt;"",VLOOKUP(D321,Ops!$B$2:'Ops'!$C$23,2,FALSE),"0")&amp;_xlfn.IFS(ISNUMBER(SEARCH("BR",D321)),VLOOKUP(D321,Ops!$B$3:'Ops'!$D$22,3,FALSE),F321&lt;&gt;"",VLOOKUP(F321,Ops!$R$2:'Ops'!$S$11,2),L321&lt;&gt;"",VLOOKUP(L321,Ops!$R$2:'Ops'!$S$25,2,FALSE),TRUE,"0000"),2)</f>
        <v>04</v>
      </c>
      <c r="P321" s="26" t="str">
        <f>RIGHT(IF($E321&lt;&gt;"",_xlfn.XLOOKUP($E321,$C$4:$C$681,$B$4:$B$681,"NO LABEL"),BIN2HEX(IF(N321="CarryEn","1","0")&amp;IF(M321="SubXY","1","0")&amp;IF(H321&lt;&gt;"",VLOOKUP(H321,Ops!$F$2:'Ops'!$G$20,2,FALSE),"000000"),2)),2)</f>
        <v>00</v>
      </c>
      <c r="Q321" s="26" t="str" cm="1">
        <f t="array" ref="Q321">BIN2HEX(_xlfn.IFS(D321="HWINTEN","10",G321="KeyAck","01",G321="InitLp8","01",TRUE,"00")&amp;IF(OR(Ops!$O$2:'Ops'!$O$13=K321),VLOOKUP(K321,Ops!$O$2:'Ops'!$P$13,2,FALSE),"000")&amp;IF(E321&lt;&gt;"",IF(LEN(_xlfn.XLOOKUP($E321,$C$5:$C$681,$B$5:$B$681,0))=3,HEX2BIN(LEFT(_xlfn.XLOOKUP($E321,$C$5:$C$681,$B$5:$B$681,0),1),3),IF(OR(Ops!$L$2:'Ops'!$L$11=J321),VLOOKUP(J321,Ops!$L$2:'Ops'!$M$11,2,FALSE),"000")),IF(OR(Ops!$L$2:'Ops'!$L$11=J321),VLOOKUP(J321,Ops!$L$2:'Ops'!$M$11,2,FALSE),"000")),2)</f>
        <v>1B</v>
      </c>
      <c r="R321" s="27"/>
      <c r="S321" s="4" t="s">
        <v>491</v>
      </c>
      <c r="Z321" s="74" t="str">
        <f>IF(O321="", "};", "0x"&amp;O321&amp;",")</f>
        <v>0x04,</v>
      </c>
      <c r="AA321" s="75" t="str">
        <f>"0x"&amp;P321&amp;","</f>
        <v>0x00,</v>
      </c>
      <c r="AB321" s="75" t="str">
        <f>"0x"&amp;Q321&amp;","</f>
        <v>0x1B,</v>
      </c>
      <c r="AC321" s="76"/>
    </row>
    <row r="322" spans="1:29" x14ac:dyDescent="0.3">
      <c r="A322" s="79">
        <f t="shared" si="100"/>
        <v>972</v>
      </c>
      <c r="B322" s="80" t="str">
        <f t="shared" si="102"/>
        <v>3CC</v>
      </c>
      <c r="D322" s="29"/>
      <c r="F322" s="29"/>
      <c r="G322" s="24"/>
      <c r="H322" s="29"/>
      <c r="J322" s="4" t="s">
        <v>421</v>
      </c>
      <c r="K322" s="4" t="s">
        <v>424</v>
      </c>
      <c r="L322" s="4" t="s">
        <v>423</v>
      </c>
      <c r="M322" s="14"/>
      <c r="O322" s="25" t="str" cm="1">
        <f t="array" ref="O322">BIN2HEX(IF(I322&lt;&gt;"",VLOOKUP(I322,Ops!$I$2:'Ops'!$J$15,2,FALSE),IF(ISNUMBER(SEARCH("BR",D322)),"001","000"))&amp;IF(D322&lt;&gt;"",VLOOKUP(D322,Ops!$B$2:'Ops'!$C$23,2,FALSE),"0")&amp;_xlfn.IFS(ISNUMBER(SEARCH("BR",D322)),VLOOKUP(D322,Ops!$B$3:'Ops'!$D$22,3,FALSE),F322&lt;&gt;"",VLOOKUP(F322,Ops!$R$2:'Ops'!$S$11,2),L322&lt;&gt;"",VLOOKUP(L322,Ops!$R$2:'Ops'!$S$25,2,FALSE),TRUE,"0000"),2)</f>
        <v>03</v>
      </c>
      <c r="P322" s="26" t="str">
        <f>RIGHT(IF($E322&lt;&gt;"",_xlfn.XLOOKUP($E322,$C$4:$C$681,$B$4:$B$681,"NO LABEL"),BIN2HEX(IF(N322="CarryEn","1","0")&amp;IF(M322="SubXY","1","0")&amp;IF(H322&lt;&gt;"",VLOOKUP(H322,Ops!$F$2:'Ops'!$G$20,2,FALSE),"000000"),2)),2)</f>
        <v>00</v>
      </c>
      <c r="Q322" s="26" t="str" cm="1">
        <f t="array" ref="Q322">BIN2HEX(_xlfn.IFS(D322="HWINTEN","10",G322="KeyAck","01",G322="InitLp8","01",TRUE,"00")&amp;IF(OR(Ops!$O$2:'Ops'!$O$13=K322),VLOOKUP(K322,Ops!$O$2:'Ops'!$P$13,2,FALSE),"000")&amp;IF(E322&lt;&gt;"",IF(LEN(_xlfn.XLOOKUP($E322,$C$5:$C$681,$B$5:$B$681,0))=3,HEX2BIN(LEFT(_xlfn.XLOOKUP($E322,$C$5:$C$681,$B$5:$B$681,0),1),3),IF(OR(Ops!$L$2:'Ops'!$L$11=J322),VLOOKUP(J322,Ops!$L$2:'Ops'!$M$11,2,FALSE),"000")),IF(OR(Ops!$L$2:'Ops'!$L$11=J322),VLOOKUP(J322,Ops!$L$2:'Ops'!$M$11,2,FALSE),"000")),2)</f>
        <v>03</v>
      </c>
      <c r="R322" s="27"/>
      <c r="S322" s="4" t="s">
        <v>492</v>
      </c>
      <c r="Z322" s="74" t="str">
        <f>IF(O322="", "};", "0x"&amp;O322&amp;",")</f>
        <v>0x03,</v>
      </c>
      <c r="AA322" s="75" t="str">
        <f>"0x"&amp;P322&amp;","</f>
        <v>0x00,</v>
      </c>
      <c r="AB322" s="75" t="str">
        <f>"0x"&amp;Q322&amp;","</f>
        <v>0x03,</v>
      </c>
      <c r="AC322" s="76"/>
    </row>
    <row r="323" spans="1:29" x14ac:dyDescent="0.3">
      <c r="A323" s="79">
        <f t="shared" si="100"/>
        <v>975</v>
      </c>
      <c r="B323" s="80" t="str">
        <f t="shared" si="102"/>
        <v>3CF</v>
      </c>
      <c r="C323" s="4" t="s">
        <v>29</v>
      </c>
      <c r="D323" s="29"/>
      <c r="F323" s="29"/>
      <c r="G323" s="24"/>
      <c r="H323" s="29" t="s">
        <v>62</v>
      </c>
      <c r="I323" s="4" t="s">
        <v>482</v>
      </c>
      <c r="J323" t="s">
        <v>63</v>
      </c>
      <c r="M323" s="14" t="s">
        <v>69</v>
      </c>
      <c r="O323" s="25" t="str" cm="1">
        <f t="array" ref="O323">BIN2HEX(IF(I323&lt;&gt;"",VLOOKUP(I323,Ops!$I$2:'Ops'!$J$15,2,FALSE),IF(ISNUMBER(SEARCH("BR",D323)),"001","000"))&amp;IF(D323&lt;&gt;"",VLOOKUP(D323,Ops!$B$2:'Ops'!$C$23,2,FALSE),"0")&amp;_xlfn.IFS(ISNUMBER(SEARCH("BR",D323)),VLOOKUP(D323,Ops!$B$3:'Ops'!$D$22,3,FALSE),F323&lt;&gt;"",VLOOKUP(F323,Ops!$R$2:'Ops'!$S$11,2),L323&lt;&gt;"",VLOOKUP(L323,Ops!$R$2:'Ops'!$S$25,2,FALSE),TRUE,"0000"),2)</f>
        <v>00</v>
      </c>
      <c r="P323" s="26" t="str">
        <f>RIGHT(IF($E323&lt;&gt;"",_xlfn.XLOOKUP($E323,$C$4:$C$681,$B$4:$B$681,"NO LABEL"),BIN2HEX(IF(N323="CarryEn","1","0")&amp;IF(M323="SubXY","1","0")&amp;IF(H323&lt;&gt;"",VLOOKUP(H323,Ops!$F$2:'Ops'!$G$20,2,FALSE),"000000"),2)),2)</f>
        <v>45</v>
      </c>
      <c r="Q323" s="26" t="str" cm="1">
        <f t="array" ref="Q323">BIN2HEX(_xlfn.IFS(D323="HWINTEN","10",G323="KeyAck","01",G323="InitLp8","01",TRUE,"00")&amp;IF(OR(Ops!$O$2:'Ops'!$O$13=K323),VLOOKUP(K323,Ops!$O$2:'Ops'!$P$13,2,FALSE),"000")&amp;IF(E323&lt;&gt;"",IF(LEN(_xlfn.XLOOKUP($E323,$C$5:$C$681,$B$5:$B$681,0))=3,HEX2BIN(LEFT(_xlfn.XLOOKUP($E323,$C$5:$C$681,$B$5:$B$681,0),1),3),IF(OR(Ops!$L$2:'Ops'!$L$11=J323),VLOOKUP(J323,Ops!$L$2:'Ops'!$M$11,2,FALSE),"000")),IF(OR(Ops!$L$2:'Ops'!$L$11=J323),VLOOKUP(J323,Ops!$L$2:'Ops'!$M$11,2,FALSE),"000")),2)</f>
        <v>04</v>
      </c>
      <c r="R323" s="27"/>
      <c r="S323" s="4" t="s">
        <v>163</v>
      </c>
      <c r="Z323" s="74" t="str">
        <f t="shared" si="103"/>
        <v>0x00,</v>
      </c>
      <c r="AA323" s="75" t="str">
        <f t="shared" si="104"/>
        <v>0x45,</v>
      </c>
      <c r="AB323" s="75" t="str">
        <f t="shared" si="105"/>
        <v>0x04,</v>
      </c>
      <c r="AC323" s="76"/>
    </row>
    <row r="324" spans="1:29" x14ac:dyDescent="0.3">
      <c r="A324" s="79">
        <f t="shared" si="100"/>
        <v>978</v>
      </c>
      <c r="B324" s="80" t="str">
        <f t="shared" ref="B324:B336" si="106">DEC2HEX(A324)</f>
        <v>3D2</v>
      </c>
      <c r="D324" s="29"/>
      <c r="F324" s="29"/>
      <c r="G324" s="24"/>
      <c r="H324" s="29" t="s">
        <v>62</v>
      </c>
      <c r="I324" s="4" t="s">
        <v>482</v>
      </c>
      <c r="J324" t="s">
        <v>63</v>
      </c>
      <c r="M324" s="14" t="s">
        <v>69</v>
      </c>
      <c r="N324" s="4" t="s">
        <v>41</v>
      </c>
      <c r="O324" s="25" t="str" cm="1">
        <f t="array" ref="O324">BIN2HEX(IF(I324&lt;&gt;"",VLOOKUP(I324,Ops!$I$2:'Ops'!$J$15,2,FALSE),IF(ISNUMBER(SEARCH("BR",D324)),"001","000"))&amp;IF(D324&lt;&gt;"",VLOOKUP(D324,Ops!$B$2:'Ops'!$C$23,2,FALSE),"0")&amp;_xlfn.IFS(ISNUMBER(SEARCH("BR",D324)),VLOOKUP(D324,Ops!$B$3:'Ops'!$D$22,3,FALSE),F324&lt;&gt;"",VLOOKUP(F324,Ops!$R$2:'Ops'!$S$11,2),L324&lt;&gt;"",VLOOKUP(L324,Ops!$R$2:'Ops'!$S$25,2,FALSE),TRUE,"0000"),2)</f>
        <v>00</v>
      </c>
      <c r="P324" s="26" t="str">
        <f>RIGHT(IF($E324&lt;&gt;"",_xlfn.XLOOKUP($E324,$C$4:$C$681,$B$4:$B$681,"NO LABEL"),BIN2HEX(IF(N324="CarryEn","1","0")&amp;IF(M324="SubXY","1","0")&amp;IF(H324&lt;&gt;"",VLOOKUP(H324,Ops!$F$2:'Ops'!$G$20,2,FALSE),"000000"),2)),2)</f>
        <v>C5</v>
      </c>
      <c r="Q324" s="26" t="str" cm="1">
        <f t="array" ref="Q324">BIN2HEX(_xlfn.IFS(D324="HWINTEN","10",G324="KeyAck","01",G324="InitLp8","01",TRUE,"00")&amp;IF(OR(Ops!$O$2:'Ops'!$O$13=K324),VLOOKUP(K324,Ops!$O$2:'Ops'!$P$13,2,FALSE),"000")&amp;IF(E324&lt;&gt;"",IF(LEN(_xlfn.XLOOKUP($E324,$C$5:$C$681,$B$5:$B$681,0))=3,HEX2BIN(LEFT(_xlfn.XLOOKUP($E324,$C$5:$C$681,$B$5:$B$681,0),1),3),IF(OR(Ops!$L$2:'Ops'!$L$11=J324),VLOOKUP(J324,Ops!$L$2:'Ops'!$M$11,2,FALSE),"000")),IF(OR(Ops!$L$2:'Ops'!$L$11=J324),VLOOKUP(J324,Ops!$L$2:'Ops'!$M$11,2,FALSE),"000")),2)</f>
        <v>04</v>
      </c>
      <c r="R324" s="27"/>
      <c r="Z324" s="74" t="str">
        <f t="shared" si="103"/>
        <v>0x00,</v>
      </c>
      <c r="AA324" s="75" t="str">
        <f t="shared" si="104"/>
        <v>0xC5,</v>
      </c>
      <c r="AB324" s="75" t="str">
        <f t="shared" si="105"/>
        <v>0x04,</v>
      </c>
      <c r="AC324" s="76"/>
    </row>
    <row r="325" spans="1:29" x14ac:dyDescent="0.3">
      <c r="A325" s="79">
        <f t="shared" si="100"/>
        <v>981</v>
      </c>
      <c r="B325" s="80" t="str">
        <f t="shared" si="106"/>
        <v>3D5</v>
      </c>
      <c r="D325" s="29"/>
      <c r="F325" s="29"/>
      <c r="G325" s="24"/>
      <c r="H325" s="29" t="s">
        <v>62</v>
      </c>
      <c r="I325" s="4" t="s">
        <v>482</v>
      </c>
      <c r="J325" t="s">
        <v>63</v>
      </c>
      <c r="M325" s="14" t="s">
        <v>69</v>
      </c>
      <c r="N325" s="4" t="s">
        <v>41</v>
      </c>
      <c r="O325" s="25" t="str" cm="1">
        <f t="array" ref="O325">BIN2HEX(IF(I325&lt;&gt;"",VLOOKUP(I325,Ops!$I$2:'Ops'!$J$15,2,FALSE),IF(ISNUMBER(SEARCH("BR",D325)),"001","000"))&amp;IF(D325&lt;&gt;"",VLOOKUP(D325,Ops!$B$2:'Ops'!$C$23,2,FALSE),"0")&amp;_xlfn.IFS(ISNUMBER(SEARCH("BR",D325)),VLOOKUP(D325,Ops!$B$3:'Ops'!$D$22,3,FALSE),F325&lt;&gt;"",VLOOKUP(F325,Ops!$R$2:'Ops'!$S$11,2),L325&lt;&gt;"",VLOOKUP(L325,Ops!$R$2:'Ops'!$S$25,2,FALSE),TRUE,"0000"),2)</f>
        <v>00</v>
      </c>
      <c r="P325" s="26" t="str">
        <f>RIGHT(IF($E325&lt;&gt;"",_xlfn.XLOOKUP($E325,$C$4:$C$681,$B$4:$B$681,"NO LABEL"),BIN2HEX(IF(N325="CarryEn","1","0")&amp;IF(M325="SubXY","1","0")&amp;IF(H325&lt;&gt;"",VLOOKUP(H325,Ops!$F$2:'Ops'!$G$20,2,FALSE),"000000"),2)),2)</f>
        <v>C5</v>
      </c>
      <c r="Q325" s="26" t="str" cm="1">
        <f t="array" ref="Q325">BIN2HEX(_xlfn.IFS(D325="HWINTEN","10",G325="KeyAck","01",G325="InitLp8","01",TRUE,"00")&amp;IF(OR(Ops!$O$2:'Ops'!$O$13=K325),VLOOKUP(K325,Ops!$O$2:'Ops'!$P$13,2,FALSE),"000")&amp;IF(E325&lt;&gt;"",IF(LEN(_xlfn.XLOOKUP($E325,$C$5:$C$681,$B$5:$B$681,0))=3,HEX2BIN(LEFT(_xlfn.XLOOKUP($E325,$C$5:$C$681,$B$5:$B$681,0),1),3),IF(OR(Ops!$L$2:'Ops'!$L$11=J325),VLOOKUP(J325,Ops!$L$2:'Ops'!$M$11,2,FALSE),"000")),IF(OR(Ops!$L$2:'Ops'!$L$11=J325),VLOOKUP(J325,Ops!$L$2:'Ops'!$M$11,2,FALSE),"000")),2)</f>
        <v>04</v>
      </c>
      <c r="R325" s="27"/>
      <c r="Z325" s="74" t="str">
        <f t="shared" si="103"/>
        <v>0x00,</v>
      </c>
      <c r="AA325" s="75" t="str">
        <f t="shared" si="104"/>
        <v>0xC5,</v>
      </c>
      <c r="AB325" s="75" t="str">
        <f t="shared" si="105"/>
        <v>0x04,</v>
      </c>
      <c r="AC325" s="76"/>
    </row>
    <row r="326" spans="1:29" x14ac:dyDescent="0.3">
      <c r="A326" s="79">
        <f t="shared" si="100"/>
        <v>984</v>
      </c>
      <c r="B326" s="80" t="str">
        <f t="shared" si="106"/>
        <v>3D8</v>
      </c>
      <c r="D326" s="29"/>
      <c r="F326" s="29"/>
      <c r="G326" s="24"/>
      <c r="H326" s="29" t="s">
        <v>62</v>
      </c>
      <c r="I326" s="4" t="s">
        <v>482</v>
      </c>
      <c r="J326" t="s">
        <v>63</v>
      </c>
      <c r="M326" s="14" t="s">
        <v>69</v>
      </c>
      <c r="N326" s="4" t="s">
        <v>41</v>
      </c>
      <c r="O326" s="25" t="str" cm="1">
        <f t="array" ref="O326">BIN2HEX(IF(I326&lt;&gt;"",VLOOKUP(I326,Ops!$I$2:'Ops'!$J$15,2,FALSE),IF(ISNUMBER(SEARCH("BR",D326)),"001","000"))&amp;IF(D326&lt;&gt;"",VLOOKUP(D326,Ops!$B$2:'Ops'!$C$23,2,FALSE),"0")&amp;_xlfn.IFS(ISNUMBER(SEARCH("BR",D326)),VLOOKUP(D326,Ops!$B$3:'Ops'!$D$22,3,FALSE),F326&lt;&gt;"",VLOOKUP(F326,Ops!$R$2:'Ops'!$S$11,2),L326&lt;&gt;"",VLOOKUP(L326,Ops!$R$2:'Ops'!$S$25,2,FALSE),TRUE,"0000"),2)</f>
        <v>00</v>
      </c>
      <c r="P326" s="26" t="str">
        <f>RIGHT(IF($E326&lt;&gt;"",_xlfn.XLOOKUP($E326,$C$4:$C$681,$B$4:$B$681,"NO LABEL"),BIN2HEX(IF(N326="CarryEn","1","0")&amp;IF(M326="SubXY","1","0")&amp;IF(H326&lt;&gt;"",VLOOKUP(H326,Ops!$F$2:'Ops'!$G$20,2,FALSE),"000000"),2)),2)</f>
        <v>C5</v>
      </c>
      <c r="Q326" s="26" t="str" cm="1">
        <f t="array" ref="Q326">BIN2HEX(_xlfn.IFS(D326="HWINTEN","10",G326="KeyAck","01",G326="InitLp8","01",TRUE,"00")&amp;IF(OR(Ops!$O$2:'Ops'!$O$13=K326),VLOOKUP(K326,Ops!$O$2:'Ops'!$P$13,2,FALSE),"000")&amp;IF(E326&lt;&gt;"",IF(LEN(_xlfn.XLOOKUP($E326,$C$5:$C$681,$B$5:$B$681,0))=3,HEX2BIN(LEFT(_xlfn.XLOOKUP($E326,$C$5:$C$681,$B$5:$B$681,0),1),3),IF(OR(Ops!$L$2:'Ops'!$L$11=J326),VLOOKUP(J326,Ops!$L$2:'Ops'!$M$11,2,FALSE),"000")),IF(OR(Ops!$L$2:'Ops'!$L$11=J326),VLOOKUP(J326,Ops!$L$2:'Ops'!$M$11,2,FALSE),"000")),2)</f>
        <v>04</v>
      </c>
      <c r="R326" s="27"/>
      <c r="Z326" s="74" t="str">
        <f t="shared" si="103"/>
        <v>0x00,</v>
      </c>
      <c r="AA326" s="75" t="str">
        <f t="shared" si="104"/>
        <v>0xC5,</v>
      </c>
      <c r="AB326" s="75" t="str">
        <f t="shared" si="105"/>
        <v>0x04,</v>
      </c>
      <c r="AC326" s="76"/>
    </row>
    <row r="327" spans="1:29" x14ac:dyDescent="0.3">
      <c r="A327" s="79">
        <f t="shared" si="100"/>
        <v>987</v>
      </c>
      <c r="B327" s="80" t="str">
        <f t="shared" si="106"/>
        <v>3DB</v>
      </c>
      <c r="D327" s="29"/>
      <c r="F327" s="29"/>
      <c r="G327" s="24"/>
      <c r="H327" s="29" t="s">
        <v>62</v>
      </c>
      <c r="I327" s="4" t="s">
        <v>482</v>
      </c>
      <c r="J327" t="s">
        <v>63</v>
      </c>
      <c r="M327" s="14" t="s">
        <v>69</v>
      </c>
      <c r="N327" s="4" t="s">
        <v>41</v>
      </c>
      <c r="O327" s="25" t="str" cm="1">
        <f t="array" ref="O327">BIN2HEX(IF(I327&lt;&gt;"",VLOOKUP(I327,Ops!$I$2:'Ops'!$J$15,2,FALSE),IF(ISNUMBER(SEARCH("BR",D327)),"001","000"))&amp;IF(D327&lt;&gt;"",VLOOKUP(D327,Ops!$B$2:'Ops'!$C$23,2,FALSE),"0")&amp;_xlfn.IFS(ISNUMBER(SEARCH("BR",D327)),VLOOKUP(D327,Ops!$B$3:'Ops'!$D$22,3,FALSE),F327&lt;&gt;"",VLOOKUP(F327,Ops!$R$2:'Ops'!$S$11,2),L327&lt;&gt;"",VLOOKUP(L327,Ops!$R$2:'Ops'!$S$25,2,FALSE),TRUE,"0000"),2)</f>
        <v>00</v>
      </c>
      <c r="P327" s="26" t="str">
        <f>RIGHT(IF($E327&lt;&gt;"",_xlfn.XLOOKUP($E327,$C$4:$C$681,$B$4:$B$681,"NO LABEL"),BIN2HEX(IF(N327="CarryEn","1","0")&amp;IF(M327="SubXY","1","0")&amp;IF(H327&lt;&gt;"",VLOOKUP(H327,Ops!$F$2:'Ops'!$G$20,2,FALSE),"000000"),2)),2)</f>
        <v>C5</v>
      </c>
      <c r="Q327" s="26" t="str" cm="1">
        <f t="array" ref="Q327">BIN2HEX(_xlfn.IFS(D327="HWINTEN","10",G327="KeyAck","01",G327="InitLp8","01",TRUE,"00")&amp;IF(OR(Ops!$O$2:'Ops'!$O$13=K327),VLOOKUP(K327,Ops!$O$2:'Ops'!$P$13,2,FALSE),"000")&amp;IF(E327&lt;&gt;"",IF(LEN(_xlfn.XLOOKUP($E327,$C$5:$C$681,$B$5:$B$681,0))=3,HEX2BIN(LEFT(_xlfn.XLOOKUP($E327,$C$5:$C$681,$B$5:$B$681,0),1),3),IF(OR(Ops!$L$2:'Ops'!$L$11=J327),VLOOKUP(J327,Ops!$L$2:'Ops'!$M$11,2,FALSE),"000")),IF(OR(Ops!$L$2:'Ops'!$L$11=J327),VLOOKUP(J327,Ops!$L$2:'Ops'!$M$11,2,FALSE),"000")),2)</f>
        <v>04</v>
      </c>
      <c r="R327" s="27"/>
      <c r="Z327" s="74" t="str">
        <f t="shared" si="103"/>
        <v>0x00,</v>
      </c>
      <c r="AA327" s="75" t="str">
        <f t="shared" si="104"/>
        <v>0xC5,</v>
      </c>
      <c r="AB327" s="75" t="str">
        <f t="shared" si="105"/>
        <v>0x04,</v>
      </c>
      <c r="AC327" s="76"/>
    </row>
    <row r="328" spans="1:29" x14ac:dyDescent="0.3">
      <c r="A328" s="79">
        <f t="shared" si="100"/>
        <v>990</v>
      </c>
      <c r="B328" s="80" t="str">
        <f t="shared" si="106"/>
        <v>3DE</v>
      </c>
      <c r="D328" s="29"/>
      <c r="F328" s="29"/>
      <c r="G328" s="24"/>
      <c r="H328" s="29" t="s">
        <v>62</v>
      </c>
      <c r="I328" s="4" t="s">
        <v>482</v>
      </c>
      <c r="J328" t="s">
        <v>63</v>
      </c>
      <c r="M328" s="14" t="s">
        <v>69</v>
      </c>
      <c r="N328" s="4" t="s">
        <v>41</v>
      </c>
      <c r="O328" s="25" t="str" cm="1">
        <f t="array" ref="O328">BIN2HEX(IF(I328&lt;&gt;"",VLOOKUP(I328,Ops!$I$2:'Ops'!$J$15,2,FALSE),IF(ISNUMBER(SEARCH("BR",D328)),"001","000"))&amp;IF(D328&lt;&gt;"",VLOOKUP(D328,Ops!$B$2:'Ops'!$C$23,2,FALSE),"0")&amp;_xlfn.IFS(ISNUMBER(SEARCH("BR",D328)),VLOOKUP(D328,Ops!$B$3:'Ops'!$D$22,3,FALSE),F328&lt;&gt;"",VLOOKUP(F328,Ops!$R$2:'Ops'!$S$11,2),L328&lt;&gt;"",VLOOKUP(L328,Ops!$R$2:'Ops'!$S$25,2,FALSE),TRUE,"0000"),2)</f>
        <v>00</v>
      </c>
      <c r="P328" s="26" t="str">
        <f>RIGHT(IF($E328&lt;&gt;"",_xlfn.XLOOKUP($E328,$C$4:$C$681,$B$4:$B$681,"NO LABEL"),BIN2HEX(IF(N328="CarryEn","1","0")&amp;IF(M328="SubXY","1","0")&amp;IF(H328&lt;&gt;"",VLOOKUP(H328,Ops!$F$2:'Ops'!$G$20,2,FALSE),"000000"),2)),2)</f>
        <v>C5</v>
      </c>
      <c r="Q328" s="26" t="str" cm="1">
        <f t="array" ref="Q328">BIN2HEX(_xlfn.IFS(D328="HWINTEN","10",G328="KeyAck","01",G328="InitLp8","01",TRUE,"00")&amp;IF(OR(Ops!$O$2:'Ops'!$O$13=K328),VLOOKUP(K328,Ops!$O$2:'Ops'!$P$13,2,FALSE),"000")&amp;IF(E328&lt;&gt;"",IF(LEN(_xlfn.XLOOKUP($E328,$C$5:$C$681,$B$5:$B$681,0))=3,HEX2BIN(LEFT(_xlfn.XLOOKUP($E328,$C$5:$C$681,$B$5:$B$681,0),1),3),IF(OR(Ops!$L$2:'Ops'!$L$11=J328),VLOOKUP(J328,Ops!$L$2:'Ops'!$M$11,2,FALSE),"000")),IF(OR(Ops!$L$2:'Ops'!$L$11=J328),VLOOKUP(J328,Ops!$L$2:'Ops'!$M$11,2,FALSE),"000")),2)</f>
        <v>04</v>
      </c>
      <c r="R328" s="27"/>
      <c r="Z328" s="74" t="str">
        <f t="shared" si="103"/>
        <v>0x00,</v>
      </c>
      <c r="AA328" s="75" t="str">
        <f t="shared" si="104"/>
        <v>0xC5,</v>
      </c>
      <c r="AB328" s="75" t="str">
        <f t="shared" si="105"/>
        <v>0x04,</v>
      </c>
      <c r="AC328" s="76"/>
    </row>
    <row r="329" spans="1:29" x14ac:dyDescent="0.3">
      <c r="A329" s="79">
        <f t="shared" si="100"/>
        <v>993</v>
      </c>
      <c r="B329" s="80" t="str">
        <f t="shared" si="106"/>
        <v>3E1</v>
      </c>
      <c r="D329" s="29"/>
      <c r="F329" s="29"/>
      <c r="G329" s="24"/>
      <c r="H329" s="29" t="s">
        <v>62</v>
      </c>
      <c r="I329" s="4" t="s">
        <v>482</v>
      </c>
      <c r="J329" t="s">
        <v>63</v>
      </c>
      <c r="M329" s="14" t="s">
        <v>69</v>
      </c>
      <c r="N329" s="4" t="s">
        <v>41</v>
      </c>
      <c r="O329" s="25" t="str" cm="1">
        <f t="array" ref="O329">BIN2HEX(IF(I329&lt;&gt;"",VLOOKUP(I329,Ops!$I$2:'Ops'!$J$15,2,FALSE),IF(ISNUMBER(SEARCH("BR",D329)),"001","000"))&amp;IF(D329&lt;&gt;"",VLOOKUP(D329,Ops!$B$2:'Ops'!$C$23,2,FALSE),"0")&amp;_xlfn.IFS(ISNUMBER(SEARCH("BR",D329)),VLOOKUP(D329,Ops!$B$3:'Ops'!$D$22,3,FALSE),F329&lt;&gt;"",VLOOKUP(F329,Ops!$R$2:'Ops'!$S$11,2),L329&lt;&gt;"",VLOOKUP(L329,Ops!$R$2:'Ops'!$S$25,2,FALSE),TRUE,"0000"),2)</f>
        <v>00</v>
      </c>
      <c r="P329" s="26" t="str">
        <f>RIGHT(IF($E329&lt;&gt;"",_xlfn.XLOOKUP($E329,$C$4:$C$681,$B$4:$B$681,"NO LABEL"),BIN2HEX(IF(N329="CarryEn","1","0")&amp;IF(M329="SubXY","1","0")&amp;IF(H329&lt;&gt;"",VLOOKUP(H329,Ops!$F$2:'Ops'!$G$20,2,FALSE),"000000"),2)),2)</f>
        <v>C5</v>
      </c>
      <c r="Q329" s="26" t="str" cm="1">
        <f t="array" ref="Q329">BIN2HEX(_xlfn.IFS(D329="HWINTEN","10",G329="KeyAck","01",G329="InitLp8","01",TRUE,"00")&amp;IF(OR(Ops!$O$2:'Ops'!$O$13=K329),VLOOKUP(K329,Ops!$O$2:'Ops'!$P$13,2,FALSE),"000")&amp;IF(E329&lt;&gt;"",IF(LEN(_xlfn.XLOOKUP($E329,$C$5:$C$681,$B$5:$B$681,0))=3,HEX2BIN(LEFT(_xlfn.XLOOKUP($E329,$C$5:$C$681,$B$5:$B$681,0),1),3),IF(OR(Ops!$L$2:'Ops'!$L$11=J329),VLOOKUP(J329,Ops!$L$2:'Ops'!$M$11,2,FALSE),"000")),IF(OR(Ops!$L$2:'Ops'!$L$11=J329),VLOOKUP(J329,Ops!$L$2:'Ops'!$M$11,2,FALSE),"000")),2)</f>
        <v>04</v>
      </c>
      <c r="R329" s="27"/>
      <c r="Z329" s="74" t="str">
        <f t="shared" si="103"/>
        <v>0x00,</v>
      </c>
      <c r="AA329" s="75" t="str">
        <f t="shared" si="104"/>
        <v>0xC5,</v>
      </c>
      <c r="AB329" s="75" t="str">
        <f t="shared" si="105"/>
        <v>0x04,</v>
      </c>
      <c r="AC329" s="76"/>
    </row>
    <row r="330" spans="1:29" x14ac:dyDescent="0.3">
      <c r="A330" s="79">
        <f t="shared" si="100"/>
        <v>996</v>
      </c>
      <c r="B330" s="80" t="str">
        <f t="shared" si="106"/>
        <v>3E4</v>
      </c>
      <c r="D330" s="29"/>
      <c r="F330" s="29"/>
      <c r="G330" s="24"/>
      <c r="H330" s="29" t="s">
        <v>62</v>
      </c>
      <c r="I330" s="4" t="s">
        <v>482</v>
      </c>
      <c r="J330" t="s">
        <v>63</v>
      </c>
      <c r="M330" s="14" t="s">
        <v>69</v>
      </c>
      <c r="N330" s="4" t="s">
        <v>41</v>
      </c>
      <c r="O330" s="25" t="str" cm="1">
        <f t="array" ref="O330">BIN2HEX(IF(I330&lt;&gt;"",VLOOKUP(I330,Ops!$I$2:'Ops'!$J$15,2,FALSE),IF(ISNUMBER(SEARCH("BR",D330)),"001","000"))&amp;IF(D330&lt;&gt;"",VLOOKUP(D330,Ops!$B$2:'Ops'!$C$23,2,FALSE),"0")&amp;_xlfn.IFS(ISNUMBER(SEARCH("BR",D330)),VLOOKUP(D330,Ops!$B$3:'Ops'!$D$22,3,FALSE),F330&lt;&gt;"",VLOOKUP(F330,Ops!$R$2:'Ops'!$S$11,2),L330&lt;&gt;"",VLOOKUP(L330,Ops!$R$2:'Ops'!$S$25,2,FALSE),TRUE,"0000"),2)</f>
        <v>00</v>
      </c>
      <c r="P330" s="26" t="str">
        <f>RIGHT(IF($E330&lt;&gt;"",_xlfn.XLOOKUP($E330,$C$4:$C$681,$B$4:$B$681,"NO LABEL"),BIN2HEX(IF(N330="CarryEn","1","0")&amp;IF(M330="SubXY","1","0")&amp;IF(H330&lt;&gt;"",VLOOKUP(H330,Ops!$F$2:'Ops'!$G$20,2,FALSE),"000000"),2)),2)</f>
        <v>C5</v>
      </c>
      <c r="Q330" s="26" t="str" cm="1">
        <f t="array" ref="Q330">BIN2HEX(_xlfn.IFS(D330="HWINTEN","10",G330="KeyAck","01",G330="InitLp8","01",TRUE,"00")&amp;IF(OR(Ops!$O$2:'Ops'!$O$13=K330),VLOOKUP(K330,Ops!$O$2:'Ops'!$P$13,2,FALSE),"000")&amp;IF(E330&lt;&gt;"",IF(LEN(_xlfn.XLOOKUP($E330,$C$5:$C$681,$B$5:$B$681,0))=3,HEX2BIN(LEFT(_xlfn.XLOOKUP($E330,$C$5:$C$681,$B$5:$B$681,0),1),3),IF(OR(Ops!$L$2:'Ops'!$L$11=J330),VLOOKUP(J330,Ops!$L$2:'Ops'!$M$11,2,FALSE),"000")),IF(OR(Ops!$L$2:'Ops'!$L$11=J330),VLOOKUP(J330,Ops!$L$2:'Ops'!$M$11,2,FALSE),"000")),2)</f>
        <v>04</v>
      </c>
      <c r="R330" s="27"/>
      <c r="Z330" s="74" t="str">
        <f t="shared" si="103"/>
        <v>0x00,</v>
      </c>
      <c r="AA330" s="75" t="str">
        <f t="shared" si="104"/>
        <v>0xC5,</v>
      </c>
      <c r="AB330" s="75" t="str">
        <f t="shared" si="105"/>
        <v>0x04,</v>
      </c>
      <c r="AC330" s="76"/>
    </row>
    <row r="331" spans="1:29" x14ac:dyDescent="0.3">
      <c r="A331" s="79">
        <f t="shared" si="100"/>
        <v>999</v>
      </c>
      <c r="B331" s="80" t="str">
        <f t="shared" si="106"/>
        <v>3E7</v>
      </c>
      <c r="D331" s="29" t="s">
        <v>73</v>
      </c>
      <c r="E331" s="4" t="s">
        <v>74</v>
      </c>
      <c r="F331" s="29"/>
      <c r="G331" s="24"/>
      <c r="H331" s="29"/>
      <c r="M331" s="14"/>
      <c r="O331" s="25" t="str" cm="1">
        <f t="array" ref="O331">BIN2HEX(IF(I331&lt;&gt;"",VLOOKUP(I331,Ops!$I$2:'Ops'!$J$15,2,FALSE),IF(ISNUMBER(SEARCH("BR",D331)),"001","000"))&amp;IF(D331&lt;&gt;"",VLOOKUP(D331,Ops!$B$2:'Ops'!$C$23,2,FALSE),"0")&amp;_xlfn.IFS(ISNUMBER(SEARCH("BR",D331)),VLOOKUP(D331,Ops!$B$3:'Ops'!$D$22,3,FALSE),F331&lt;&gt;"",VLOOKUP(F331,Ops!$R$2:'Ops'!$S$11,2),L331&lt;&gt;"",VLOOKUP(L331,Ops!$R$2:'Ops'!$S$25,2,FALSE),TRUE,"0000"),2)</f>
        <v>3C</v>
      </c>
      <c r="P331" s="26" t="str">
        <f>RIGHT(IF($E331&lt;&gt;"",_xlfn.XLOOKUP($E331,$C$4:$C$681,$B$4:$B$681,"NO LABEL"),BIN2HEX(IF(N331="CarryEn","1","0")&amp;IF(M331="SubXY","1","0")&amp;IF(H331&lt;&gt;"",VLOOKUP(H331,Ops!$F$2:'Ops'!$G$20,2,FALSE),"000000"),2)),2)</f>
        <v>F6</v>
      </c>
      <c r="Q331" s="26" t="str" cm="1">
        <f t="array" ref="Q331">BIN2HEX(_xlfn.IFS(D331="HWINTEN","10",G331="KeyAck","01",G331="InitLp8","01",TRUE,"00")&amp;IF(OR(Ops!$O$2:'Ops'!$O$13=K331),VLOOKUP(K331,Ops!$O$2:'Ops'!$P$13,2,FALSE),"000")&amp;IF(E331&lt;&gt;"",IF(LEN(_xlfn.XLOOKUP($E331,$C$5:$C$681,$B$5:$B$681,0))=3,HEX2BIN(LEFT(_xlfn.XLOOKUP($E331,$C$5:$C$681,$B$5:$B$681,0),1),3),IF(OR(Ops!$L$2:'Ops'!$L$11=J331),VLOOKUP(J331,Ops!$L$2:'Ops'!$M$11,2,FALSE),"000")),IF(OR(Ops!$L$2:'Ops'!$L$11=J331),VLOOKUP(J331,Ops!$L$2:'Ops'!$M$11,2,FALSE),"000")),2)</f>
        <v>03</v>
      </c>
      <c r="R331" s="27"/>
      <c r="S331" s="4" t="s">
        <v>346</v>
      </c>
      <c r="Z331" s="74" t="str">
        <f t="shared" si="103"/>
        <v>0x3C,</v>
      </c>
      <c r="AA331" s="75" t="str">
        <f t="shared" si="104"/>
        <v>0xF6,</v>
      </c>
      <c r="AB331" s="75" t="str">
        <f t="shared" si="105"/>
        <v>0x03,</v>
      </c>
      <c r="AC331" s="76"/>
    </row>
    <row r="332" spans="1:29" x14ac:dyDescent="0.3">
      <c r="A332" s="79">
        <f t="shared" si="100"/>
        <v>1002</v>
      </c>
      <c r="B332" s="80" t="str">
        <f t="shared" si="106"/>
        <v>3EA</v>
      </c>
      <c r="D332" s="29" t="s">
        <v>64</v>
      </c>
      <c r="E332" s="4" t="s">
        <v>85</v>
      </c>
      <c r="F332" s="29"/>
      <c r="G332" s="24"/>
      <c r="H332" s="29"/>
      <c r="M332" s="14"/>
      <c r="O332" s="25" t="str" cm="1">
        <f t="array" ref="O332">BIN2HEX(IF(I332&lt;&gt;"",VLOOKUP(I332,Ops!$I$2:'Ops'!$J$15,2,FALSE),IF(ISNUMBER(SEARCH("BR",D332)),"001","000"))&amp;IF(D332&lt;&gt;"",VLOOKUP(D332,Ops!$B$2:'Ops'!$C$23,2,FALSE),"0")&amp;_xlfn.IFS(ISNUMBER(SEARCH("BR",D332)),VLOOKUP(D332,Ops!$B$3:'Ops'!$D$22,3,FALSE),F332&lt;&gt;"",VLOOKUP(F332,Ops!$R$2:'Ops'!$S$11,2),L332&lt;&gt;"",VLOOKUP(L332,Ops!$R$2:'Ops'!$S$25,2,FALSE),TRUE,"0000"),2)</f>
        <v>34</v>
      </c>
      <c r="P332" s="26" t="str">
        <f>RIGHT(IF($E332&lt;&gt;"",_xlfn.XLOOKUP($E332,$C$4:$C$681,$B$4:$B$681,"NO LABEL"),BIN2HEX(IF(N332="CarryEn","1","0")&amp;IF(M332="SubXY","1","0")&amp;IF(H332&lt;&gt;"",VLOOKUP(H332,Ops!$F$2:'Ops'!$G$20,2,FALSE),"000000"),2)),2)</f>
        <v>30</v>
      </c>
      <c r="Q332" s="26" t="str" cm="1">
        <f t="array" ref="Q332">BIN2HEX(_xlfn.IFS(D332="HWINTEN","10",G332="KeyAck","01",G332="InitLp8","01",TRUE,"00")&amp;IF(OR(Ops!$O$2:'Ops'!$O$13=K332),VLOOKUP(K332,Ops!$O$2:'Ops'!$P$13,2,FALSE),"000")&amp;IF(E332&lt;&gt;"",IF(LEN(_xlfn.XLOOKUP($E332,$C$5:$C$681,$B$5:$B$681,0))=3,HEX2BIN(LEFT(_xlfn.XLOOKUP($E332,$C$5:$C$681,$B$5:$B$681,0),1),3),IF(OR(Ops!$L$2:'Ops'!$L$11=J332),VLOOKUP(J332,Ops!$L$2:'Ops'!$M$11,2,FALSE),"000")),IF(OR(Ops!$L$2:'Ops'!$L$11=J332),VLOOKUP(J332,Ops!$L$2:'Ops'!$M$11,2,FALSE),"000")),2)</f>
        <v>03</v>
      </c>
      <c r="R332" s="27"/>
      <c r="S332" s="4" t="s">
        <v>347</v>
      </c>
      <c r="Z332" s="74" t="str">
        <f t="shared" si="103"/>
        <v>0x34,</v>
      </c>
      <c r="AA332" s="75" t="str">
        <f t="shared" si="104"/>
        <v>0x30,</v>
      </c>
      <c r="AB332" s="75" t="str">
        <f t="shared" si="105"/>
        <v>0x03,</v>
      </c>
      <c r="AC332" s="76"/>
    </row>
    <row r="333" spans="1:29" x14ac:dyDescent="0.3">
      <c r="A333" s="79">
        <f t="shared" si="100"/>
        <v>1005</v>
      </c>
      <c r="B333" s="80" t="str">
        <f t="shared" si="106"/>
        <v>3ED</v>
      </c>
      <c r="D333" s="29" t="s">
        <v>0</v>
      </c>
      <c r="E333" s="4" t="s">
        <v>350</v>
      </c>
      <c r="F333" s="29"/>
      <c r="G333" s="24"/>
      <c r="H333" s="29"/>
      <c r="M333" s="14"/>
      <c r="O333" s="25" t="str" cm="1">
        <f t="array" ref="O333">BIN2HEX(IF(I333&lt;&gt;"",VLOOKUP(I333,Ops!$I$2:'Ops'!$J$15,2,FALSE),IF(ISNUMBER(SEARCH("BR",D333)),"001","000"))&amp;IF(D333&lt;&gt;"",VLOOKUP(D333,Ops!$B$2:'Ops'!$C$23,2,FALSE),"0")&amp;_xlfn.IFS(ISNUMBER(SEARCH("BR",D333)),VLOOKUP(D333,Ops!$B$3:'Ops'!$D$22,3,FALSE),F333&lt;&gt;"",VLOOKUP(F333,Ops!$R$2:'Ops'!$S$11,2),L333&lt;&gt;"",VLOOKUP(L333,Ops!$R$2:'Ops'!$S$25,2,FALSE),TRUE,"0000"),2)</f>
        <v>10</v>
      </c>
      <c r="P333" s="26" t="str">
        <f>RIGHT(IF($E333&lt;&gt;"",_xlfn.XLOOKUP($E333,$C$4:$C$681,$B$4:$B$681,"NO LABEL"),BIN2HEX(IF(N333="CarryEn","1","0")&amp;IF(M333="SubXY","1","0")&amp;IF(H333&lt;&gt;"",VLOOKUP(H333,Ops!$F$2:'Ops'!$G$20,2,FALSE),"000000"),2)),2)</f>
        <v>20</v>
      </c>
      <c r="Q333" s="26" t="str" cm="1">
        <f t="array" ref="Q333">BIN2HEX(_xlfn.IFS(D333="HWINTEN","10",G333="KeyAck","01",G333="InitLp8","01",TRUE,"00")&amp;IF(OR(Ops!$O$2:'Ops'!$O$13=K333),VLOOKUP(K333,Ops!$O$2:'Ops'!$P$13,2,FALSE),"000")&amp;IF(E333&lt;&gt;"",IF(LEN(_xlfn.XLOOKUP($E333,$C$5:$C$681,$B$5:$B$681,0))=3,HEX2BIN(LEFT(_xlfn.XLOOKUP($E333,$C$5:$C$681,$B$5:$B$681,0),1),3),IF(OR(Ops!$L$2:'Ops'!$L$11=J333),VLOOKUP(J333,Ops!$L$2:'Ops'!$M$11,2,FALSE),"000")),IF(OR(Ops!$L$2:'Ops'!$L$11=J333),VLOOKUP(J333,Ops!$L$2:'Ops'!$M$11,2,FALSE),"000")),2)</f>
        <v>04</v>
      </c>
      <c r="R333" s="27"/>
      <c r="S333" s="4" t="s">
        <v>348</v>
      </c>
      <c r="Z333" s="74" t="str">
        <f t="shared" si="103"/>
        <v>0x10,</v>
      </c>
      <c r="AA333" s="75" t="str">
        <f t="shared" si="104"/>
        <v>0x20,</v>
      </c>
      <c r="AB333" s="75" t="str">
        <f t="shared" si="105"/>
        <v>0x04,</v>
      </c>
      <c r="AC333" s="76"/>
    </row>
    <row r="334" spans="1:29" x14ac:dyDescent="0.3">
      <c r="A334" s="79">
        <f t="shared" si="100"/>
        <v>1008</v>
      </c>
      <c r="B334" s="80" t="str">
        <f t="shared" si="106"/>
        <v>3F0</v>
      </c>
      <c r="C334" s="4" t="s">
        <v>85</v>
      </c>
      <c r="D334" s="29"/>
      <c r="F334" s="29"/>
      <c r="G334" s="24"/>
      <c r="H334" s="29"/>
      <c r="J334" s="4" t="s">
        <v>421</v>
      </c>
      <c r="K334" s="4" t="s">
        <v>424</v>
      </c>
      <c r="L334" s="4" t="s">
        <v>423</v>
      </c>
      <c r="M334" s="14"/>
      <c r="O334" s="25" t="str" cm="1">
        <f t="array" ref="O334">BIN2HEX(IF(I334&lt;&gt;"",VLOOKUP(I334,Ops!$I$2:'Ops'!$J$15,2,FALSE),IF(ISNUMBER(SEARCH("BR",D334)),"001","000"))&amp;IF(D334&lt;&gt;"",VLOOKUP(D334,Ops!$B$2:'Ops'!$C$23,2,FALSE),"0")&amp;_xlfn.IFS(ISNUMBER(SEARCH("BR",D334)),VLOOKUP(D334,Ops!$B$3:'Ops'!$D$22,3,FALSE),F334&lt;&gt;"",VLOOKUP(F334,Ops!$R$2:'Ops'!$S$11,2),L334&lt;&gt;"",VLOOKUP(L334,Ops!$R$2:'Ops'!$S$25,2,FALSE),TRUE,"0000"),2)</f>
        <v>03</v>
      </c>
      <c r="P334" s="26" t="str">
        <f>RIGHT(IF($E334&lt;&gt;"",_xlfn.XLOOKUP($E334,$C$4:$C$681,$B$4:$B$681,"NO LABEL"),BIN2HEX(IF(N334="CarryEn","1","0")&amp;IF(M334="SubXY","1","0")&amp;IF(H334&lt;&gt;"",VLOOKUP(H334,Ops!$F$2:'Ops'!$G$20,2,FALSE),"000000"),2)),2)</f>
        <v>00</v>
      </c>
      <c r="Q334" s="26" t="str" cm="1">
        <f t="array" ref="Q334">BIN2HEX(_xlfn.IFS(D334="HWINTEN","10",G334="KeyAck","01",G334="InitLp8","01",TRUE,"00")&amp;IF(OR(Ops!$O$2:'Ops'!$O$13=K334),VLOOKUP(K334,Ops!$O$2:'Ops'!$P$13,2,FALSE),"000")&amp;IF(E334&lt;&gt;"",IF(LEN(_xlfn.XLOOKUP($E334,$C$5:$C$681,$B$5:$B$681,0))=3,HEX2BIN(LEFT(_xlfn.XLOOKUP($E334,$C$5:$C$681,$B$5:$B$681,0),1),3),IF(OR(Ops!$L$2:'Ops'!$L$11=J334),VLOOKUP(J334,Ops!$L$2:'Ops'!$M$11,2,FALSE),"000")),IF(OR(Ops!$L$2:'Ops'!$L$11=J334),VLOOKUP(J334,Ops!$L$2:'Ops'!$M$11,2,FALSE),"000")),2)</f>
        <v>03</v>
      </c>
      <c r="R334" s="27"/>
      <c r="Z334" s="74" t="str">
        <f t="shared" si="103"/>
        <v>0x03,</v>
      </c>
      <c r="AA334" s="75" t="str">
        <f t="shared" si="104"/>
        <v>0x00,</v>
      </c>
      <c r="AB334" s="75" t="str">
        <f t="shared" si="105"/>
        <v>0x03,</v>
      </c>
      <c r="AC334" s="76"/>
    </row>
    <row r="335" spans="1:29" x14ac:dyDescent="0.3">
      <c r="A335" s="79">
        <f t="shared" si="100"/>
        <v>1011</v>
      </c>
      <c r="B335" s="80" t="str">
        <f t="shared" si="106"/>
        <v>3F3</v>
      </c>
      <c r="D335" s="29" t="s">
        <v>0</v>
      </c>
      <c r="E335" s="4" t="s">
        <v>350</v>
      </c>
      <c r="F335" s="29"/>
      <c r="G335" s="24"/>
      <c r="H335" s="29"/>
      <c r="M335" s="14"/>
      <c r="O335" s="25" t="str" cm="1">
        <f t="array" ref="O335">BIN2HEX(IF(I335&lt;&gt;"",VLOOKUP(I335,Ops!$I$2:'Ops'!$J$15,2,FALSE),IF(ISNUMBER(SEARCH("BR",D335)),"001","000"))&amp;IF(D335&lt;&gt;"",VLOOKUP(D335,Ops!$B$2:'Ops'!$C$23,2,FALSE),"0")&amp;_xlfn.IFS(ISNUMBER(SEARCH("BR",D335)),VLOOKUP(D335,Ops!$B$3:'Ops'!$D$22,3,FALSE),F335&lt;&gt;"",VLOOKUP(F335,Ops!$R$2:'Ops'!$S$11,2),L335&lt;&gt;"",VLOOKUP(L335,Ops!$R$2:'Ops'!$S$25,2,FALSE),TRUE,"0000"),2)</f>
        <v>10</v>
      </c>
      <c r="P335" s="26" t="str">
        <f>RIGHT(IF($E335&lt;&gt;"",_xlfn.XLOOKUP($E335,$C$4:$C$681,$B$4:$B$681,"NO LABEL"),BIN2HEX(IF(N335="CarryEn","1","0")&amp;IF(M335="SubXY","1","0")&amp;IF(H335&lt;&gt;"",VLOOKUP(H335,Ops!$F$2:'Ops'!$G$20,2,FALSE),"000000"),2)),2)</f>
        <v>20</v>
      </c>
      <c r="Q335" s="26" t="str" cm="1">
        <f t="array" ref="Q335">BIN2HEX(_xlfn.IFS(D335="HWINTEN","10",G335="KeyAck","01",G335="InitLp8","01",TRUE,"00")&amp;IF(OR(Ops!$O$2:'Ops'!$O$13=K335),VLOOKUP(K335,Ops!$O$2:'Ops'!$P$13,2,FALSE),"000")&amp;IF(E335&lt;&gt;"",IF(LEN(_xlfn.XLOOKUP($E335,$C$5:$C$681,$B$5:$B$681,0))=3,HEX2BIN(LEFT(_xlfn.XLOOKUP($E335,$C$5:$C$681,$B$5:$B$681,0),1),3),IF(OR(Ops!$L$2:'Ops'!$L$11=J335),VLOOKUP(J335,Ops!$L$2:'Ops'!$M$11,2,FALSE),"000")),IF(OR(Ops!$L$2:'Ops'!$L$11=J335),VLOOKUP(J335,Ops!$L$2:'Ops'!$M$11,2,FALSE),"000")),2)</f>
        <v>04</v>
      </c>
      <c r="R335" s="27"/>
      <c r="S335" s="4" t="s">
        <v>348</v>
      </c>
      <c r="Z335" s="74" t="str">
        <f t="shared" si="103"/>
        <v>0x10,</v>
      </c>
      <c r="AA335" s="75" t="str">
        <f t="shared" si="104"/>
        <v>0x20,</v>
      </c>
      <c r="AB335" s="75" t="str">
        <f t="shared" si="105"/>
        <v>0x04,</v>
      </c>
      <c r="AC335" s="76"/>
    </row>
    <row r="336" spans="1:29" x14ac:dyDescent="0.3">
      <c r="A336" s="79">
        <f t="shared" si="100"/>
        <v>1014</v>
      </c>
      <c r="B336" s="80" t="str">
        <f t="shared" si="106"/>
        <v>3F6</v>
      </c>
      <c r="C336" s="4" t="s">
        <v>74</v>
      </c>
      <c r="D336" s="29"/>
      <c r="F336" s="29"/>
      <c r="G336" s="24" t="s">
        <v>692</v>
      </c>
      <c r="H336" s="29"/>
      <c r="I336"/>
      <c r="J336"/>
      <c r="K336"/>
      <c r="M336" s="14"/>
      <c r="O336" s="25" t="str" cm="1">
        <f t="array" ref="O336">BIN2HEX(IF(I336&lt;&gt;"",VLOOKUP(I336,Ops!$I$2:'Ops'!$J$15,2,FALSE),IF(ISNUMBER(SEARCH("BR",D336)),"001","000"))&amp;IF(D336&lt;&gt;"",VLOOKUP(D336,Ops!$B$2:'Ops'!$C$23,2,FALSE),"0")&amp;_xlfn.IFS(ISNUMBER(SEARCH("BR",D336)),VLOOKUP(D336,Ops!$B$3:'Ops'!$D$22,3,FALSE),F336&lt;&gt;"",VLOOKUP(F336,Ops!$R$2:'Ops'!$S$11,2),L336&lt;&gt;"",VLOOKUP(L336,Ops!$R$2:'Ops'!$S$25,2,FALSE),TRUE,"0000"),2)</f>
        <v>00</v>
      </c>
      <c r="P336" s="26" t="str">
        <f>RIGHT(IF($E336&lt;&gt;"",_xlfn.XLOOKUP($E336,$C$4:$C$681,$B$4:$B$681,"NO LABEL"),BIN2HEX(IF(N336="CarryEn","1","0")&amp;IF(M336="SubXY","1","0")&amp;IF(H336&lt;&gt;"",VLOOKUP(H336,Ops!$F$2:'Ops'!$G$20,2,FALSE),"000000"),2)),2)</f>
        <v>00</v>
      </c>
      <c r="Q336" s="26" t="str" cm="1">
        <f t="array" ref="Q336">BIN2HEX(_xlfn.IFS(D336="HWINTEN","10",G336="KeyAck","01",G336="InitLp8","01",TRUE,"00")&amp;IF(OR(Ops!$O$2:'Ops'!$O$13=K336),VLOOKUP(K336,Ops!$O$2:'Ops'!$P$13,2,FALSE),"000")&amp;IF(E336&lt;&gt;"",IF(LEN(_xlfn.XLOOKUP($E336,$C$5:$C$681,$B$5:$B$681,0))=3,HEX2BIN(LEFT(_xlfn.XLOOKUP($E336,$C$5:$C$681,$B$5:$B$681,0),1),3),IF(OR(Ops!$L$2:'Ops'!$L$11=J336),VLOOKUP(J336,Ops!$L$2:'Ops'!$M$11,2,FALSE),"000")),IF(OR(Ops!$L$2:'Ops'!$L$11=J336),VLOOKUP(J336,Ops!$L$2:'Ops'!$M$11,2,FALSE),"000")),2)</f>
        <v>40</v>
      </c>
      <c r="R336" s="27"/>
      <c r="S336" s="4" t="s">
        <v>164</v>
      </c>
      <c r="Z336" s="74" t="str">
        <f t="shared" si="103"/>
        <v>0x00,</v>
      </c>
      <c r="AA336" s="75" t="str">
        <f t="shared" si="104"/>
        <v>0x00,</v>
      </c>
      <c r="AB336" s="75" t="str">
        <f t="shared" si="105"/>
        <v>0x40,</v>
      </c>
      <c r="AC336" s="76"/>
    </row>
    <row r="337" spans="1:29" x14ac:dyDescent="0.3">
      <c r="A337" s="79">
        <f t="shared" si="100"/>
        <v>1017</v>
      </c>
      <c r="B337" s="80" t="str">
        <f>DEC2HEX(A337)</f>
        <v>3F9</v>
      </c>
      <c r="D337" s="29" t="s">
        <v>251</v>
      </c>
      <c r="E337" s="4" t="s">
        <v>607</v>
      </c>
      <c r="F337" s="29"/>
      <c r="G337" s="24"/>
      <c r="H337" s="29"/>
      <c r="I337"/>
      <c r="J337"/>
      <c r="K337"/>
      <c r="M337" s="14"/>
      <c r="O337" s="25" t="str" cm="1">
        <f t="array" ref="O337">BIN2HEX(IF(I337&lt;&gt;"",VLOOKUP(I337,Ops!$I$2:'Ops'!$J$15,2,FALSE),IF(ISNUMBER(SEARCH("BR",D337)),"001","000"))&amp;IF(D337&lt;&gt;"",VLOOKUP(D337,Ops!$B$2:'Ops'!$C$23,2,FALSE),"0")&amp;_xlfn.IFS(ISNUMBER(SEARCH("BR",D337)),VLOOKUP(D337,Ops!$B$3:'Ops'!$D$22,3,FALSE),F337&lt;&gt;"",VLOOKUP(F337,Ops!$R$2:'Ops'!$S$11,2),L337&lt;&gt;"",VLOOKUP(L337,Ops!$R$2:'Ops'!$S$25,2,FALSE),TRUE,"0000"),2)</f>
        <v>3F</v>
      </c>
      <c r="P337" s="26" t="str">
        <f>RIGHT(IF($E337&lt;&gt;"",_xlfn.XLOOKUP($E337,$C$4:$C$681,$B$4:$B$681,"NO LABEL"),BIN2HEX(IF(N337="CarryEn","1","0")&amp;IF(M337="SubXY","1","0")&amp;IF(H337&lt;&gt;"",VLOOKUP(H337,Ops!$F$2:'Ops'!$G$20,2,FALSE),"000000"),2)),2)</f>
        <v>FC</v>
      </c>
      <c r="Q337" s="26" t="str" cm="1">
        <f t="array" ref="Q337">BIN2HEX(_xlfn.IFS(D337="HWINTEN","10",G337="KeyAck","01",G337="InitLp8","01",TRUE,"00")&amp;IF(OR(Ops!$O$2:'Ops'!$O$13=K337),VLOOKUP(K337,Ops!$O$2:'Ops'!$P$13,2,FALSE),"000")&amp;IF(E337&lt;&gt;"",IF(LEN(_xlfn.XLOOKUP($E337,$C$5:$C$681,$B$5:$B$681,0))=3,HEX2BIN(LEFT(_xlfn.XLOOKUP($E337,$C$5:$C$681,$B$5:$B$681,0),1),3),IF(OR(Ops!$L$2:'Ops'!$L$11=J337),VLOOKUP(J337,Ops!$L$2:'Ops'!$M$11,2,FALSE),"000")),IF(OR(Ops!$L$2:'Ops'!$L$11=J337),VLOOKUP(J337,Ops!$L$2:'Ops'!$M$11,2,FALSE),"000")),2)</f>
        <v>03</v>
      </c>
      <c r="R337" s="27"/>
      <c r="S337" s="4" t="s">
        <v>630</v>
      </c>
      <c r="Z337" s="74" t="str">
        <f t="shared" si="103"/>
        <v>0x3F,</v>
      </c>
      <c r="AA337" s="75" t="str">
        <f t="shared" si="104"/>
        <v>0xFC,</v>
      </c>
      <c r="AB337" s="75" t="str">
        <f t="shared" si="105"/>
        <v>0x03,</v>
      </c>
      <c r="AC337" s="76"/>
    </row>
    <row r="338" spans="1:29" x14ac:dyDescent="0.3">
      <c r="A338" s="79">
        <f t="shared" si="100"/>
        <v>1020</v>
      </c>
      <c r="B338" s="80" t="str">
        <f>DEC2HEX(A338)</f>
        <v>3FC</v>
      </c>
      <c r="C338" s="4" t="s">
        <v>607</v>
      </c>
      <c r="D338" s="29"/>
      <c r="F338" s="29"/>
      <c r="G338" s="24"/>
      <c r="H338" s="29" t="s">
        <v>68</v>
      </c>
      <c r="I338" t="s">
        <v>478</v>
      </c>
      <c r="J338" t="s">
        <v>474</v>
      </c>
      <c r="K338" t="s">
        <v>469</v>
      </c>
      <c r="M338" s="14"/>
      <c r="O338" s="25" t="str" cm="1">
        <f t="array" ref="O338">BIN2HEX(IF(I338&lt;&gt;"",VLOOKUP(I338,Ops!$I$2:'Ops'!$J$15,2,FALSE),IF(ISNUMBER(SEARCH("BR",D338)),"001","000"))&amp;IF(D338&lt;&gt;"",VLOOKUP(D338,Ops!$B$2:'Ops'!$C$23,2,FALSE),"0")&amp;_xlfn.IFS(ISNUMBER(SEARCH("BR",D338)),VLOOKUP(D338,Ops!$B$3:'Ops'!$D$22,3,FALSE),F338&lt;&gt;"",VLOOKUP(F338,Ops!$R$2:'Ops'!$S$11,2),L338&lt;&gt;"",VLOOKUP(L338,Ops!$R$2:'Ops'!$S$25,2,FALSE),TRUE,"0000"),2)</f>
        <v>20</v>
      </c>
      <c r="P338" s="26" t="str">
        <f>RIGHT(IF($E338&lt;&gt;"",_xlfn.XLOOKUP($E338,$C$4:$C$681,$B$4:$B$681,"NO LABEL"),BIN2HEX(IF(N338="CarryEn","1","0")&amp;IF(M338="SubXY","1","0")&amp;IF(H338&lt;&gt;"",VLOOKUP(H338,Ops!$F$2:'Ops'!$G$20,2,FALSE),"000000"),2)),2)</f>
        <v>05</v>
      </c>
      <c r="Q338" s="26" t="str" cm="1">
        <f t="array" ref="Q338">BIN2HEX(_xlfn.IFS(D338="HWINTEN","10",G338="KeyAck","01",G338="InitLp8","01",TRUE,"00")&amp;IF(OR(Ops!$O$2:'Ops'!$O$13=K338),VLOOKUP(K338,Ops!$O$2:'Ops'!$P$13,2,FALSE),"000")&amp;IF(E338&lt;&gt;"",IF(LEN(_xlfn.XLOOKUP($E338,$C$5:$C$681,$B$5:$B$681,0))=3,HEX2BIN(LEFT(_xlfn.XLOOKUP($E338,$C$5:$C$681,$B$5:$B$681,0),1),3),IF(OR(Ops!$L$2:'Ops'!$L$11=J338),VLOOKUP(J338,Ops!$L$2:'Ops'!$M$11,2,FALSE),"000")),IF(OR(Ops!$L$2:'Ops'!$L$11=J338),VLOOKUP(J338,Ops!$L$2:'Ops'!$M$11,2,FALSE),"000")),2)</f>
        <v>2C</v>
      </c>
      <c r="R338" s="27"/>
      <c r="S338" s="4" t="s">
        <v>631</v>
      </c>
      <c r="Z338" s="74" t="str">
        <f t="shared" si="103"/>
        <v>0x20,</v>
      </c>
      <c r="AA338" s="75" t="str">
        <f t="shared" si="104"/>
        <v>0x05,</v>
      </c>
      <c r="AB338" s="75" t="str">
        <f t="shared" si="105"/>
        <v>0x2C,</v>
      </c>
      <c r="AC338" s="76"/>
    </row>
    <row r="339" spans="1:29" x14ac:dyDescent="0.3">
      <c r="A339" s="79">
        <f t="shared" si="100"/>
        <v>1023</v>
      </c>
      <c r="B339" s="80" t="str">
        <f>DEC2HEX(A339)</f>
        <v>3FF</v>
      </c>
      <c r="D339" s="29" t="s">
        <v>251</v>
      </c>
      <c r="E339" s="4" t="s">
        <v>607</v>
      </c>
      <c r="F339" s="29"/>
      <c r="G339" s="24"/>
      <c r="H339" s="29"/>
      <c r="I339"/>
      <c r="J339"/>
      <c r="K339"/>
      <c r="M339" s="14"/>
      <c r="O339" s="25" t="str" cm="1">
        <f t="array" ref="O339">BIN2HEX(IF(I339&lt;&gt;"",VLOOKUP(I339,Ops!$I$2:'Ops'!$J$15,2,FALSE),IF(ISNUMBER(SEARCH("BR",D339)),"001","000"))&amp;IF(D339&lt;&gt;"",VLOOKUP(D339,Ops!$B$2:'Ops'!$C$23,2,FALSE),"0")&amp;_xlfn.IFS(ISNUMBER(SEARCH("BR",D339)),VLOOKUP(D339,Ops!$B$3:'Ops'!$D$22,3,FALSE),F339&lt;&gt;"",VLOOKUP(F339,Ops!$R$2:'Ops'!$S$11,2),L339&lt;&gt;"",VLOOKUP(L339,Ops!$R$2:'Ops'!$S$25,2,FALSE),TRUE,"0000"),2)</f>
        <v>3F</v>
      </c>
      <c r="P339" s="26" t="str">
        <f>RIGHT(IF($E339&lt;&gt;"",_xlfn.XLOOKUP($E339,$C$4:$C$681,$B$4:$B$681,"NO LABEL"),BIN2HEX(IF(N339="CarryEn","1","0")&amp;IF(M339="SubXY","1","0")&amp;IF(H339&lt;&gt;"",VLOOKUP(H339,Ops!$F$2:'Ops'!$G$20,2,FALSE),"000000"),2)),2)</f>
        <v>FC</v>
      </c>
      <c r="Q339" s="26" t="str" cm="1">
        <f t="array" ref="Q339">BIN2HEX(_xlfn.IFS(D339="HWINTEN","10",G339="KeyAck","01",G339="InitLp8","01",TRUE,"00")&amp;IF(OR(Ops!$O$2:'Ops'!$O$13=K339),VLOOKUP(K339,Ops!$O$2:'Ops'!$P$13,2,FALSE),"000")&amp;IF(E339&lt;&gt;"",IF(LEN(_xlfn.XLOOKUP($E339,$C$5:$C$681,$B$5:$B$681,0))=3,HEX2BIN(LEFT(_xlfn.XLOOKUP($E339,$C$5:$C$681,$B$5:$B$681,0),1),3),IF(OR(Ops!$L$2:'Ops'!$L$11=J339),VLOOKUP(J339,Ops!$L$2:'Ops'!$M$11,2,FALSE),"000")),IF(OR(Ops!$L$2:'Ops'!$L$11=J339),VLOOKUP(J339,Ops!$L$2:'Ops'!$M$11,2,FALSE),"000")),2)</f>
        <v>03</v>
      </c>
      <c r="R339" s="27"/>
      <c r="Z339" s="74" t="str">
        <f t="shared" si="103"/>
        <v>0x3F,</v>
      </c>
      <c r="AA339" s="75" t="str">
        <f t="shared" si="104"/>
        <v>0xFC,</v>
      </c>
      <c r="AB339" s="75" t="str">
        <f t="shared" si="105"/>
        <v>0x03,</v>
      </c>
      <c r="AC339" s="76"/>
    </row>
    <row r="340" spans="1:29" x14ac:dyDescent="0.3">
      <c r="A340" s="79">
        <f t="shared" si="100"/>
        <v>1026</v>
      </c>
      <c r="B340" s="80" t="str">
        <f>DEC2HEX(A340)</f>
        <v>402</v>
      </c>
      <c r="D340" s="29"/>
      <c r="F340" s="29"/>
      <c r="G340" s="24"/>
      <c r="H340" s="29" t="s">
        <v>62</v>
      </c>
      <c r="I340" s="4" t="s">
        <v>482</v>
      </c>
      <c r="J340" t="s">
        <v>63</v>
      </c>
      <c r="M340" s="14" t="s">
        <v>69</v>
      </c>
      <c r="O340" s="25" t="str" cm="1">
        <f t="array" ref="O340">BIN2HEX(IF(I340&lt;&gt;"",VLOOKUP(I340,Ops!$I$2:'Ops'!$J$15,2,FALSE),IF(ISNUMBER(SEARCH("BR",D340)),"001","000"))&amp;IF(D340&lt;&gt;"",VLOOKUP(D340,Ops!$B$2:'Ops'!$C$23,2,FALSE),"0")&amp;_xlfn.IFS(ISNUMBER(SEARCH("BR",D340)),VLOOKUP(D340,Ops!$B$3:'Ops'!$D$22,3,FALSE),F340&lt;&gt;"",VLOOKUP(F340,Ops!$R$2:'Ops'!$S$11,2),L340&lt;&gt;"",VLOOKUP(L340,Ops!$R$2:'Ops'!$S$25,2,FALSE),TRUE,"0000"),2)</f>
        <v>00</v>
      </c>
      <c r="P340" s="26" t="str">
        <f>RIGHT(IF($E340&lt;&gt;"",_xlfn.XLOOKUP($E340,$C$4:$C$681,$B$4:$B$681,"NO LABEL"),BIN2HEX(IF(N340="CarryEn","1","0")&amp;IF(M340="SubXY","1","0")&amp;IF(H340&lt;&gt;"",VLOOKUP(H340,Ops!$F$2:'Ops'!$G$20,2,FALSE),"000000"),2)),2)</f>
        <v>45</v>
      </c>
      <c r="Q340" s="26" t="str" cm="1">
        <f t="array" ref="Q340">BIN2HEX(_xlfn.IFS(D340="HWINTEN","10",G340="KeyAck","01",G340="InitLp8","01",TRUE,"00")&amp;IF(OR(Ops!$O$2:'Ops'!$O$13=K340),VLOOKUP(K340,Ops!$O$2:'Ops'!$P$13,2,FALSE),"000")&amp;IF(E340&lt;&gt;"",IF(LEN(_xlfn.XLOOKUP($E340,$C$5:$C$681,$B$5:$B$681,0))=3,HEX2BIN(LEFT(_xlfn.XLOOKUP($E340,$C$5:$C$681,$B$5:$B$681,0),1),3),IF(OR(Ops!$L$2:'Ops'!$L$11=J340),VLOOKUP(J340,Ops!$L$2:'Ops'!$M$11,2,FALSE),"000")),IF(OR(Ops!$L$2:'Ops'!$L$11=J340),VLOOKUP(J340,Ops!$L$2:'Ops'!$M$11,2,FALSE),"000")),2)</f>
        <v>04</v>
      </c>
      <c r="R340" s="27"/>
      <c r="S340" s="4" t="s">
        <v>629</v>
      </c>
      <c r="Z340" s="74" t="str">
        <f t="shared" si="103"/>
        <v>0x00,</v>
      </c>
      <c r="AA340" s="75" t="str">
        <f t="shared" si="104"/>
        <v>0x45,</v>
      </c>
      <c r="AB340" s="75" t="str">
        <f t="shared" si="105"/>
        <v>0x04,</v>
      </c>
      <c r="AC340" s="76"/>
    </row>
    <row r="341" spans="1:29" x14ac:dyDescent="0.3">
      <c r="A341" s="79">
        <f t="shared" si="100"/>
        <v>1029</v>
      </c>
      <c r="B341" s="80" t="str">
        <f>DEC2HEX(A341)</f>
        <v>405</v>
      </c>
      <c r="D341" s="29"/>
      <c r="F341" s="29"/>
      <c r="G341" s="24"/>
      <c r="H341" s="29" t="s">
        <v>62</v>
      </c>
      <c r="I341" s="4" t="s">
        <v>482</v>
      </c>
      <c r="J341" t="s">
        <v>63</v>
      </c>
      <c r="M341" s="14" t="s">
        <v>69</v>
      </c>
      <c r="N341" s="4" t="s">
        <v>41</v>
      </c>
      <c r="O341" s="25" t="str" cm="1">
        <f t="array" ref="O341">BIN2HEX(IF(I341&lt;&gt;"",VLOOKUP(I341,Ops!$I$2:'Ops'!$J$15,2,FALSE),IF(ISNUMBER(SEARCH("BR",D341)),"001","000"))&amp;IF(D341&lt;&gt;"",VLOOKUP(D341,Ops!$B$2:'Ops'!$C$23,2,FALSE),"0")&amp;_xlfn.IFS(ISNUMBER(SEARCH("BR",D341)),VLOOKUP(D341,Ops!$B$3:'Ops'!$D$22,3,FALSE),F341&lt;&gt;"",VLOOKUP(F341,Ops!$R$2:'Ops'!$S$11,2),L341&lt;&gt;"",VLOOKUP(L341,Ops!$R$2:'Ops'!$S$25,2,FALSE),TRUE,"0000"),2)</f>
        <v>00</v>
      </c>
      <c r="P341" s="26" t="str">
        <f>RIGHT(IF($E341&lt;&gt;"",_xlfn.XLOOKUP($E341,$C$4:$C$681,$B$4:$B$681,"NO LABEL"),BIN2HEX(IF(N341="CarryEn","1","0")&amp;IF(M341="SubXY","1","0")&amp;IF(H341&lt;&gt;"",VLOOKUP(H341,Ops!$F$2:'Ops'!$G$20,2,FALSE),"000000"),2)),2)</f>
        <v>C5</v>
      </c>
      <c r="Q341" s="26" t="str" cm="1">
        <f t="array" ref="Q341">BIN2HEX(_xlfn.IFS(D341="HWINTEN","10",G341="KeyAck","01",G341="InitLp8","01",TRUE,"00")&amp;IF(OR(Ops!$O$2:'Ops'!$O$13=K341),VLOOKUP(K341,Ops!$O$2:'Ops'!$P$13,2,FALSE),"000")&amp;IF(E341&lt;&gt;"",IF(LEN(_xlfn.XLOOKUP($E341,$C$5:$C$681,$B$5:$B$681,0))=3,HEX2BIN(LEFT(_xlfn.XLOOKUP($E341,$C$5:$C$681,$B$5:$B$681,0),1),3),IF(OR(Ops!$L$2:'Ops'!$L$11=J341),VLOOKUP(J341,Ops!$L$2:'Ops'!$M$11,2,FALSE),"000")),IF(OR(Ops!$L$2:'Ops'!$L$11=J341),VLOOKUP(J341,Ops!$L$2:'Ops'!$M$11,2,FALSE),"000")),2)</f>
        <v>04</v>
      </c>
      <c r="R341" s="27"/>
      <c r="Z341" s="74" t="str">
        <f t="shared" si="103"/>
        <v>0x00,</v>
      </c>
      <c r="AA341" s="75" t="str">
        <f t="shared" si="104"/>
        <v>0xC5,</v>
      </c>
      <c r="AB341" s="75" t="str">
        <f t="shared" si="105"/>
        <v>0x04,</v>
      </c>
      <c r="AC341" s="76"/>
    </row>
    <row r="342" spans="1:29" x14ac:dyDescent="0.3">
      <c r="A342" s="79">
        <f t="shared" si="100"/>
        <v>1032</v>
      </c>
      <c r="B342" s="80" t="str">
        <f t="shared" ref="B342:B389" si="107">DEC2HEX(A342)</f>
        <v>408</v>
      </c>
      <c r="D342" s="29"/>
      <c r="F342" s="29"/>
      <c r="G342" s="24"/>
      <c r="H342" s="29" t="s">
        <v>62</v>
      </c>
      <c r="I342" s="4" t="s">
        <v>482</v>
      </c>
      <c r="J342" t="s">
        <v>63</v>
      </c>
      <c r="M342" s="14" t="s">
        <v>69</v>
      </c>
      <c r="N342" s="4" t="s">
        <v>41</v>
      </c>
      <c r="O342" s="25" t="str" cm="1">
        <f t="array" ref="O342">BIN2HEX(IF(I342&lt;&gt;"",VLOOKUP(I342,Ops!$I$2:'Ops'!$J$15,2,FALSE),IF(ISNUMBER(SEARCH("BR",D342)),"001","000"))&amp;IF(D342&lt;&gt;"",VLOOKUP(D342,Ops!$B$2:'Ops'!$C$23,2,FALSE),"0")&amp;_xlfn.IFS(ISNUMBER(SEARCH("BR",D342)),VLOOKUP(D342,Ops!$B$3:'Ops'!$D$22,3,FALSE),F342&lt;&gt;"",VLOOKUP(F342,Ops!$R$2:'Ops'!$S$11,2),L342&lt;&gt;"",VLOOKUP(L342,Ops!$R$2:'Ops'!$S$25,2,FALSE),TRUE,"0000"),2)</f>
        <v>00</v>
      </c>
      <c r="P342" s="26" t="str">
        <f>RIGHT(IF($E342&lt;&gt;"",_xlfn.XLOOKUP($E342,$C$4:$C$681,$B$4:$B$681,"NO LABEL"),BIN2HEX(IF(N342="CarryEn","1","0")&amp;IF(M342="SubXY","1","0")&amp;IF(H342&lt;&gt;"",VLOOKUP(H342,Ops!$F$2:'Ops'!$G$20,2,FALSE),"000000"),2)),2)</f>
        <v>C5</v>
      </c>
      <c r="Q342" s="26" t="str" cm="1">
        <f t="array" ref="Q342">BIN2HEX(_xlfn.IFS(D342="HWINTEN","10",G342="KeyAck","01",G342="InitLp8","01",TRUE,"00")&amp;IF(OR(Ops!$O$2:'Ops'!$O$13=K342),VLOOKUP(K342,Ops!$O$2:'Ops'!$P$13,2,FALSE),"000")&amp;IF(E342&lt;&gt;"",IF(LEN(_xlfn.XLOOKUP($E342,$C$5:$C$681,$B$5:$B$681,0))=3,HEX2BIN(LEFT(_xlfn.XLOOKUP($E342,$C$5:$C$681,$B$5:$B$681,0),1),3),IF(OR(Ops!$L$2:'Ops'!$L$11=J342),VLOOKUP(J342,Ops!$L$2:'Ops'!$M$11,2,FALSE),"000")),IF(OR(Ops!$L$2:'Ops'!$L$11=J342),VLOOKUP(J342,Ops!$L$2:'Ops'!$M$11,2,FALSE),"000")),2)</f>
        <v>04</v>
      </c>
      <c r="R342" s="27"/>
      <c r="Z342" s="74" t="str">
        <f t="shared" si="103"/>
        <v>0x00,</v>
      </c>
      <c r="AA342" s="75" t="str">
        <f t="shared" si="104"/>
        <v>0xC5,</v>
      </c>
      <c r="AB342" s="75" t="str">
        <f t="shared" si="105"/>
        <v>0x04,</v>
      </c>
      <c r="AC342" s="76"/>
    </row>
    <row r="343" spans="1:29" x14ac:dyDescent="0.3">
      <c r="A343" s="79">
        <f t="shared" si="100"/>
        <v>1035</v>
      </c>
      <c r="B343" s="80" t="str">
        <f t="shared" si="107"/>
        <v>40B</v>
      </c>
      <c r="D343" s="29"/>
      <c r="F343" s="29"/>
      <c r="G343" s="24"/>
      <c r="H343" s="29" t="s">
        <v>62</v>
      </c>
      <c r="I343" s="4" t="s">
        <v>482</v>
      </c>
      <c r="J343" t="s">
        <v>63</v>
      </c>
      <c r="M343" s="14" t="s">
        <v>69</v>
      </c>
      <c r="N343" s="4" t="s">
        <v>41</v>
      </c>
      <c r="O343" s="25" t="str" cm="1">
        <f t="array" ref="O343">BIN2HEX(IF(I343&lt;&gt;"",VLOOKUP(I343,Ops!$I$2:'Ops'!$J$15,2,FALSE),IF(ISNUMBER(SEARCH("BR",D343)),"001","000"))&amp;IF(D343&lt;&gt;"",VLOOKUP(D343,Ops!$B$2:'Ops'!$C$23,2,FALSE),"0")&amp;_xlfn.IFS(ISNUMBER(SEARCH("BR",D343)),VLOOKUP(D343,Ops!$B$3:'Ops'!$D$22,3,FALSE),F343&lt;&gt;"",VLOOKUP(F343,Ops!$R$2:'Ops'!$S$11,2),L343&lt;&gt;"",VLOOKUP(L343,Ops!$R$2:'Ops'!$S$25,2,FALSE),TRUE,"0000"),2)</f>
        <v>00</v>
      </c>
      <c r="P343" s="26" t="str">
        <f>RIGHT(IF($E343&lt;&gt;"",_xlfn.XLOOKUP($E343,$C$4:$C$681,$B$4:$B$681,"NO LABEL"),BIN2HEX(IF(N343="CarryEn","1","0")&amp;IF(M343="SubXY","1","0")&amp;IF(H343&lt;&gt;"",VLOOKUP(H343,Ops!$F$2:'Ops'!$G$20,2,FALSE),"000000"),2)),2)</f>
        <v>C5</v>
      </c>
      <c r="Q343" s="26" t="str" cm="1">
        <f t="array" ref="Q343">BIN2HEX(_xlfn.IFS(D343="HWINTEN","10",G343="KeyAck","01",G343="InitLp8","01",TRUE,"00")&amp;IF(OR(Ops!$O$2:'Ops'!$O$13=K343),VLOOKUP(K343,Ops!$O$2:'Ops'!$P$13,2,FALSE),"000")&amp;IF(E343&lt;&gt;"",IF(LEN(_xlfn.XLOOKUP($E343,$C$5:$C$681,$B$5:$B$681,0))=3,HEX2BIN(LEFT(_xlfn.XLOOKUP($E343,$C$5:$C$681,$B$5:$B$681,0),1),3),IF(OR(Ops!$L$2:'Ops'!$L$11=J343),VLOOKUP(J343,Ops!$L$2:'Ops'!$M$11,2,FALSE),"000")),IF(OR(Ops!$L$2:'Ops'!$L$11=J343),VLOOKUP(J343,Ops!$L$2:'Ops'!$M$11,2,FALSE),"000")),2)</f>
        <v>04</v>
      </c>
      <c r="R343" s="27"/>
      <c r="Z343" s="74" t="str">
        <f t="shared" si="103"/>
        <v>0x00,</v>
      </c>
      <c r="AA343" s="75" t="str">
        <f t="shared" si="104"/>
        <v>0xC5,</v>
      </c>
      <c r="AB343" s="75" t="str">
        <f t="shared" si="105"/>
        <v>0x04,</v>
      </c>
      <c r="AC343" s="76"/>
    </row>
    <row r="344" spans="1:29" x14ac:dyDescent="0.3">
      <c r="A344" s="79">
        <f t="shared" si="100"/>
        <v>1038</v>
      </c>
      <c r="B344" s="80" t="str">
        <f t="shared" si="107"/>
        <v>40E</v>
      </c>
      <c r="D344" s="29"/>
      <c r="F344" s="29"/>
      <c r="G344" s="24"/>
      <c r="H344" s="29" t="s">
        <v>62</v>
      </c>
      <c r="I344" s="4" t="s">
        <v>482</v>
      </c>
      <c r="J344" t="s">
        <v>63</v>
      </c>
      <c r="M344" s="14" t="s">
        <v>69</v>
      </c>
      <c r="N344" s="4" t="s">
        <v>41</v>
      </c>
      <c r="O344" s="25" t="str" cm="1">
        <f t="array" ref="O344">BIN2HEX(IF(I344&lt;&gt;"",VLOOKUP(I344,Ops!$I$2:'Ops'!$J$15,2,FALSE),IF(ISNUMBER(SEARCH("BR",D344)),"001","000"))&amp;IF(D344&lt;&gt;"",VLOOKUP(D344,Ops!$B$2:'Ops'!$C$23,2,FALSE),"0")&amp;_xlfn.IFS(ISNUMBER(SEARCH("BR",D344)),VLOOKUP(D344,Ops!$B$3:'Ops'!$D$22,3,FALSE),F344&lt;&gt;"",VLOOKUP(F344,Ops!$R$2:'Ops'!$S$11,2),L344&lt;&gt;"",VLOOKUP(L344,Ops!$R$2:'Ops'!$S$25,2,FALSE),TRUE,"0000"),2)</f>
        <v>00</v>
      </c>
      <c r="P344" s="26" t="str">
        <f>RIGHT(IF($E344&lt;&gt;"",_xlfn.XLOOKUP($E344,$C$4:$C$681,$B$4:$B$681,"NO LABEL"),BIN2HEX(IF(N344="CarryEn","1","0")&amp;IF(M344="SubXY","1","0")&amp;IF(H344&lt;&gt;"",VLOOKUP(H344,Ops!$F$2:'Ops'!$G$20,2,FALSE),"000000"),2)),2)</f>
        <v>C5</v>
      </c>
      <c r="Q344" s="26" t="str" cm="1">
        <f t="array" ref="Q344">BIN2HEX(_xlfn.IFS(D344="HWINTEN","10",G344="KeyAck","01",G344="InitLp8","01",TRUE,"00")&amp;IF(OR(Ops!$O$2:'Ops'!$O$13=K344),VLOOKUP(K344,Ops!$O$2:'Ops'!$P$13,2,FALSE),"000")&amp;IF(E344&lt;&gt;"",IF(LEN(_xlfn.XLOOKUP($E344,$C$5:$C$681,$B$5:$B$681,0))=3,HEX2BIN(LEFT(_xlfn.XLOOKUP($E344,$C$5:$C$681,$B$5:$B$681,0),1),3),IF(OR(Ops!$L$2:'Ops'!$L$11=J344),VLOOKUP(J344,Ops!$L$2:'Ops'!$M$11,2,FALSE),"000")),IF(OR(Ops!$L$2:'Ops'!$L$11=J344),VLOOKUP(J344,Ops!$L$2:'Ops'!$M$11,2,FALSE),"000")),2)</f>
        <v>04</v>
      </c>
      <c r="R344" s="27"/>
      <c r="Z344" s="74" t="str">
        <f t="shared" si="103"/>
        <v>0x00,</v>
      </c>
      <c r="AA344" s="75" t="str">
        <f t="shared" si="104"/>
        <v>0xC5,</v>
      </c>
      <c r="AB344" s="75" t="str">
        <f t="shared" si="105"/>
        <v>0x04,</v>
      </c>
      <c r="AC344" s="76"/>
    </row>
    <row r="345" spans="1:29" x14ac:dyDescent="0.3">
      <c r="A345" s="79">
        <f t="shared" si="100"/>
        <v>1041</v>
      </c>
      <c r="B345" s="80" t="str">
        <f t="shared" si="107"/>
        <v>411</v>
      </c>
      <c r="D345" s="29"/>
      <c r="F345" s="29"/>
      <c r="G345" s="24"/>
      <c r="H345" s="29" t="s">
        <v>62</v>
      </c>
      <c r="I345" s="4" t="s">
        <v>482</v>
      </c>
      <c r="J345" t="s">
        <v>63</v>
      </c>
      <c r="M345" s="14" t="s">
        <v>69</v>
      </c>
      <c r="N345" s="4" t="s">
        <v>41</v>
      </c>
      <c r="O345" s="25" t="str" cm="1">
        <f t="array" ref="O345">BIN2HEX(IF(I345&lt;&gt;"",VLOOKUP(I345,Ops!$I$2:'Ops'!$J$15,2,FALSE),IF(ISNUMBER(SEARCH("BR",D345)),"001","000"))&amp;IF(D345&lt;&gt;"",VLOOKUP(D345,Ops!$B$2:'Ops'!$C$23,2,FALSE),"0")&amp;_xlfn.IFS(ISNUMBER(SEARCH("BR",D345)),VLOOKUP(D345,Ops!$B$3:'Ops'!$D$22,3,FALSE),F345&lt;&gt;"",VLOOKUP(F345,Ops!$R$2:'Ops'!$S$11,2),L345&lt;&gt;"",VLOOKUP(L345,Ops!$R$2:'Ops'!$S$25,2,FALSE),TRUE,"0000"),2)</f>
        <v>00</v>
      </c>
      <c r="P345" s="26" t="str">
        <f>RIGHT(IF($E345&lt;&gt;"",_xlfn.XLOOKUP($E345,$C$4:$C$681,$B$4:$B$681,"NO LABEL"),BIN2HEX(IF(N345="CarryEn","1","0")&amp;IF(M345="SubXY","1","0")&amp;IF(H345&lt;&gt;"",VLOOKUP(H345,Ops!$F$2:'Ops'!$G$20,2,FALSE),"000000"),2)),2)</f>
        <v>C5</v>
      </c>
      <c r="Q345" s="26" t="str" cm="1">
        <f t="array" ref="Q345">BIN2HEX(_xlfn.IFS(D345="HWINTEN","10",G345="KeyAck","01",G345="InitLp8","01",TRUE,"00")&amp;IF(OR(Ops!$O$2:'Ops'!$O$13=K345),VLOOKUP(K345,Ops!$O$2:'Ops'!$P$13,2,FALSE),"000")&amp;IF(E345&lt;&gt;"",IF(LEN(_xlfn.XLOOKUP($E345,$C$5:$C$681,$B$5:$B$681,0))=3,HEX2BIN(LEFT(_xlfn.XLOOKUP($E345,$C$5:$C$681,$B$5:$B$681,0),1),3),IF(OR(Ops!$L$2:'Ops'!$L$11=J345),VLOOKUP(J345,Ops!$L$2:'Ops'!$M$11,2,FALSE),"000")),IF(OR(Ops!$L$2:'Ops'!$L$11=J345),VLOOKUP(J345,Ops!$L$2:'Ops'!$M$11,2,FALSE),"000")),2)</f>
        <v>04</v>
      </c>
      <c r="R345" s="27"/>
      <c r="Z345" s="74" t="str">
        <f t="shared" si="103"/>
        <v>0x00,</v>
      </c>
      <c r="AA345" s="75" t="str">
        <f t="shared" si="104"/>
        <v>0xC5,</v>
      </c>
      <c r="AB345" s="75" t="str">
        <f t="shared" si="105"/>
        <v>0x04,</v>
      </c>
      <c r="AC345" s="76"/>
    </row>
    <row r="346" spans="1:29" x14ac:dyDescent="0.3">
      <c r="A346" s="79">
        <f t="shared" si="100"/>
        <v>1044</v>
      </c>
      <c r="B346" s="80" t="str">
        <f t="shared" si="107"/>
        <v>414</v>
      </c>
      <c r="D346" s="29"/>
      <c r="F346" s="29"/>
      <c r="G346" s="24"/>
      <c r="H346" s="29" t="s">
        <v>62</v>
      </c>
      <c r="I346" s="4" t="s">
        <v>482</v>
      </c>
      <c r="J346" t="s">
        <v>63</v>
      </c>
      <c r="M346" s="14" t="s">
        <v>69</v>
      </c>
      <c r="N346" s="4" t="s">
        <v>41</v>
      </c>
      <c r="O346" s="25" t="str" cm="1">
        <f t="array" ref="O346">BIN2HEX(IF(I346&lt;&gt;"",VLOOKUP(I346,Ops!$I$2:'Ops'!$J$15,2,FALSE),IF(ISNUMBER(SEARCH("BR",D346)),"001","000"))&amp;IF(D346&lt;&gt;"",VLOOKUP(D346,Ops!$B$2:'Ops'!$C$23,2,FALSE),"0")&amp;_xlfn.IFS(ISNUMBER(SEARCH("BR",D346)),VLOOKUP(D346,Ops!$B$3:'Ops'!$D$22,3,FALSE),F346&lt;&gt;"",VLOOKUP(F346,Ops!$R$2:'Ops'!$S$11,2),L346&lt;&gt;"",VLOOKUP(L346,Ops!$R$2:'Ops'!$S$25,2,FALSE),TRUE,"0000"),2)</f>
        <v>00</v>
      </c>
      <c r="P346" s="26" t="str">
        <f>RIGHT(IF($E346&lt;&gt;"",_xlfn.XLOOKUP($E346,$C$4:$C$681,$B$4:$B$681,"NO LABEL"),BIN2HEX(IF(N346="CarryEn","1","0")&amp;IF(M346="SubXY","1","0")&amp;IF(H346&lt;&gt;"",VLOOKUP(H346,Ops!$F$2:'Ops'!$G$20,2,FALSE),"000000"),2)),2)</f>
        <v>C5</v>
      </c>
      <c r="Q346" s="26" t="str" cm="1">
        <f t="array" ref="Q346">BIN2HEX(_xlfn.IFS(D346="HWINTEN","10",G346="KeyAck","01",G346="InitLp8","01",TRUE,"00")&amp;IF(OR(Ops!$O$2:'Ops'!$O$13=K346),VLOOKUP(K346,Ops!$O$2:'Ops'!$P$13,2,FALSE),"000")&amp;IF(E346&lt;&gt;"",IF(LEN(_xlfn.XLOOKUP($E346,$C$5:$C$681,$B$5:$B$681,0))=3,HEX2BIN(LEFT(_xlfn.XLOOKUP($E346,$C$5:$C$681,$B$5:$B$681,0),1),3),IF(OR(Ops!$L$2:'Ops'!$L$11=J346),VLOOKUP(J346,Ops!$L$2:'Ops'!$M$11,2,FALSE),"000")),IF(OR(Ops!$L$2:'Ops'!$L$11=J346),VLOOKUP(J346,Ops!$L$2:'Ops'!$M$11,2,FALSE),"000")),2)</f>
        <v>04</v>
      </c>
      <c r="R346" s="27"/>
      <c r="Z346" s="74" t="str">
        <f t="shared" si="103"/>
        <v>0x00,</v>
      </c>
      <c r="AA346" s="75" t="str">
        <f t="shared" si="104"/>
        <v>0xC5,</v>
      </c>
      <c r="AB346" s="75" t="str">
        <f t="shared" si="105"/>
        <v>0x04,</v>
      </c>
      <c r="AC346" s="76"/>
    </row>
    <row r="347" spans="1:29" x14ac:dyDescent="0.3">
      <c r="A347" s="79">
        <f t="shared" si="100"/>
        <v>1047</v>
      </c>
      <c r="B347" s="80" t="str">
        <f t="shared" si="107"/>
        <v>417</v>
      </c>
      <c r="D347" s="29"/>
      <c r="F347" s="29"/>
      <c r="G347" s="24"/>
      <c r="H347" s="29" t="s">
        <v>62</v>
      </c>
      <c r="I347" s="4" t="s">
        <v>482</v>
      </c>
      <c r="J347" t="s">
        <v>63</v>
      </c>
      <c r="M347" s="14" t="s">
        <v>69</v>
      </c>
      <c r="N347" s="4" t="s">
        <v>41</v>
      </c>
      <c r="O347" s="25" t="str" cm="1">
        <f t="array" ref="O347">BIN2HEX(IF(I347&lt;&gt;"",VLOOKUP(I347,Ops!$I$2:'Ops'!$J$15,2,FALSE),IF(ISNUMBER(SEARCH("BR",D347)),"001","000"))&amp;IF(D347&lt;&gt;"",VLOOKUP(D347,Ops!$B$2:'Ops'!$C$23,2,FALSE),"0")&amp;_xlfn.IFS(ISNUMBER(SEARCH("BR",D347)),VLOOKUP(D347,Ops!$B$3:'Ops'!$D$22,3,FALSE),F347&lt;&gt;"",VLOOKUP(F347,Ops!$R$2:'Ops'!$S$11,2),L347&lt;&gt;"",VLOOKUP(L347,Ops!$R$2:'Ops'!$S$25,2,FALSE),TRUE,"0000"),2)</f>
        <v>00</v>
      </c>
      <c r="P347" s="26" t="str">
        <f>RIGHT(IF($E347&lt;&gt;"",_xlfn.XLOOKUP($E347,$C$4:$C$681,$B$4:$B$681,"NO LABEL"),BIN2HEX(IF(N347="CarryEn","1","0")&amp;IF(M347="SubXY","1","0")&amp;IF(H347&lt;&gt;"",VLOOKUP(H347,Ops!$F$2:'Ops'!$G$20,2,FALSE),"000000"),2)),2)</f>
        <v>C5</v>
      </c>
      <c r="Q347" s="26" t="str" cm="1">
        <f t="array" ref="Q347">BIN2HEX(_xlfn.IFS(D347="HWINTEN","10",G347="KeyAck","01",G347="InitLp8","01",TRUE,"00")&amp;IF(OR(Ops!$O$2:'Ops'!$O$13=K347),VLOOKUP(K347,Ops!$O$2:'Ops'!$P$13,2,FALSE),"000")&amp;IF(E347&lt;&gt;"",IF(LEN(_xlfn.XLOOKUP($E347,$C$5:$C$681,$B$5:$B$681,0))=3,HEX2BIN(LEFT(_xlfn.XLOOKUP($E347,$C$5:$C$681,$B$5:$B$681,0),1),3),IF(OR(Ops!$L$2:'Ops'!$L$11=J347),VLOOKUP(J347,Ops!$L$2:'Ops'!$M$11,2,FALSE),"000")),IF(OR(Ops!$L$2:'Ops'!$L$11=J347),VLOOKUP(J347,Ops!$L$2:'Ops'!$M$11,2,FALSE),"000")),2)</f>
        <v>04</v>
      </c>
      <c r="R347" s="27"/>
      <c r="Z347" s="74" t="str">
        <f t="shared" si="103"/>
        <v>0x00,</v>
      </c>
      <c r="AA347" s="75" t="str">
        <f t="shared" si="104"/>
        <v>0xC5,</v>
      </c>
      <c r="AB347" s="75" t="str">
        <f t="shared" si="105"/>
        <v>0x04,</v>
      </c>
      <c r="AC347" s="76"/>
    </row>
    <row r="348" spans="1:29" x14ac:dyDescent="0.3">
      <c r="A348" s="79">
        <f t="shared" si="100"/>
        <v>1050</v>
      </c>
      <c r="B348" s="80" t="str">
        <f t="shared" si="107"/>
        <v>41A</v>
      </c>
      <c r="D348" s="29" t="s">
        <v>64</v>
      </c>
      <c r="E348" s="4" t="s">
        <v>350</v>
      </c>
      <c r="F348" s="29"/>
      <c r="G348" s="24"/>
      <c r="H348" s="29"/>
      <c r="M348" s="14"/>
      <c r="O348" s="25" t="str" cm="1">
        <f t="array" ref="O348">BIN2HEX(IF(I348&lt;&gt;"",VLOOKUP(I348,Ops!$I$2:'Ops'!$J$15,2,FALSE),IF(ISNUMBER(SEARCH("BR",D348)),"001","000"))&amp;IF(D348&lt;&gt;"",VLOOKUP(D348,Ops!$B$2:'Ops'!$C$23,2,FALSE),"0")&amp;_xlfn.IFS(ISNUMBER(SEARCH("BR",D348)),VLOOKUP(D348,Ops!$B$3:'Ops'!$D$22,3,FALSE),F348&lt;&gt;"",VLOOKUP(F348,Ops!$R$2:'Ops'!$S$11,2),L348&lt;&gt;"",VLOOKUP(L348,Ops!$R$2:'Ops'!$S$25,2,FALSE),TRUE,"0000"),2)</f>
        <v>34</v>
      </c>
      <c r="P348" s="26" t="str">
        <f>RIGHT(IF($E348&lt;&gt;"",_xlfn.XLOOKUP($E348,$C$4:$C$681,$B$4:$B$681,"NO LABEL"),BIN2HEX(IF(N348="CarryEn","1","0")&amp;IF(M348="SubXY","1","0")&amp;IF(H348&lt;&gt;"",VLOOKUP(H348,Ops!$F$2:'Ops'!$G$20,2,FALSE),"000000"),2)),2)</f>
        <v>20</v>
      </c>
      <c r="Q348" s="26" t="str" cm="1">
        <f t="array" ref="Q348">BIN2HEX(_xlfn.IFS(D348="HWINTEN","10",G348="KeyAck","01",G348="InitLp8","01",TRUE,"00")&amp;IF(OR(Ops!$O$2:'Ops'!$O$13=K348),VLOOKUP(K348,Ops!$O$2:'Ops'!$P$13,2,FALSE),"000")&amp;IF(E348&lt;&gt;"",IF(LEN(_xlfn.XLOOKUP($E348,$C$5:$C$681,$B$5:$B$681,0))=3,HEX2BIN(LEFT(_xlfn.XLOOKUP($E348,$C$5:$C$681,$B$5:$B$681,0),1),3),IF(OR(Ops!$L$2:'Ops'!$L$11=J348),VLOOKUP(J348,Ops!$L$2:'Ops'!$M$11,2,FALSE),"000")),IF(OR(Ops!$L$2:'Ops'!$L$11=J348),VLOOKUP(J348,Ops!$L$2:'Ops'!$M$11,2,FALSE),"000")),2)</f>
        <v>04</v>
      </c>
      <c r="R348" s="27"/>
      <c r="S348" s="4" t="s">
        <v>368</v>
      </c>
      <c r="Z348" s="74" t="str">
        <f t="shared" si="103"/>
        <v>0x34,</v>
      </c>
      <c r="AA348" s="75" t="str">
        <f t="shared" si="104"/>
        <v>0x20,</v>
      </c>
      <c r="AB348" s="75" t="str">
        <f t="shared" si="105"/>
        <v>0x04,</v>
      </c>
      <c r="AC348" s="76"/>
    </row>
    <row r="349" spans="1:29" x14ac:dyDescent="0.3">
      <c r="A349" s="79">
        <f t="shared" si="100"/>
        <v>1053</v>
      </c>
      <c r="B349" s="80" t="str">
        <f t="shared" si="107"/>
        <v>41D</v>
      </c>
      <c r="D349" s="29"/>
      <c r="F349" s="29"/>
      <c r="G349" s="24"/>
      <c r="H349" s="29"/>
      <c r="J349" s="4" t="s">
        <v>421</v>
      </c>
      <c r="K349" s="4" t="s">
        <v>422</v>
      </c>
      <c r="L349" s="4" t="s">
        <v>423</v>
      </c>
      <c r="M349" s="14"/>
      <c r="O349" s="25" t="str" cm="1">
        <f t="array" ref="O349">BIN2HEX(IF(I349&lt;&gt;"",VLOOKUP(I349,Ops!$I$2:'Ops'!$J$15,2,FALSE),IF(ISNUMBER(SEARCH("BR",D349)),"001","000"))&amp;IF(D349&lt;&gt;"",VLOOKUP(D349,Ops!$B$2:'Ops'!$C$23,2,FALSE),"0")&amp;_xlfn.IFS(ISNUMBER(SEARCH("BR",D349)),VLOOKUP(D349,Ops!$B$3:'Ops'!$D$22,3,FALSE),F349&lt;&gt;"",VLOOKUP(F349,Ops!$R$2:'Ops'!$S$11,2),L349&lt;&gt;"",VLOOKUP(L349,Ops!$R$2:'Ops'!$S$25,2,FALSE),TRUE,"0000"),2)</f>
        <v>03</v>
      </c>
      <c r="P349" s="26" t="str">
        <f>RIGHT(IF($E349&lt;&gt;"",_xlfn.XLOOKUP($E349,$C$4:$C$681,$B$4:$B$681,"NO LABEL"),BIN2HEX(IF(N349="CarryEn","1","0")&amp;IF(M349="SubXY","1","0")&amp;IF(H349&lt;&gt;"",VLOOKUP(H349,Ops!$F$2:'Ops'!$G$20,2,FALSE),"000000"),2)),2)</f>
        <v>00</v>
      </c>
      <c r="Q349" s="26" t="str" cm="1">
        <f t="array" ref="Q349">BIN2HEX(_xlfn.IFS(D349="HWINTEN","10",G349="KeyAck","01",G349="InitLp8","01",TRUE,"00")&amp;IF(OR(Ops!$O$2:'Ops'!$O$13=K349),VLOOKUP(K349,Ops!$O$2:'Ops'!$P$13,2,FALSE),"000")&amp;IF(E349&lt;&gt;"",IF(LEN(_xlfn.XLOOKUP($E349,$C$5:$C$681,$B$5:$B$681,0))=3,HEX2BIN(LEFT(_xlfn.XLOOKUP($E349,$C$5:$C$681,$B$5:$B$681,0),1),3),IF(OR(Ops!$L$2:'Ops'!$L$11=J349),VLOOKUP(J349,Ops!$L$2:'Ops'!$M$11,2,FALSE),"000")),IF(OR(Ops!$L$2:'Ops'!$L$11=J349),VLOOKUP(J349,Ops!$L$2:'Ops'!$M$11,2,FALSE),"000")),2)</f>
        <v>1B</v>
      </c>
      <c r="R349" s="27"/>
      <c r="Z349" s="74" t="str">
        <f t="shared" si="103"/>
        <v>0x03,</v>
      </c>
      <c r="AA349" s="75" t="str">
        <f t="shared" si="104"/>
        <v>0x00,</v>
      </c>
      <c r="AB349" s="75" t="str">
        <f t="shared" si="105"/>
        <v>0x1B,</v>
      </c>
      <c r="AC349" s="76"/>
    </row>
    <row r="350" spans="1:29" x14ac:dyDescent="0.3">
      <c r="A350" s="79">
        <f t="shared" si="100"/>
        <v>1056</v>
      </c>
      <c r="B350" s="80" t="str">
        <f t="shared" si="107"/>
        <v>420</v>
      </c>
      <c r="C350" s="4" t="s">
        <v>350</v>
      </c>
      <c r="D350" s="29"/>
      <c r="F350" s="29"/>
      <c r="G350" s="24"/>
      <c r="H350" s="29"/>
      <c r="J350" s="4" t="s">
        <v>314</v>
      </c>
      <c r="K350" s="4" t="s">
        <v>313</v>
      </c>
      <c r="L350" s="4" t="s">
        <v>181</v>
      </c>
      <c r="M350" s="14"/>
      <c r="O350" s="25" t="str" cm="1">
        <f t="array" ref="O350">BIN2HEX(IF(I350&lt;&gt;"",VLOOKUP(I350,Ops!$I$2:'Ops'!$J$15,2,FALSE),IF(ISNUMBER(SEARCH("BR",D350)),"001","000"))&amp;IF(D350&lt;&gt;"",VLOOKUP(D350,Ops!$B$2:'Ops'!$C$23,2,FALSE),"0")&amp;_xlfn.IFS(ISNUMBER(SEARCH("BR",D350)),VLOOKUP(D350,Ops!$B$3:'Ops'!$D$22,3,FALSE),F350&lt;&gt;"",VLOOKUP(F350,Ops!$R$2:'Ops'!$S$11,2),L350&lt;&gt;"",VLOOKUP(L350,Ops!$R$2:'Ops'!$S$25,2,FALSE),TRUE,"0000"),2)</f>
        <v>02</v>
      </c>
      <c r="P350" s="26" t="str">
        <f>RIGHT(IF($E350&lt;&gt;"",_xlfn.XLOOKUP($E350,$C$4:$C$681,$B$4:$B$681,"NO LABEL"),BIN2HEX(IF(N350="CarryEn","1","0")&amp;IF(M350="SubXY","1","0")&amp;IF(H350&lt;&gt;"",VLOOKUP(H350,Ops!$F$2:'Ops'!$G$20,2,FALSE),"000000"),2)),2)</f>
        <v>00</v>
      </c>
      <c r="Q350" s="26" t="str" cm="1">
        <f t="array" ref="Q350">BIN2HEX(_xlfn.IFS(D350="HWINTEN","10",G350="KeyAck","01",G350="InitLp8","01",TRUE,"00")&amp;IF(OR(Ops!$O$2:'Ops'!$O$13=K350),VLOOKUP(K350,Ops!$O$2:'Ops'!$P$13,2,FALSE),"000")&amp;IF(E350&lt;&gt;"",IF(LEN(_xlfn.XLOOKUP($E350,$C$5:$C$681,$B$5:$B$681,0))=3,HEX2BIN(LEFT(_xlfn.XLOOKUP($E350,$C$5:$C$681,$B$5:$B$681,0),1),3),IF(OR(Ops!$L$2:'Ops'!$L$11=J350),VLOOKUP(J350,Ops!$L$2:'Ops'!$M$11,2,FALSE),"000")),IF(OR(Ops!$L$2:'Ops'!$L$11=J350),VLOOKUP(J350,Ops!$L$2:'Ops'!$M$11,2,FALSE),"000")),2)</f>
        <v>36</v>
      </c>
      <c r="R350" s="27"/>
      <c r="S350" s="4" t="s">
        <v>345</v>
      </c>
      <c r="Z350" s="74" t="str">
        <f t="shared" ref="Z350:Z360" si="108">IF(O350="", "};", "0x"&amp;O350&amp;",")</f>
        <v>0x02,</v>
      </c>
      <c r="AA350" s="75" t="str">
        <f t="shared" ref="AA350:AA360" si="109">"0x"&amp;P350&amp;","</f>
        <v>0x00,</v>
      </c>
      <c r="AB350" s="75" t="str">
        <f t="shared" ref="AB350:AB360" si="110">"0x"&amp;Q350&amp;","</f>
        <v>0x36,</v>
      </c>
      <c r="AC350" s="76"/>
    </row>
    <row r="351" spans="1:29" x14ac:dyDescent="0.3">
      <c r="A351" s="79">
        <f t="shared" si="100"/>
        <v>1059</v>
      </c>
      <c r="B351" s="80" t="str">
        <f t="shared" si="107"/>
        <v>423</v>
      </c>
      <c r="D351" s="29" t="s">
        <v>175</v>
      </c>
      <c r="E351" s="4" t="s">
        <v>357</v>
      </c>
      <c r="F351" s="29"/>
      <c r="G351" s="24"/>
      <c r="H351" s="29"/>
      <c r="M351" s="14"/>
      <c r="O351" s="25" t="str" cm="1">
        <f t="array" ref="O351">BIN2HEX(IF(I351&lt;&gt;"",VLOOKUP(I351,Ops!$I$2:'Ops'!$J$15,2,FALSE),IF(ISNUMBER(SEARCH("BR",D351)),"001","000"))&amp;IF(D351&lt;&gt;"",VLOOKUP(D351,Ops!$B$2:'Ops'!$C$23,2,FALSE),"0")&amp;_xlfn.IFS(ISNUMBER(SEARCH("BR",D351)),VLOOKUP(D351,Ops!$B$3:'Ops'!$D$22,3,FALSE),F351&lt;&gt;"",VLOOKUP(F351,Ops!$R$2:'Ops'!$S$11,2),L351&lt;&gt;"",VLOOKUP(L351,Ops!$R$2:'Ops'!$S$25,2,FALSE),TRUE,"0000"),2)</f>
        <v>3A</v>
      </c>
      <c r="P351" s="26" t="str">
        <f>RIGHT(IF($E351&lt;&gt;"",_xlfn.XLOOKUP($E351,$C$4:$C$681,$B$4:$B$681,"NO LABEL"),BIN2HEX(IF(N351="CarryEn","1","0")&amp;IF(M351="SubXY","1","0")&amp;IF(H351&lt;&gt;"",VLOOKUP(H351,Ops!$F$2:'Ops'!$G$20,2,FALSE),"000000"),2)),2)</f>
        <v>2C</v>
      </c>
      <c r="Q351" s="26" t="str" cm="1">
        <f t="array" ref="Q351">BIN2HEX(_xlfn.IFS(D351="HWINTEN","10",G351="KeyAck","01",G351="InitLp8","01",TRUE,"00")&amp;IF(OR(Ops!$O$2:'Ops'!$O$13=K351),VLOOKUP(K351,Ops!$O$2:'Ops'!$P$13,2,FALSE),"000")&amp;IF(E351&lt;&gt;"",IF(LEN(_xlfn.XLOOKUP($E351,$C$5:$C$681,$B$5:$B$681,0))=3,HEX2BIN(LEFT(_xlfn.XLOOKUP($E351,$C$5:$C$681,$B$5:$B$681,0),1),3),IF(OR(Ops!$L$2:'Ops'!$L$11=J351),VLOOKUP(J351,Ops!$L$2:'Ops'!$M$11,2,FALSE),"000")),IF(OR(Ops!$L$2:'Ops'!$L$11=J351),VLOOKUP(J351,Ops!$L$2:'Ops'!$M$11,2,FALSE),"000")),2)</f>
        <v>04</v>
      </c>
      <c r="R351" s="27"/>
      <c r="S351" s="4" t="s">
        <v>344</v>
      </c>
      <c r="Z351" s="74" t="str">
        <f t="shared" si="108"/>
        <v>0x3A,</v>
      </c>
      <c r="AA351" s="75" t="str">
        <f t="shared" si="109"/>
        <v>0x2C,</v>
      </c>
      <c r="AB351" s="75" t="str">
        <f t="shared" si="110"/>
        <v>0x04,</v>
      </c>
      <c r="AC351" s="76"/>
    </row>
    <row r="352" spans="1:29" x14ac:dyDescent="0.3">
      <c r="A352" s="79">
        <f t="shared" si="100"/>
        <v>1062</v>
      </c>
      <c r="B352" s="80" t="str">
        <f t="shared" si="107"/>
        <v>426</v>
      </c>
      <c r="D352" s="29"/>
      <c r="F352" s="29"/>
      <c r="G352" s="24"/>
      <c r="H352" s="29"/>
      <c r="I352" s="4" t="s">
        <v>290</v>
      </c>
      <c r="K352" s="4" t="s">
        <v>515</v>
      </c>
      <c r="M352" s="14"/>
      <c r="O352" s="25" t="str" cm="1">
        <f t="array" ref="O352">BIN2HEX(IF(I352&lt;&gt;"",VLOOKUP(I352,Ops!$I$2:'Ops'!$J$15,2,FALSE),IF(ISNUMBER(SEARCH("BR",D352)),"001","000"))&amp;IF(D352&lt;&gt;"",VLOOKUP(D352,Ops!$B$2:'Ops'!$C$23,2,FALSE),"0")&amp;_xlfn.IFS(ISNUMBER(SEARCH("BR",D352)),VLOOKUP(D352,Ops!$B$3:'Ops'!$D$22,3,FALSE),F352&lt;&gt;"",VLOOKUP(F352,Ops!$R$2:'Ops'!$S$11,2),L352&lt;&gt;"",VLOOKUP(L352,Ops!$R$2:'Ops'!$S$25,2,FALSE),TRUE,"0000"),2)</f>
        <v>40</v>
      </c>
      <c r="P352" s="26" t="str">
        <f>RIGHT(IF($E352&lt;&gt;"",_xlfn.XLOOKUP($E352,$C$4:$C$681,$B$4:$B$681,"NO LABEL"),BIN2HEX(IF(N352="CarryEn","1","0")&amp;IF(M352="SubXY","1","0")&amp;IF(H352&lt;&gt;"",VLOOKUP(H352,Ops!$F$2:'Ops'!$G$20,2,FALSE),"000000"),2)),2)</f>
        <v>00</v>
      </c>
      <c r="Q352" s="26" t="str" cm="1">
        <f t="array" ref="Q352">BIN2HEX(_xlfn.IFS(D352="HWINTEN","10",G352="KeyAck","01",G352="InitLp8","01",TRUE,"00")&amp;IF(OR(Ops!$O$2:'Ops'!$O$13=K352),VLOOKUP(K352,Ops!$O$2:'Ops'!$P$13,2,FALSE),"000")&amp;IF(E352&lt;&gt;"",IF(LEN(_xlfn.XLOOKUP($E352,$C$5:$C$681,$B$5:$B$681,0))=3,HEX2BIN(LEFT(_xlfn.XLOOKUP($E352,$C$5:$C$681,$B$5:$B$681,0),1),3),IF(OR(Ops!$L$2:'Ops'!$L$11=J352),VLOOKUP(J352,Ops!$L$2:'Ops'!$M$11,2,FALSE),"000")),IF(OR(Ops!$L$2:'Ops'!$L$11=J352),VLOOKUP(J352,Ops!$L$2:'Ops'!$M$11,2,FALSE),"000")),2)</f>
        <v>20</v>
      </c>
      <c r="R352" s="27"/>
      <c r="S352" s="4" t="s">
        <v>359</v>
      </c>
      <c r="Z352" s="74" t="str">
        <f t="shared" si="108"/>
        <v>0x40,</v>
      </c>
      <c r="AA352" s="75" t="str">
        <f t="shared" si="109"/>
        <v>0x00,</v>
      </c>
      <c r="AB352" s="75" t="str">
        <f t="shared" si="110"/>
        <v>0x20,</v>
      </c>
      <c r="AC352" s="76"/>
    </row>
    <row r="353" spans="1:29" x14ac:dyDescent="0.3">
      <c r="A353" s="79">
        <f t="shared" si="100"/>
        <v>1065</v>
      </c>
      <c r="B353" s="80" t="str">
        <f t="shared" si="107"/>
        <v>429</v>
      </c>
      <c r="D353" s="29" t="s">
        <v>99</v>
      </c>
      <c r="E353" s="4" t="s">
        <v>358</v>
      </c>
      <c r="F353" s="29"/>
      <c r="G353" s="24"/>
      <c r="H353" s="29"/>
      <c r="M353" s="14"/>
      <c r="O353" s="25" t="str" cm="1">
        <f t="array" ref="O353">BIN2HEX(IF(I353&lt;&gt;"",VLOOKUP(I353,Ops!$I$2:'Ops'!$J$15,2,FALSE),IF(ISNUMBER(SEARCH("BR",D353)),"001","000"))&amp;IF(D353&lt;&gt;"",VLOOKUP(D353,Ops!$B$2:'Ops'!$C$23,2,FALSE),"0")&amp;_xlfn.IFS(ISNUMBER(SEARCH("BR",D353)),VLOOKUP(D353,Ops!$B$3:'Ops'!$D$22,3,FALSE),F353&lt;&gt;"",VLOOKUP(F353,Ops!$R$2:'Ops'!$S$11,2),L353&lt;&gt;"",VLOOKUP(L353,Ops!$R$2:'Ops'!$S$25,2,FALSE),TRUE,"0000"),2)</f>
        <v>39</v>
      </c>
      <c r="P353" s="26" t="str">
        <f>RIGHT(IF($E353&lt;&gt;"",_xlfn.XLOOKUP($E353,$C$4:$C$681,$B$4:$B$681,"NO LABEL"),BIN2HEX(IF(N353="CarryEn","1","0")&amp;IF(M353="SubXY","1","0")&amp;IF(H353&lt;&gt;"",VLOOKUP(H353,Ops!$F$2:'Ops'!$G$20,2,FALSE),"000000"),2)),2)</f>
        <v>32</v>
      </c>
      <c r="Q353" s="26" t="str" cm="1">
        <f t="array" ref="Q353">BIN2HEX(_xlfn.IFS(D353="HWINTEN","10",G353="KeyAck","01",G353="InitLp8","01",TRUE,"00")&amp;IF(OR(Ops!$O$2:'Ops'!$O$13=K353),VLOOKUP(K353,Ops!$O$2:'Ops'!$P$13,2,FALSE),"000")&amp;IF(E353&lt;&gt;"",IF(LEN(_xlfn.XLOOKUP($E353,$C$5:$C$681,$B$5:$B$681,0))=3,HEX2BIN(LEFT(_xlfn.XLOOKUP($E353,$C$5:$C$681,$B$5:$B$681,0),1),3),IF(OR(Ops!$L$2:'Ops'!$L$11=J353),VLOOKUP(J353,Ops!$L$2:'Ops'!$M$11,2,FALSE),"000")),IF(OR(Ops!$L$2:'Ops'!$L$11=J353),VLOOKUP(J353,Ops!$L$2:'Ops'!$M$11,2,FALSE),"000")),2)</f>
        <v>04</v>
      </c>
      <c r="R353" s="27"/>
      <c r="S353" s="4" t="s">
        <v>360</v>
      </c>
      <c r="Z353" s="74" t="str">
        <f t="shared" si="108"/>
        <v>0x39,</v>
      </c>
      <c r="AA353" s="75" t="str">
        <f t="shared" si="109"/>
        <v>0x32,</v>
      </c>
      <c r="AB353" s="75" t="str">
        <f t="shared" si="110"/>
        <v>0x04,</v>
      </c>
      <c r="AC353" s="76"/>
    </row>
    <row r="354" spans="1:29" x14ac:dyDescent="0.3">
      <c r="A354" s="79">
        <f t="shared" si="100"/>
        <v>1068</v>
      </c>
      <c r="B354" s="80" t="str">
        <f t="shared" si="107"/>
        <v>42C</v>
      </c>
      <c r="C354" s="4" t="s">
        <v>357</v>
      </c>
      <c r="D354" s="29"/>
      <c r="F354" s="29"/>
      <c r="G354" s="24"/>
      <c r="H354" s="29"/>
      <c r="J354" s="4" t="s">
        <v>314</v>
      </c>
      <c r="L354" s="4" t="s">
        <v>181</v>
      </c>
      <c r="M354" s="14"/>
      <c r="O354" s="25" t="str" cm="1">
        <f t="array" ref="O354">BIN2HEX(IF(I354&lt;&gt;"",VLOOKUP(I354,Ops!$I$2:'Ops'!$J$15,2,FALSE),IF(ISNUMBER(SEARCH("BR",D354)),"001","000"))&amp;IF(D354&lt;&gt;"",VLOOKUP(D354,Ops!$B$2:'Ops'!$C$23,2,FALSE),"0")&amp;_xlfn.IFS(ISNUMBER(SEARCH("BR",D354)),VLOOKUP(D354,Ops!$B$3:'Ops'!$D$22,3,FALSE),F354&lt;&gt;"",VLOOKUP(F354,Ops!$R$2:'Ops'!$S$11,2),L354&lt;&gt;"",VLOOKUP(L354,Ops!$R$2:'Ops'!$S$25,2,FALSE),TRUE,"0000"),2)</f>
        <v>02</v>
      </c>
      <c r="P354" s="26" t="str">
        <f>RIGHT(IF($E354&lt;&gt;"",_xlfn.XLOOKUP($E354,$C$4:$C$681,$B$4:$B$681,"NO LABEL"),BIN2HEX(IF(N354="CarryEn","1","0")&amp;IF(M354="SubXY","1","0")&amp;IF(H354&lt;&gt;"",VLOOKUP(H354,Ops!$F$2:'Ops'!$G$20,2,FALSE),"000000"),2)),2)</f>
        <v>00</v>
      </c>
      <c r="Q354" s="26" t="str" cm="1">
        <f t="array" ref="Q354">BIN2HEX(_xlfn.IFS(D354="HWINTEN","10",G354="KeyAck","01",G354="InitLp8","01",TRUE,"00")&amp;IF(OR(Ops!$O$2:'Ops'!$O$13=K354),VLOOKUP(K354,Ops!$O$2:'Ops'!$P$13,2,FALSE),"000")&amp;IF(E354&lt;&gt;"",IF(LEN(_xlfn.XLOOKUP($E354,$C$5:$C$681,$B$5:$B$681,0))=3,HEX2BIN(LEFT(_xlfn.XLOOKUP($E354,$C$5:$C$681,$B$5:$B$681,0),1),3),IF(OR(Ops!$L$2:'Ops'!$L$11=J354),VLOOKUP(J354,Ops!$L$2:'Ops'!$M$11,2,FALSE),"000")),IF(OR(Ops!$L$2:'Ops'!$L$11=J354),VLOOKUP(J354,Ops!$L$2:'Ops'!$M$11,2,FALSE),"000")),2)</f>
        <v>06</v>
      </c>
      <c r="R354" s="27"/>
      <c r="S354" s="4" t="s">
        <v>361</v>
      </c>
      <c r="Z354" s="74" t="str">
        <f t="shared" si="108"/>
        <v>0x02,</v>
      </c>
      <c r="AA354" s="75" t="str">
        <f t="shared" si="109"/>
        <v>0x00,</v>
      </c>
      <c r="AB354" s="75" t="str">
        <f t="shared" si="110"/>
        <v>0x06,</v>
      </c>
      <c r="AC354" s="76"/>
    </row>
    <row r="355" spans="1:29" x14ac:dyDescent="0.3">
      <c r="A355" s="79">
        <f t="shared" si="100"/>
        <v>1071</v>
      </c>
      <c r="B355" s="80" t="str">
        <f t="shared" si="107"/>
        <v>42F</v>
      </c>
      <c r="D355" s="29" t="s">
        <v>0</v>
      </c>
      <c r="E355" s="4" t="s">
        <v>343</v>
      </c>
      <c r="F355" s="29"/>
      <c r="G355" s="24"/>
      <c r="H355" s="29"/>
      <c r="M355" s="14"/>
      <c r="O355" s="25" t="str" cm="1">
        <f t="array" ref="O355">BIN2HEX(IF(I355&lt;&gt;"",VLOOKUP(I355,Ops!$I$2:'Ops'!$J$15,2,FALSE),IF(ISNUMBER(SEARCH("BR",D355)),"001","000"))&amp;IF(D355&lt;&gt;"",VLOOKUP(D355,Ops!$B$2:'Ops'!$C$23,2,FALSE),"0")&amp;_xlfn.IFS(ISNUMBER(SEARCH("BR",D355)),VLOOKUP(D355,Ops!$B$3:'Ops'!$D$22,3,FALSE),F355&lt;&gt;"",VLOOKUP(F355,Ops!$R$2:'Ops'!$S$11,2),L355&lt;&gt;"",VLOOKUP(L355,Ops!$R$2:'Ops'!$S$25,2,FALSE),TRUE,"0000"),2)</f>
        <v>10</v>
      </c>
      <c r="P355" s="26" t="str">
        <f>RIGHT(IF($E355&lt;&gt;"",_xlfn.XLOOKUP($E355,$C$4:$C$681,$B$4:$B$681,"NO LABEL"),BIN2HEX(IF(N355="CarryEn","1","0")&amp;IF(M355="SubXY","1","0")&amp;IF(H355&lt;&gt;"",VLOOKUP(H355,Ops!$F$2:'Ops'!$G$20,2,FALSE),"000000"),2)),2)</f>
        <v>38</v>
      </c>
      <c r="Q355" s="26" t="str" cm="1">
        <f t="array" ref="Q355">BIN2HEX(_xlfn.IFS(D355="HWINTEN","10",G355="KeyAck","01",G355="InitLp8","01",TRUE,"00")&amp;IF(OR(Ops!$O$2:'Ops'!$O$13=K355),VLOOKUP(K355,Ops!$O$2:'Ops'!$P$13,2,FALSE),"000")&amp;IF(E355&lt;&gt;"",IF(LEN(_xlfn.XLOOKUP($E355,$C$5:$C$681,$B$5:$B$681,0))=3,HEX2BIN(LEFT(_xlfn.XLOOKUP($E355,$C$5:$C$681,$B$5:$B$681,0),1),3),IF(OR(Ops!$L$2:'Ops'!$L$11=J355),VLOOKUP(J355,Ops!$L$2:'Ops'!$M$11,2,FALSE),"000")),IF(OR(Ops!$L$2:'Ops'!$L$11=J355),VLOOKUP(J355,Ops!$L$2:'Ops'!$M$11,2,FALSE),"000")),2)</f>
        <v>04</v>
      </c>
      <c r="R355" s="27"/>
      <c r="S355" s="4" t="s">
        <v>362</v>
      </c>
      <c r="Z355" s="74" t="str">
        <f t="shared" si="108"/>
        <v>0x10,</v>
      </c>
      <c r="AA355" s="75" t="str">
        <f t="shared" si="109"/>
        <v>0x38,</v>
      </c>
      <c r="AB355" s="75" t="str">
        <f t="shared" si="110"/>
        <v>0x04,</v>
      </c>
      <c r="AC355" s="76"/>
    </row>
    <row r="356" spans="1:29" x14ac:dyDescent="0.3">
      <c r="A356" s="79">
        <f t="shared" si="100"/>
        <v>1074</v>
      </c>
      <c r="B356" s="80" t="str">
        <f t="shared" si="107"/>
        <v>432</v>
      </c>
      <c r="C356" s="4" t="s">
        <v>358</v>
      </c>
      <c r="D356" s="29"/>
      <c r="F356" s="29"/>
      <c r="G356" s="24"/>
      <c r="H356" s="29" t="s">
        <v>468</v>
      </c>
      <c r="I356" s="4" t="s">
        <v>481</v>
      </c>
      <c r="M356" s="14"/>
      <c r="O356" s="25" t="str" cm="1">
        <f t="array" ref="O356">BIN2HEX(IF(I356&lt;&gt;"",VLOOKUP(I356,Ops!$I$2:'Ops'!$J$15,2,FALSE),IF(ISNUMBER(SEARCH("BR",D356)),"001","000"))&amp;IF(D356&lt;&gt;"",VLOOKUP(D356,Ops!$B$2:'Ops'!$C$23,2,FALSE),"0")&amp;_xlfn.IFS(ISNUMBER(SEARCH("BR",D356)),VLOOKUP(D356,Ops!$B$3:'Ops'!$D$22,3,FALSE),F356&lt;&gt;"",VLOOKUP(F356,Ops!$R$2:'Ops'!$S$11,2),L356&lt;&gt;"",VLOOKUP(L356,Ops!$R$2:'Ops'!$S$25,2,FALSE),TRUE,"0000"),2)</f>
        <v>00</v>
      </c>
      <c r="P356" s="26" t="str">
        <f>RIGHT(IF($E356&lt;&gt;"",_xlfn.XLOOKUP($E356,$C$4:$C$681,$B$4:$B$681,"NO LABEL"),BIN2HEX(IF(N356="CarryEn","1","0")&amp;IF(M356="SubXY","1","0")&amp;IF(H356&lt;&gt;"",VLOOKUP(H356,Ops!$F$2:'Ops'!$G$20,2,FALSE),"000000"),2)),2)</f>
        <v>02</v>
      </c>
      <c r="Q356" s="26" t="str" cm="1">
        <f t="array" ref="Q356">BIN2HEX(_xlfn.IFS(D356="HWINTEN","10",G356="KeyAck","01",G356="InitLp8","01",TRUE,"00")&amp;IF(OR(Ops!$O$2:'Ops'!$O$13=K356),VLOOKUP(K356,Ops!$O$2:'Ops'!$P$13,2,FALSE),"000")&amp;IF(E356&lt;&gt;"",IF(LEN(_xlfn.XLOOKUP($E356,$C$5:$C$681,$B$5:$B$681,0))=3,HEX2BIN(LEFT(_xlfn.XLOOKUP($E356,$C$5:$C$681,$B$5:$B$681,0),1),3),IF(OR(Ops!$L$2:'Ops'!$L$11=J356),VLOOKUP(J356,Ops!$L$2:'Ops'!$M$11,2,FALSE),"000")),IF(OR(Ops!$L$2:'Ops'!$L$11=J356),VLOOKUP(J356,Ops!$L$2:'Ops'!$M$11,2,FALSE),"000")),2)</f>
        <v>00</v>
      </c>
      <c r="R356" s="27"/>
      <c r="S356" s="4" t="s">
        <v>363</v>
      </c>
      <c r="Z356" s="74" t="str">
        <f t="shared" si="108"/>
        <v>0x00,</v>
      </c>
      <c r="AA356" s="75" t="str">
        <f t="shared" si="109"/>
        <v>0x02,</v>
      </c>
      <c r="AB356" s="75" t="str">
        <f t="shared" si="110"/>
        <v>0x00,</v>
      </c>
      <c r="AC356" s="76"/>
    </row>
    <row r="357" spans="1:29" x14ac:dyDescent="0.3">
      <c r="A357" s="79">
        <f t="shared" si="100"/>
        <v>1077</v>
      </c>
      <c r="B357" s="80" t="str">
        <f t="shared" si="107"/>
        <v>435</v>
      </c>
      <c r="D357" s="29" t="s">
        <v>0</v>
      </c>
      <c r="E357" s="4" t="s">
        <v>350</v>
      </c>
      <c r="F357" s="29"/>
      <c r="G357" s="24"/>
      <c r="H357" s="29"/>
      <c r="M357" s="14"/>
      <c r="O357" s="25" t="str" cm="1">
        <f t="array" ref="O357">BIN2HEX(IF(I357&lt;&gt;"",VLOOKUP(I357,Ops!$I$2:'Ops'!$J$15,2,FALSE),IF(ISNUMBER(SEARCH("BR",D357)),"001","000"))&amp;IF(D357&lt;&gt;"",VLOOKUP(D357,Ops!$B$2:'Ops'!$C$23,2,FALSE),"0")&amp;_xlfn.IFS(ISNUMBER(SEARCH("BR",D357)),VLOOKUP(D357,Ops!$B$3:'Ops'!$D$22,3,FALSE),F357&lt;&gt;"",VLOOKUP(F357,Ops!$R$2:'Ops'!$S$11,2),L357&lt;&gt;"",VLOOKUP(L357,Ops!$R$2:'Ops'!$S$25,2,FALSE),TRUE,"0000"),2)</f>
        <v>10</v>
      </c>
      <c r="P357" s="26" t="str">
        <f>RIGHT(IF($E357&lt;&gt;"",_xlfn.XLOOKUP($E357,$C$4:$C$681,$B$4:$B$681,"NO LABEL"),BIN2HEX(IF(N357="CarryEn","1","0")&amp;IF(M357="SubXY","1","0")&amp;IF(H357&lt;&gt;"",VLOOKUP(H357,Ops!$F$2:'Ops'!$G$20,2,FALSE),"000000"),2)),2)</f>
        <v>20</v>
      </c>
      <c r="Q357" s="26" t="str" cm="1">
        <f t="array" ref="Q357">BIN2HEX(_xlfn.IFS(D357="HWINTEN","10",G357="KeyAck","01",G357="InitLp8","01",TRUE,"00")&amp;IF(OR(Ops!$O$2:'Ops'!$O$13=K357),VLOOKUP(K357,Ops!$O$2:'Ops'!$P$13,2,FALSE),"000")&amp;IF(E357&lt;&gt;"",IF(LEN(_xlfn.XLOOKUP($E357,$C$5:$C$681,$B$5:$B$681,0))=3,HEX2BIN(LEFT(_xlfn.XLOOKUP($E357,$C$5:$C$681,$B$5:$B$681,0),1),3),IF(OR(Ops!$L$2:'Ops'!$L$11=J357),VLOOKUP(J357,Ops!$L$2:'Ops'!$M$11,2,FALSE),"000")),IF(OR(Ops!$L$2:'Ops'!$L$11=J357),VLOOKUP(J357,Ops!$L$2:'Ops'!$M$11,2,FALSE),"000")),2)</f>
        <v>04</v>
      </c>
      <c r="R357" s="27"/>
      <c r="S357" s="4" t="s">
        <v>364</v>
      </c>
      <c r="Z357" s="74" t="str">
        <f t="shared" si="108"/>
        <v>0x10,</v>
      </c>
      <c r="AA357" s="75" t="str">
        <f t="shared" si="109"/>
        <v>0x20,</v>
      </c>
      <c r="AB357" s="75" t="str">
        <f t="shared" si="110"/>
        <v>0x04,</v>
      </c>
      <c r="AC357" s="76"/>
    </row>
    <row r="358" spans="1:29" x14ac:dyDescent="0.3">
      <c r="A358" s="79">
        <f t="shared" si="100"/>
        <v>1080</v>
      </c>
      <c r="B358" s="80" t="str">
        <f t="shared" si="107"/>
        <v>438</v>
      </c>
      <c r="C358" s="4" t="s">
        <v>343</v>
      </c>
      <c r="D358" s="29" t="s">
        <v>0</v>
      </c>
      <c r="E358" s="4" t="s">
        <v>324</v>
      </c>
      <c r="F358" s="29"/>
      <c r="G358" s="24"/>
      <c r="H358" s="29"/>
      <c r="M358" s="14"/>
      <c r="O358" s="25" t="str" cm="1">
        <f t="array" ref="O358">BIN2HEX(IF(I358&lt;&gt;"",VLOOKUP(I358,Ops!$I$2:'Ops'!$J$15,2,FALSE),IF(ISNUMBER(SEARCH("BR",D358)),"001","000"))&amp;IF(D358&lt;&gt;"",VLOOKUP(D358,Ops!$B$2:'Ops'!$C$23,2,FALSE),"0")&amp;_xlfn.IFS(ISNUMBER(SEARCH("BR",D358)),VLOOKUP(D358,Ops!$B$3:'Ops'!$D$22,3,FALSE),F358&lt;&gt;"",VLOOKUP(F358,Ops!$R$2:'Ops'!$S$11,2),L358&lt;&gt;"",VLOOKUP(L358,Ops!$R$2:'Ops'!$S$25,2,FALSE),TRUE,"0000"),2)</f>
        <v>10</v>
      </c>
      <c r="P358" s="26" t="str">
        <f>RIGHT(IF($E358&lt;&gt;"",_xlfn.XLOOKUP($E358,$C$4:$C$681,$B$4:$B$681,"NO LABEL"),BIN2HEX(IF(N358="CarryEn","1","0")&amp;IF(M358="SubXY","1","0")&amp;IF(H358&lt;&gt;"",VLOOKUP(H358,Ops!$F$2:'Ops'!$G$20,2,FALSE),"000000"),2)),2)</f>
        <v>62</v>
      </c>
      <c r="Q358" s="26" t="str" cm="1">
        <f t="array" ref="Q358">BIN2HEX(_xlfn.IFS(D358="HWINTEN","10",G358="KeyAck","01",G358="InitLp8","01",TRUE,"00")&amp;IF(OR(Ops!$O$2:'Ops'!$O$13=K358),VLOOKUP(K358,Ops!$O$2:'Ops'!$P$13,2,FALSE),"000")&amp;IF(E358&lt;&gt;"",IF(LEN(_xlfn.XLOOKUP($E358,$C$5:$C$681,$B$5:$B$681,0))=3,HEX2BIN(LEFT(_xlfn.XLOOKUP($E358,$C$5:$C$681,$B$5:$B$681,0),1),3),IF(OR(Ops!$L$2:'Ops'!$L$11=J358),VLOOKUP(J358,Ops!$L$2:'Ops'!$M$11,2,FALSE),"000")),IF(OR(Ops!$L$2:'Ops'!$L$11=J358),VLOOKUP(J358,Ops!$L$2:'Ops'!$M$11,2,FALSE),"000")),2)</f>
        <v>04</v>
      </c>
      <c r="R358" s="27"/>
      <c r="S358" s="4" t="s">
        <v>349</v>
      </c>
      <c r="Z358" s="74" t="str">
        <f t="shared" si="108"/>
        <v>0x10,</v>
      </c>
      <c r="AA358" s="75" t="str">
        <f t="shared" si="109"/>
        <v>0x62,</v>
      </c>
      <c r="AB358" s="75" t="str">
        <f t="shared" si="110"/>
        <v>0x04,</v>
      </c>
      <c r="AC358" s="76"/>
    </row>
    <row r="359" spans="1:29" x14ac:dyDescent="0.3">
      <c r="A359" s="79">
        <f t="shared" si="100"/>
        <v>1083</v>
      </c>
      <c r="B359" s="80" t="str">
        <f t="shared" si="107"/>
        <v>43B</v>
      </c>
      <c r="C359" s="4" t="s">
        <v>27</v>
      </c>
      <c r="D359" s="29"/>
      <c r="F359" s="29"/>
      <c r="G359" s="24"/>
      <c r="H359" s="29" t="s">
        <v>62</v>
      </c>
      <c r="I359" s="4" t="s">
        <v>482</v>
      </c>
      <c r="J359" t="s">
        <v>63</v>
      </c>
      <c r="M359" s="14"/>
      <c r="O359" s="25" t="str" cm="1">
        <f t="array" ref="O359">BIN2HEX(IF(I359&lt;&gt;"",VLOOKUP(I359,Ops!$I$2:'Ops'!$J$15,2,FALSE),IF(ISNUMBER(SEARCH("BR",D359)),"001","000"))&amp;IF(D359&lt;&gt;"",VLOOKUP(D359,Ops!$B$2:'Ops'!$C$23,2,FALSE),"0")&amp;_xlfn.IFS(ISNUMBER(SEARCH("BR",D359)),VLOOKUP(D359,Ops!$B$3:'Ops'!$D$22,3,FALSE),F359&lt;&gt;"",VLOOKUP(F359,Ops!$R$2:'Ops'!$S$11,2),L359&lt;&gt;"",VLOOKUP(L359,Ops!$R$2:'Ops'!$S$25,2,FALSE),TRUE,"0000"),2)</f>
        <v>00</v>
      </c>
      <c r="P359" s="26" t="str">
        <f>RIGHT(IF($E359&lt;&gt;"",_xlfn.XLOOKUP($E359,$C$4:$C$681,$B$4:$B$681,"NO LABEL"),BIN2HEX(IF(N359="CarryEn","1","0")&amp;IF(M359="SubXY","1","0")&amp;IF(H359&lt;&gt;"",VLOOKUP(H359,Ops!$F$2:'Ops'!$G$20,2,FALSE),"000000"),2)),2)</f>
        <v>05</v>
      </c>
      <c r="Q359" s="26" t="str" cm="1">
        <f t="array" ref="Q359">BIN2HEX(_xlfn.IFS(D359="HWINTEN","10",G359="KeyAck","01",G359="InitLp8","01",TRUE,"00")&amp;IF(OR(Ops!$O$2:'Ops'!$O$13=K359),VLOOKUP(K359,Ops!$O$2:'Ops'!$P$13,2,FALSE),"000")&amp;IF(E359&lt;&gt;"",IF(LEN(_xlfn.XLOOKUP($E359,$C$5:$C$681,$B$5:$B$681,0))=3,HEX2BIN(LEFT(_xlfn.XLOOKUP($E359,$C$5:$C$681,$B$5:$B$681,0),1),3),IF(OR(Ops!$L$2:'Ops'!$L$11=J359),VLOOKUP(J359,Ops!$L$2:'Ops'!$M$11,2,FALSE),"000")),IF(OR(Ops!$L$2:'Ops'!$L$11=J359),VLOOKUP(J359,Ops!$L$2:'Ops'!$M$11,2,FALSE),"000")),2)</f>
        <v>04</v>
      </c>
      <c r="R359" s="27"/>
      <c r="S359" s="4" t="s">
        <v>160</v>
      </c>
      <c r="Z359" s="74" t="str">
        <f t="shared" si="108"/>
        <v>0x00,</v>
      </c>
      <c r="AA359" s="75" t="str">
        <f t="shared" si="109"/>
        <v>0x05,</v>
      </c>
      <c r="AB359" s="75" t="str">
        <f t="shared" si="110"/>
        <v>0x04,</v>
      </c>
      <c r="AC359" s="76"/>
    </row>
    <row r="360" spans="1:29" x14ac:dyDescent="0.3">
      <c r="A360" s="79">
        <f t="shared" si="100"/>
        <v>1086</v>
      </c>
      <c r="B360" s="80" t="str">
        <f t="shared" si="107"/>
        <v>43E</v>
      </c>
      <c r="D360" s="29"/>
      <c r="F360" s="29"/>
      <c r="G360" s="24"/>
      <c r="H360" s="29" t="s">
        <v>62</v>
      </c>
      <c r="I360" s="4" t="s">
        <v>482</v>
      </c>
      <c r="J360" t="s">
        <v>63</v>
      </c>
      <c r="M360" s="14"/>
      <c r="N360" s="4" t="s">
        <v>41</v>
      </c>
      <c r="O360" s="25" t="str" cm="1">
        <f t="array" ref="O360">BIN2HEX(IF(I360&lt;&gt;"",VLOOKUP(I360,Ops!$I$2:'Ops'!$J$15,2,FALSE),IF(ISNUMBER(SEARCH("BR",D360)),"001","000"))&amp;IF(D360&lt;&gt;"",VLOOKUP(D360,Ops!$B$2:'Ops'!$C$23,2,FALSE),"0")&amp;_xlfn.IFS(ISNUMBER(SEARCH("BR",D360)),VLOOKUP(D360,Ops!$B$3:'Ops'!$D$22,3,FALSE),F360&lt;&gt;"",VLOOKUP(F360,Ops!$R$2:'Ops'!$S$11,2),L360&lt;&gt;"",VLOOKUP(L360,Ops!$R$2:'Ops'!$S$25,2,FALSE),TRUE,"0000"),2)</f>
        <v>00</v>
      </c>
      <c r="P360" s="26" t="str">
        <f>RIGHT(IF($E360&lt;&gt;"",_xlfn.XLOOKUP($E360,$C$4:$C$681,$B$4:$B$681,"NO LABEL"),BIN2HEX(IF(N360="CarryEn","1","0")&amp;IF(M360="SubXY","1","0")&amp;IF(H360&lt;&gt;"",VLOOKUP(H360,Ops!$F$2:'Ops'!$G$20,2,FALSE),"000000"),2)),2)</f>
        <v>85</v>
      </c>
      <c r="Q360" s="26" t="str" cm="1">
        <f t="array" ref="Q360">BIN2HEX(_xlfn.IFS(D360="HWINTEN","10",G360="KeyAck","01",G360="InitLp8","01",TRUE,"00")&amp;IF(OR(Ops!$O$2:'Ops'!$O$13=K360),VLOOKUP(K360,Ops!$O$2:'Ops'!$P$13,2,FALSE),"000")&amp;IF(E360&lt;&gt;"",IF(LEN(_xlfn.XLOOKUP($E360,$C$5:$C$681,$B$5:$B$681,0))=3,HEX2BIN(LEFT(_xlfn.XLOOKUP($E360,$C$5:$C$681,$B$5:$B$681,0),1),3),IF(OR(Ops!$L$2:'Ops'!$L$11=J360),VLOOKUP(J360,Ops!$L$2:'Ops'!$M$11,2,FALSE),"000")),IF(OR(Ops!$L$2:'Ops'!$L$11=J360),VLOOKUP(J360,Ops!$L$2:'Ops'!$M$11,2,FALSE),"000")),2)</f>
        <v>04</v>
      </c>
      <c r="R360" s="27"/>
      <c r="Z360" s="74" t="str">
        <f t="shared" si="108"/>
        <v>0x00,</v>
      </c>
      <c r="AA360" s="75" t="str">
        <f t="shared" si="109"/>
        <v>0x85,</v>
      </c>
      <c r="AB360" s="75" t="str">
        <f t="shared" si="110"/>
        <v>0x04,</v>
      </c>
      <c r="AC360" s="76"/>
    </row>
    <row r="361" spans="1:29" x14ac:dyDescent="0.3">
      <c r="A361" s="79">
        <f t="shared" si="100"/>
        <v>1089</v>
      </c>
      <c r="B361" s="80" t="str">
        <f t="shared" si="107"/>
        <v>441</v>
      </c>
      <c r="D361" s="29"/>
      <c r="F361" s="29"/>
      <c r="G361" s="24"/>
      <c r="H361" s="29" t="s">
        <v>62</v>
      </c>
      <c r="I361" s="4" t="s">
        <v>482</v>
      </c>
      <c r="J361" t="s">
        <v>63</v>
      </c>
      <c r="M361" s="14"/>
      <c r="N361" s="4" t="s">
        <v>41</v>
      </c>
      <c r="O361" s="25" t="str" cm="1">
        <f t="array" ref="O361">BIN2HEX(IF(I361&lt;&gt;"",VLOOKUP(I361,Ops!$I$2:'Ops'!$J$15,2,FALSE),IF(ISNUMBER(SEARCH("BR",D361)),"001","000"))&amp;IF(D361&lt;&gt;"",VLOOKUP(D361,Ops!$B$2:'Ops'!$C$23,2,FALSE),"0")&amp;_xlfn.IFS(ISNUMBER(SEARCH("BR",D361)),VLOOKUP(D361,Ops!$B$3:'Ops'!$D$22,3,FALSE),F361&lt;&gt;"",VLOOKUP(F361,Ops!$R$2:'Ops'!$S$11,2),L361&lt;&gt;"",VLOOKUP(L361,Ops!$R$2:'Ops'!$S$25,2,FALSE),TRUE,"0000"),2)</f>
        <v>00</v>
      </c>
      <c r="P361" s="26" t="str">
        <f>RIGHT(IF($E361&lt;&gt;"",_xlfn.XLOOKUP($E361,$C$4:$C$681,$B$4:$B$681,"NO LABEL"),BIN2HEX(IF(N361="CarryEn","1","0")&amp;IF(M361="SubXY","1","0")&amp;IF(H361&lt;&gt;"",VLOOKUP(H361,Ops!$F$2:'Ops'!$G$20,2,FALSE),"000000"),2)),2)</f>
        <v>85</v>
      </c>
      <c r="Q361" s="26" t="str" cm="1">
        <f t="array" ref="Q361">BIN2HEX(_xlfn.IFS(D361="HWINTEN","10",G361="KeyAck","01",G361="InitLp8","01",TRUE,"00")&amp;IF(OR(Ops!$O$2:'Ops'!$O$13=K361),VLOOKUP(K361,Ops!$O$2:'Ops'!$P$13,2,FALSE),"000")&amp;IF(E361&lt;&gt;"",IF(LEN(_xlfn.XLOOKUP($E361,$C$5:$C$681,$B$5:$B$681,0))=3,HEX2BIN(LEFT(_xlfn.XLOOKUP($E361,$C$5:$C$681,$B$5:$B$681,0),1),3),IF(OR(Ops!$L$2:'Ops'!$L$11=J361),VLOOKUP(J361,Ops!$L$2:'Ops'!$M$11,2,FALSE),"000")),IF(OR(Ops!$L$2:'Ops'!$L$11=J361),VLOOKUP(J361,Ops!$L$2:'Ops'!$M$11,2,FALSE),"000")),2)</f>
        <v>04</v>
      </c>
      <c r="R361" s="27"/>
      <c r="Z361" s="74" t="str">
        <f t="shared" si="103"/>
        <v>0x00,</v>
      </c>
      <c r="AA361" s="75" t="str">
        <f t="shared" si="104"/>
        <v>0x85,</v>
      </c>
      <c r="AB361" s="75" t="str">
        <f t="shared" si="105"/>
        <v>0x04,</v>
      </c>
      <c r="AC361" s="76"/>
    </row>
    <row r="362" spans="1:29" x14ac:dyDescent="0.3">
      <c r="A362" s="79">
        <f t="shared" si="100"/>
        <v>1092</v>
      </c>
      <c r="B362" s="80" t="str">
        <f t="shared" si="107"/>
        <v>444</v>
      </c>
      <c r="D362" s="29"/>
      <c r="F362" s="29"/>
      <c r="G362" s="24"/>
      <c r="H362" s="29" t="s">
        <v>62</v>
      </c>
      <c r="I362" s="4" t="s">
        <v>482</v>
      </c>
      <c r="J362" t="s">
        <v>63</v>
      </c>
      <c r="M362" s="14"/>
      <c r="N362" s="4" t="s">
        <v>41</v>
      </c>
      <c r="O362" s="25" t="str" cm="1">
        <f t="array" ref="O362">BIN2HEX(IF(I362&lt;&gt;"",VLOOKUP(I362,Ops!$I$2:'Ops'!$J$15,2,FALSE),IF(ISNUMBER(SEARCH("BR",D362)),"001","000"))&amp;IF(D362&lt;&gt;"",VLOOKUP(D362,Ops!$B$2:'Ops'!$C$23,2,FALSE),"0")&amp;_xlfn.IFS(ISNUMBER(SEARCH("BR",D362)),VLOOKUP(D362,Ops!$B$3:'Ops'!$D$22,3,FALSE),F362&lt;&gt;"",VLOOKUP(F362,Ops!$R$2:'Ops'!$S$11,2),L362&lt;&gt;"",VLOOKUP(L362,Ops!$R$2:'Ops'!$S$25,2,FALSE),TRUE,"0000"),2)</f>
        <v>00</v>
      </c>
      <c r="P362" s="26" t="str">
        <f>RIGHT(IF($E362&lt;&gt;"",_xlfn.XLOOKUP($E362,$C$4:$C$681,$B$4:$B$681,"NO LABEL"),BIN2HEX(IF(N362="CarryEn","1","0")&amp;IF(M362="SubXY","1","0")&amp;IF(H362&lt;&gt;"",VLOOKUP(H362,Ops!$F$2:'Ops'!$G$20,2,FALSE),"000000"),2)),2)</f>
        <v>85</v>
      </c>
      <c r="Q362" s="26" t="str" cm="1">
        <f t="array" ref="Q362">BIN2HEX(_xlfn.IFS(D362="HWINTEN","10",G362="KeyAck","01",G362="InitLp8","01",TRUE,"00")&amp;IF(OR(Ops!$O$2:'Ops'!$O$13=K362),VLOOKUP(K362,Ops!$O$2:'Ops'!$P$13,2,FALSE),"000")&amp;IF(E362&lt;&gt;"",IF(LEN(_xlfn.XLOOKUP($E362,$C$5:$C$681,$B$5:$B$681,0))=3,HEX2BIN(LEFT(_xlfn.XLOOKUP($E362,$C$5:$C$681,$B$5:$B$681,0),1),3),IF(OR(Ops!$L$2:'Ops'!$L$11=J362),VLOOKUP(J362,Ops!$L$2:'Ops'!$M$11,2,FALSE),"000")),IF(OR(Ops!$L$2:'Ops'!$L$11=J362),VLOOKUP(J362,Ops!$L$2:'Ops'!$M$11,2,FALSE),"000")),2)</f>
        <v>04</v>
      </c>
      <c r="R362" s="27"/>
      <c r="Z362" s="74" t="str">
        <f t="shared" si="103"/>
        <v>0x00,</v>
      </c>
      <c r="AA362" s="75" t="str">
        <f t="shared" si="104"/>
        <v>0x85,</v>
      </c>
      <c r="AB362" s="75" t="str">
        <f t="shared" si="105"/>
        <v>0x04,</v>
      </c>
      <c r="AC362" s="76"/>
    </row>
    <row r="363" spans="1:29" x14ac:dyDescent="0.3">
      <c r="A363" s="79">
        <f t="shared" si="100"/>
        <v>1095</v>
      </c>
      <c r="B363" s="80" t="str">
        <f t="shared" si="107"/>
        <v>447</v>
      </c>
      <c r="D363" s="29"/>
      <c r="F363" s="29"/>
      <c r="G363" s="24"/>
      <c r="H363" s="29" t="s">
        <v>62</v>
      </c>
      <c r="I363" s="4" t="s">
        <v>482</v>
      </c>
      <c r="J363" t="s">
        <v>63</v>
      </c>
      <c r="M363" s="14"/>
      <c r="N363" s="4" t="s">
        <v>41</v>
      </c>
      <c r="O363" s="25" t="str" cm="1">
        <f t="array" ref="O363">BIN2HEX(IF(I363&lt;&gt;"",VLOOKUP(I363,Ops!$I$2:'Ops'!$J$15,2,FALSE),IF(ISNUMBER(SEARCH("BR",D363)),"001","000"))&amp;IF(D363&lt;&gt;"",VLOOKUP(D363,Ops!$B$2:'Ops'!$C$23,2,FALSE),"0")&amp;_xlfn.IFS(ISNUMBER(SEARCH("BR",D363)),VLOOKUP(D363,Ops!$B$3:'Ops'!$D$22,3,FALSE),F363&lt;&gt;"",VLOOKUP(F363,Ops!$R$2:'Ops'!$S$11,2),L363&lt;&gt;"",VLOOKUP(L363,Ops!$R$2:'Ops'!$S$25,2,FALSE),TRUE,"0000"),2)</f>
        <v>00</v>
      </c>
      <c r="P363" s="26" t="str">
        <f>RIGHT(IF($E363&lt;&gt;"",_xlfn.XLOOKUP($E363,$C$4:$C$681,$B$4:$B$681,"NO LABEL"),BIN2HEX(IF(N363="CarryEn","1","0")&amp;IF(M363="SubXY","1","0")&amp;IF(H363&lt;&gt;"",VLOOKUP(H363,Ops!$F$2:'Ops'!$G$20,2,FALSE),"000000"),2)),2)</f>
        <v>85</v>
      </c>
      <c r="Q363" s="26" t="str" cm="1">
        <f t="array" ref="Q363">BIN2HEX(_xlfn.IFS(D363="HWINTEN","10",G363="KeyAck","01",G363="InitLp8","01",TRUE,"00")&amp;IF(OR(Ops!$O$2:'Ops'!$O$13=K363),VLOOKUP(K363,Ops!$O$2:'Ops'!$P$13,2,FALSE),"000")&amp;IF(E363&lt;&gt;"",IF(LEN(_xlfn.XLOOKUP($E363,$C$5:$C$681,$B$5:$B$681,0))=3,HEX2BIN(LEFT(_xlfn.XLOOKUP($E363,$C$5:$C$681,$B$5:$B$681,0),1),3),IF(OR(Ops!$L$2:'Ops'!$L$11=J363),VLOOKUP(J363,Ops!$L$2:'Ops'!$M$11,2,FALSE),"000")),IF(OR(Ops!$L$2:'Ops'!$L$11=J363),VLOOKUP(J363,Ops!$L$2:'Ops'!$M$11,2,FALSE),"000")),2)</f>
        <v>04</v>
      </c>
      <c r="R363" s="27"/>
      <c r="Z363" s="74" t="str">
        <f t="shared" si="103"/>
        <v>0x00,</v>
      </c>
      <c r="AA363" s="75" t="str">
        <f t="shared" si="104"/>
        <v>0x85,</v>
      </c>
      <c r="AB363" s="75" t="str">
        <f t="shared" si="105"/>
        <v>0x04,</v>
      </c>
      <c r="AC363" s="76"/>
    </row>
    <row r="364" spans="1:29" x14ac:dyDescent="0.3">
      <c r="A364" s="79">
        <f t="shared" si="100"/>
        <v>1098</v>
      </c>
      <c r="B364" s="80" t="str">
        <f t="shared" si="107"/>
        <v>44A</v>
      </c>
      <c r="D364" s="29"/>
      <c r="F364" s="29"/>
      <c r="G364" s="24"/>
      <c r="H364" s="29" t="s">
        <v>62</v>
      </c>
      <c r="I364" s="4" t="s">
        <v>482</v>
      </c>
      <c r="J364" t="s">
        <v>63</v>
      </c>
      <c r="M364" s="14"/>
      <c r="N364" s="4" t="s">
        <v>41</v>
      </c>
      <c r="O364" s="25" t="str" cm="1">
        <f t="array" ref="O364">BIN2HEX(IF(I364&lt;&gt;"",VLOOKUP(I364,Ops!$I$2:'Ops'!$J$15,2,FALSE),IF(ISNUMBER(SEARCH("BR",D364)),"001","000"))&amp;IF(D364&lt;&gt;"",VLOOKUP(D364,Ops!$B$2:'Ops'!$C$23,2,FALSE),"0")&amp;_xlfn.IFS(ISNUMBER(SEARCH("BR",D364)),VLOOKUP(D364,Ops!$B$3:'Ops'!$D$22,3,FALSE),F364&lt;&gt;"",VLOOKUP(F364,Ops!$R$2:'Ops'!$S$11,2),L364&lt;&gt;"",VLOOKUP(L364,Ops!$R$2:'Ops'!$S$25,2,FALSE),TRUE,"0000"),2)</f>
        <v>00</v>
      </c>
      <c r="P364" s="26" t="str">
        <f>RIGHT(IF($E364&lt;&gt;"",_xlfn.XLOOKUP($E364,$C$4:$C$681,$B$4:$B$681,"NO LABEL"),BIN2HEX(IF(N364="CarryEn","1","0")&amp;IF(M364="SubXY","1","0")&amp;IF(H364&lt;&gt;"",VLOOKUP(H364,Ops!$F$2:'Ops'!$G$20,2,FALSE),"000000"),2)),2)</f>
        <v>85</v>
      </c>
      <c r="Q364" s="26" t="str" cm="1">
        <f t="array" ref="Q364">BIN2HEX(_xlfn.IFS(D364="HWINTEN","10",G364="KeyAck","01",G364="InitLp8","01",TRUE,"00")&amp;IF(OR(Ops!$O$2:'Ops'!$O$13=K364),VLOOKUP(K364,Ops!$O$2:'Ops'!$P$13,2,FALSE),"000")&amp;IF(E364&lt;&gt;"",IF(LEN(_xlfn.XLOOKUP($E364,$C$5:$C$681,$B$5:$B$681,0))=3,HEX2BIN(LEFT(_xlfn.XLOOKUP($E364,$C$5:$C$681,$B$5:$B$681,0),1),3),IF(OR(Ops!$L$2:'Ops'!$L$11=J364),VLOOKUP(J364,Ops!$L$2:'Ops'!$M$11,2,FALSE),"000")),IF(OR(Ops!$L$2:'Ops'!$L$11=J364),VLOOKUP(J364,Ops!$L$2:'Ops'!$M$11,2,FALSE),"000")),2)</f>
        <v>04</v>
      </c>
      <c r="R364" s="27"/>
      <c r="Z364" s="74" t="str">
        <f t="shared" si="103"/>
        <v>0x00,</v>
      </c>
      <c r="AA364" s="75" t="str">
        <f t="shared" si="104"/>
        <v>0x85,</v>
      </c>
      <c r="AB364" s="75" t="str">
        <f t="shared" si="105"/>
        <v>0x04,</v>
      </c>
      <c r="AC364" s="76"/>
    </row>
    <row r="365" spans="1:29" x14ac:dyDescent="0.3">
      <c r="A365" s="79">
        <f t="shared" si="100"/>
        <v>1101</v>
      </c>
      <c r="B365" s="80" t="str">
        <f t="shared" si="107"/>
        <v>44D</v>
      </c>
      <c r="D365" s="29"/>
      <c r="F365" s="29"/>
      <c r="G365" s="24"/>
      <c r="H365" s="29" t="s">
        <v>62</v>
      </c>
      <c r="I365" s="4" t="s">
        <v>482</v>
      </c>
      <c r="J365" t="s">
        <v>63</v>
      </c>
      <c r="M365" s="14"/>
      <c r="N365" s="4" t="s">
        <v>41</v>
      </c>
      <c r="O365" s="25" t="str" cm="1">
        <f t="array" ref="O365">BIN2HEX(IF(I365&lt;&gt;"",VLOOKUP(I365,Ops!$I$2:'Ops'!$J$15,2,FALSE),IF(ISNUMBER(SEARCH("BR",D365)),"001","000"))&amp;IF(D365&lt;&gt;"",VLOOKUP(D365,Ops!$B$2:'Ops'!$C$23,2,FALSE),"0")&amp;_xlfn.IFS(ISNUMBER(SEARCH("BR",D365)),VLOOKUP(D365,Ops!$B$3:'Ops'!$D$22,3,FALSE),F365&lt;&gt;"",VLOOKUP(F365,Ops!$R$2:'Ops'!$S$11,2),L365&lt;&gt;"",VLOOKUP(L365,Ops!$R$2:'Ops'!$S$25,2,FALSE),TRUE,"0000"),2)</f>
        <v>00</v>
      </c>
      <c r="P365" s="26" t="str">
        <f>RIGHT(IF($E365&lt;&gt;"",_xlfn.XLOOKUP($E365,$C$4:$C$681,$B$4:$B$681,"NO LABEL"),BIN2HEX(IF(N365="CarryEn","1","0")&amp;IF(M365="SubXY","1","0")&amp;IF(H365&lt;&gt;"",VLOOKUP(H365,Ops!$F$2:'Ops'!$G$20,2,FALSE),"000000"),2)),2)</f>
        <v>85</v>
      </c>
      <c r="Q365" s="26" t="str" cm="1">
        <f t="array" ref="Q365">BIN2HEX(_xlfn.IFS(D365="HWINTEN","10",G365="KeyAck","01",G365="InitLp8","01",TRUE,"00")&amp;IF(OR(Ops!$O$2:'Ops'!$O$13=K365),VLOOKUP(K365,Ops!$O$2:'Ops'!$P$13,2,FALSE),"000")&amp;IF(E365&lt;&gt;"",IF(LEN(_xlfn.XLOOKUP($E365,$C$5:$C$681,$B$5:$B$681,0))=3,HEX2BIN(LEFT(_xlfn.XLOOKUP($E365,$C$5:$C$681,$B$5:$B$681,0),1),3),IF(OR(Ops!$L$2:'Ops'!$L$11=J365),VLOOKUP(J365,Ops!$L$2:'Ops'!$M$11,2,FALSE),"000")),IF(OR(Ops!$L$2:'Ops'!$L$11=J365),VLOOKUP(J365,Ops!$L$2:'Ops'!$M$11,2,FALSE),"000")),2)</f>
        <v>04</v>
      </c>
      <c r="R365" s="27"/>
      <c r="Z365" s="74" t="str">
        <f t="shared" si="103"/>
        <v>0x00,</v>
      </c>
      <c r="AA365" s="75" t="str">
        <f t="shared" si="104"/>
        <v>0x85,</v>
      </c>
      <c r="AB365" s="75" t="str">
        <f t="shared" si="105"/>
        <v>0x04,</v>
      </c>
      <c r="AC365" s="76"/>
    </row>
    <row r="366" spans="1:29" x14ac:dyDescent="0.3">
      <c r="A366" s="79">
        <f t="shared" si="100"/>
        <v>1104</v>
      </c>
      <c r="B366" s="80" t="str">
        <f t="shared" si="107"/>
        <v>450</v>
      </c>
      <c r="D366" s="29"/>
      <c r="F366" s="29"/>
      <c r="G366" s="24"/>
      <c r="H366" s="29" t="s">
        <v>62</v>
      </c>
      <c r="I366" s="4" t="s">
        <v>482</v>
      </c>
      <c r="J366" t="s">
        <v>63</v>
      </c>
      <c r="M366" s="14"/>
      <c r="N366" s="4" t="s">
        <v>41</v>
      </c>
      <c r="O366" s="25" t="str" cm="1">
        <f t="array" ref="O366">BIN2HEX(IF(I366&lt;&gt;"",VLOOKUP(I366,Ops!$I$2:'Ops'!$J$15,2,FALSE),IF(ISNUMBER(SEARCH("BR",D366)),"001","000"))&amp;IF(D366&lt;&gt;"",VLOOKUP(D366,Ops!$B$2:'Ops'!$C$23,2,FALSE),"0")&amp;_xlfn.IFS(ISNUMBER(SEARCH("BR",D366)),VLOOKUP(D366,Ops!$B$3:'Ops'!$D$22,3,FALSE),F366&lt;&gt;"",VLOOKUP(F366,Ops!$R$2:'Ops'!$S$11,2),L366&lt;&gt;"",VLOOKUP(L366,Ops!$R$2:'Ops'!$S$25,2,FALSE),TRUE,"0000"),2)</f>
        <v>00</v>
      </c>
      <c r="P366" s="26" t="str">
        <f>RIGHT(IF($E366&lt;&gt;"",_xlfn.XLOOKUP($E366,$C$4:$C$681,$B$4:$B$681,"NO LABEL"),BIN2HEX(IF(N366="CarryEn","1","0")&amp;IF(M366="SubXY","1","0")&amp;IF(H366&lt;&gt;"",VLOOKUP(H366,Ops!$F$2:'Ops'!$G$20,2,FALSE),"000000"),2)),2)</f>
        <v>85</v>
      </c>
      <c r="Q366" s="26" t="str" cm="1">
        <f t="array" ref="Q366">BIN2HEX(_xlfn.IFS(D366="HWINTEN","10",G366="KeyAck","01",G366="InitLp8","01",TRUE,"00")&amp;IF(OR(Ops!$O$2:'Ops'!$O$13=K366),VLOOKUP(K366,Ops!$O$2:'Ops'!$P$13,2,FALSE),"000")&amp;IF(E366&lt;&gt;"",IF(LEN(_xlfn.XLOOKUP($E366,$C$5:$C$681,$B$5:$B$681,0))=3,HEX2BIN(LEFT(_xlfn.XLOOKUP($E366,$C$5:$C$681,$B$5:$B$681,0),1),3),IF(OR(Ops!$L$2:'Ops'!$L$11=J366),VLOOKUP(J366,Ops!$L$2:'Ops'!$M$11,2,FALSE),"000")),IF(OR(Ops!$L$2:'Ops'!$L$11=J366),VLOOKUP(J366,Ops!$L$2:'Ops'!$M$11,2,FALSE),"000")),2)</f>
        <v>04</v>
      </c>
      <c r="R366" s="27"/>
      <c r="Z366" s="74" t="str">
        <f t="shared" si="103"/>
        <v>0x00,</v>
      </c>
      <c r="AA366" s="75" t="str">
        <f t="shared" si="104"/>
        <v>0x85,</v>
      </c>
      <c r="AB366" s="75" t="str">
        <f t="shared" si="105"/>
        <v>0x04,</v>
      </c>
      <c r="AC366" s="76"/>
    </row>
    <row r="367" spans="1:29" x14ac:dyDescent="0.3">
      <c r="A367" s="79">
        <f t="shared" si="100"/>
        <v>1107</v>
      </c>
      <c r="B367" s="80" t="str">
        <f t="shared" si="107"/>
        <v>453</v>
      </c>
      <c r="D367" s="29" t="s">
        <v>86</v>
      </c>
      <c r="E367" s="4" t="s">
        <v>87</v>
      </c>
      <c r="F367" s="29"/>
      <c r="G367" s="24"/>
      <c r="H367" s="29"/>
      <c r="M367" s="14"/>
      <c r="O367" s="25" t="str" cm="1">
        <f t="array" ref="O367">BIN2HEX(IF(I367&lt;&gt;"",VLOOKUP(I367,Ops!$I$2:'Ops'!$J$15,2,FALSE),IF(ISNUMBER(SEARCH("BR",D367)),"001","000"))&amp;IF(D367&lt;&gt;"",VLOOKUP(D367,Ops!$B$2:'Ops'!$C$23,2,FALSE),"0")&amp;_xlfn.IFS(ISNUMBER(SEARCH("BR",D367)),VLOOKUP(D367,Ops!$B$3:'Ops'!$D$22,3,FALSE),F367&lt;&gt;"",VLOOKUP(F367,Ops!$R$2:'Ops'!$S$11,2),L367&lt;&gt;"",VLOOKUP(L367,Ops!$R$2:'Ops'!$S$25,2,FALSE),TRUE,"0000"),2)</f>
        <v>3D</v>
      </c>
      <c r="P367" s="26" t="str">
        <f>RIGHT(IF($E367&lt;&gt;"",_xlfn.XLOOKUP($E367,$C$4:$C$681,$B$4:$B$681,"NO LABEL"),BIN2HEX(IF(N367="CarryEn","1","0")&amp;IF(M367="SubXY","1","0")&amp;IF(H367&lt;&gt;"",VLOOKUP(H367,Ops!$F$2:'Ops'!$G$20,2,FALSE),"000000"),2)),2)</f>
        <v>59</v>
      </c>
      <c r="Q367" s="26" t="str" cm="1">
        <f t="array" ref="Q367">BIN2HEX(_xlfn.IFS(D367="HWINTEN","10",G367="KeyAck","01",G367="InitLp8","01",TRUE,"00")&amp;IF(OR(Ops!$O$2:'Ops'!$O$13=K367),VLOOKUP(K367,Ops!$O$2:'Ops'!$P$13,2,FALSE),"000")&amp;IF(E367&lt;&gt;"",IF(LEN(_xlfn.XLOOKUP($E367,$C$5:$C$681,$B$5:$B$681,0))=3,HEX2BIN(LEFT(_xlfn.XLOOKUP($E367,$C$5:$C$681,$B$5:$B$681,0),1),3),IF(OR(Ops!$L$2:'Ops'!$L$11=J367),VLOOKUP(J367,Ops!$L$2:'Ops'!$M$11,2,FALSE),"000")),IF(OR(Ops!$L$2:'Ops'!$L$11=J367),VLOOKUP(J367,Ops!$L$2:'Ops'!$M$11,2,FALSE),"000")),2)</f>
        <v>04</v>
      </c>
      <c r="R367" s="27"/>
      <c r="S367" s="4" t="s">
        <v>88</v>
      </c>
      <c r="Z367" s="74" t="str">
        <f t="shared" si="103"/>
        <v>0x3D,</v>
      </c>
      <c r="AA367" s="75" t="str">
        <f t="shared" si="104"/>
        <v>0x59,</v>
      </c>
      <c r="AB367" s="75" t="str">
        <f t="shared" si="105"/>
        <v>0x04,</v>
      </c>
      <c r="AC367" s="76"/>
    </row>
    <row r="368" spans="1:29" x14ac:dyDescent="0.3">
      <c r="A368" s="79">
        <f t="shared" si="100"/>
        <v>1110</v>
      </c>
      <c r="B368" s="80" t="str">
        <f t="shared" si="107"/>
        <v>456</v>
      </c>
      <c r="D368" s="29" t="s">
        <v>0</v>
      </c>
      <c r="E368" s="4" t="s">
        <v>324</v>
      </c>
      <c r="F368" s="29"/>
      <c r="G368" s="24"/>
      <c r="H368" s="29"/>
      <c r="M368" s="14"/>
      <c r="O368" s="25" t="str" cm="1">
        <f t="array" ref="O368">BIN2HEX(IF(I368&lt;&gt;"",VLOOKUP(I368,Ops!$I$2:'Ops'!$J$15,2,FALSE),IF(ISNUMBER(SEARCH("BR",D368)),"001","000"))&amp;IF(D368&lt;&gt;"",VLOOKUP(D368,Ops!$B$2:'Ops'!$C$23,2,FALSE),"0")&amp;_xlfn.IFS(ISNUMBER(SEARCH("BR",D368)),VLOOKUP(D368,Ops!$B$3:'Ops'!$D$22,3,FALSE),F368&lt;&gt;"",VLOOKUP(F368,Ops!$R$2:'Ops'!$S$11,2),L368&lt;&gt;"",VLOOKUP(L368,Ops!$R$2:'Ops'!$S$25,2,FALSE),TRUE,"0000"),2)</f>
        <v>10</v>
      </c>
      <c r="P368" s="26" t="str">
        <f>RIGHT(IF($E368&lt;&gt;"",_xlfn.XLOOKUP($E368,$C$4:$C$681,$B$4:$B$681,"NO LABEL"),BIN2HEX(IF(N368="CarryEn","1","0")&amp;IF(M368="SubXY","1","0")&amp;IF(H368&lt;&gt;"",VLOOKUP(H368,Ops!$F$2:'Ops'!$G$20,2,FALSE),"000000"),2)),2)</f>
        <v>62</v>
      </c>
      <c r="Q368" s="26" t="str" cm="1">
        <f t="array" ref="Q368">BIN2HEX(_xlfn.IFS(D368="HWINTEN","10",G368="KeyAck","01",G368="InitLp8","01",TRUE,"00")&amp;IF(OR(Ops!$O$2:'Ops'!$O$13=K368),VLOOKUP(K368,Ops!$O$2:'Ops'!$P$13,2,FALSE),"000")&amp;IF(E368&lt;&gt;"",IF(LEN(_xlfn.XLOOKUP($E368,$C$5:$C$681,$B$5:$B$681,0))=3,HEX2BIN(LEFT(_xlfn.XLOOKUP($E368,$C$5:$C$681,$B$5:$B$681,0),1),3),IF(OR(Ops!$L$2:'Ops'!$L$11=J368),VLOOKUP(J368,Ops!$L$2:'Ops'!$M$11,2,FALSE),"000")),IF(OR(Ops!$L$2:'Ops'!$L$11=J368),VLOOKUP(J368,Ops!$L$2:'Ops'!$M$11,2,FALSE),"000")),2)</f>
        <v>04</v>
      </c>
      <c r="R368" s="27"/>
      <c r="Z368" s="74" t="str">
        <f t="shared" si="103"/>
        <v>0x10,</v>
      </c>
      <c r="AA368" s="75" t="str">
        <f t="shared" si="104"/>
        <v>0x62,</v>
      </c>
      <c r="AB368" s="75" t="str">
        <f t="shared" si="105"/>
        <v>0x04,</v>
      </c>
      <c r="AC368" s="76"/>
    </row>
    <row r="369" spans="1:29" x14ac:dyDescent="0.3">
      <c r="A369" s="79">
        <f t="shared" si="100"/>
        <v>1113</v>
      </c>
      <c r="B369" s="80" t="str">
        <f t="shared" si="107"/>
        <v>459</v>
      </c>
      <c r="C369" s="4" t="s">
        <v>87</v>
      </c>
      <c r="D369" s="29"/>
      <c r="F369" s="29"/>
      <c r="G369" s="24"/>
      <c r="H369" s="29"/>
      <c r="J369" s="4" t="s">
        <v>314</v>
      </c>
      <c r="K369" s="4" t="s">
        <v>313</v>
      </c>
      <c r="L369" s="4" t="s">
        <v>292</v>
      </c>
      <c r="M369" s="14"/>
      <c r="O369" s="25" t="str" cm="1">
        <f t="array" ref="O369">BIN2HEX(IF(I369&lt;&gt;"",VLOOKUP(I369,Ops!$I$2:'Ops'!$J$15,2,FALSE),IF(ISNUMBER(SEARCH("BR",D369)),"001","000"))&amp;IF(D369&lt;&gt;"",VLOOKUP(D369,Ops!$B$2:'Ops'!$C$23,2,FALSE),"0")&amp;_xlfn.IFS(ISNUMBER(SEARCH("BR",D369)),VLOOKUP(D369,Ops!$B$3:'Ops'!$D$22,3,FALSE),F369&lt;&gt;"",VLOOKUP(F369,Ops!$R$2:'Ops'!$S$11,2),L369&lt;&gt;"",VLOOKUP(L369,Ops!$R$2:'Ops'!$S$25,2,FALSE),TRUE,"0000"),2)</f>
        <v>05</v>
      </c>
      <c r="P369" s="26" t="str">
        <f>RIGHT(IF($E369&lt;&gt;"",_xlfn.XLOOKUP($E369,$C$4:$C$681,$B$4:$B$681,"NO LABEL"),BIN2HEX(IF(N369="CarryEn","1","0")&amp;IF(M369="SubXY","1","0")&amp;IF(H369&lt;&gt;"",VLOOKUP(H369,Ops!$F$2:'Ops'!$G$20,2,FALSE),"000000"),2)),2)</f>
        <v>00</v>
      </c>
      <c r="Q369" s="26" t="str" cm="1">
        <f t="array" ref="Q369">BIN2HEX(_xlfn.IFS(D369="HWINTEN","10",G369="KeyAck","01",G369="InitLp8","01",TRUE,"00")&amp;IF(OR(Ops!$O$2:'Ops'!$O$13=K369),VLOOKUP(K369,Ops!$O$2:'Ops'!$P$13,2,FALSE),"000")&amp;IF(E369&lt;&gt;"",IF(LEN(_xlfn.XLOOKUP($E369,$C$5:$C$681,$B$5:$B$681,0))=3,HEX2BIN(LEFT(_xlfn.XLOOKUP($E369,$C$5:$C$681,$B$5:$B$681,0),1),3),IF(OR(Ops!$L$2:'Ops'!$L$11=J369),VLOOKUP(J369,Ops!$L$2:'Ops'!$M$11,2,FALSE),"000")),IF(OR(Ops!$L$2:'Ops'!$L$11=J369),VLOOKUP(J369,Ops!$L$2:'Ops'!$M$11,2,FALSE),"000")),2)</f>
        <v>36</v>
      </c>
      <c r="R369" s="27"/>
      <c r="Z369" s="74" t="str">
        <f t="shared" si="103"/>
        <v>0x05,</v>
      </c>
      <c r="AA369" s="75" t="str">
        <f t="shared" si="104"/>
        <v>0x00,</v>
      </c>
      <c r="AB369" s="75" t="str">
        <f t="shared" si="105"/>
        <v>0x36,</v>
      </c>
      <c r="AC369" s="76"/>
    </row>
    <row r="370" spans="1:29" x14ac:dyDescent="0.3">
      <c r="A370" s="79">
        <f t="shared" si="100"/>
        <v>1116</v>
      </c>
      <c r="B370" s="80" t="str">
        <f t="shared" si="107"/>
        <v>45C</v>
      </c>
      <c r="D370" s="29"/>
      <c r="F370" s="29"/>
      <c r="G370" s="24"/>
      <c r="H370" s="29" t="s">
        <v>46</v>
      </c>
      <c r="I370" s="4" t="s">
        <v>482</v>
      </c>
      <c r="J370" s="4" t="s">
        <v>191</v>
      </c>
      <c r="M370" s="14"/>
      <c r="O370" s="25" t="str" cm="1">
        <f t="array" ref="O370">BIN2HEX(IF(I370&lt;&gt;"",VLOOKUP(I370,Ops!$I$2:'Ops'!$J$15,2,FALSE),IF(ISNUMBER(SEARCH("BR",D370)),"001","000"))&amp;IF(D370&lt;&gt;"",VLOOKUP(D370,Ops!$B$2:'Ops'!$C$23,2,FALSE),"0")&amp;_xlfn.IFS(ISNUMBER(SEARCH("BR",D370)),VLOOKUP(D370,Ops!$B$3:'Ops'!$D$22,3,FALSE),F370&lt;&gt;"",VLOOKUP(F370,Ops!$R$2:'Ops'!$S$11,2),L370&lt;&gt;"",VLOOKUP(L370,Ops!$R$2:'Ops'!$S$25,2,FALSE),TRUE,"0000"),2)</f>
        <v>00</v>
      </c>
      <c r="P370" s="26" t="str">
        <f>RIGHT(IF($E370&lt;&gt;"",_xlfn.XLOOKUP($E370,$C$4:$C$681,$B$4:$B$681,"NO LABEL"),BIN2HEX(IF(N370="CarryEn","1","0")&amp;IF(M370="SubXY","1","0")&amp;IF(H370&lt;&gt;"",VLOOKUP(H370,Ops!$F$2:'Ops'!$G$20,2,FALSE),"000000"),2)),2)</f>
        <v>01</v>
      </c>
      <c r="Q370" s="26" t="str" cm="1">
        <f t="array" ref="Q370">BIN2HEX(_xlfn.IFS(D370="HWINTEN","10",G370="KeyAck","01",G370="InitLp8","01",TRUE,"00")&amp;IF(OR(Ops!$O$2:'Ops'!$O$13=K370),VLOOKUP(K370,Ops!$O$2:'Ops'!$P$13,2,FALSE),"000")&amp;IF(E370&lt;&gt;"",IF(LEN(_xlfn.XLOOKUP($E370,$C$5:$C$681,$B$5:$B$681,0))=3,HEX2BIN(LEFT(_xlfn.XLOOKUP($E370,$C$5:$C$681,$B$5:$B$681,0),1),3),IF(OR(Ops!$L$2:'Ops'!$L$11=J370),VLOOKUP(J370,Ops!$L$2:'Ops'!$M$11,2,FALSE),"000")),IF(OR(Ops!$L$2:'Ops'!$L$11=J370),VLOOKUP(J370,Ops!$L$2:'Ops'!$M$11,2,FALSE),"000")),2)</f>
        <v>00</v>
      </c>
      <c r="R370" s="27"/>
      <c r="S370" s="4" t="s">
        <v>294</v>
      </c>
      <c r="Z370" s="74" t="str">
        <f t="shared" si="103"/>
        <v>0x00,</v>
      </c>
      <c r="AA370" s="75" t="str">
        <f t="shared" si="104"/>
        <v>0x01,</v>
      </c>
      <c r="AB370" s="75" t="str">
        <f t="shared" si="105"/>
        <v>0x00,</v>
      </c>
      <c r="AC370" s="76"/>
    </row>
    <row r="371" spans="1:29" x14ac:dyDescent="0.3">
      <c r="A371" s="79">
        <f t="shared" si="100"/>
        <v>1119</v>
      </c>
      <c r="B371" s="80" t="str">
        <f>DEC2HEX(A371)</f>
        <v>45F</v>
      </c>
      <c r="D371" s="29"/>
      <c r="F371" s="29"/>
      <c r="G371" s="24"/>
      <c r="H371" s="29"/>
      <c r="J371" s="4" t="s">
        <v>314</v>
      </c>
      <c r="L371" s="4" t="s">
        <v>181</v>
      </c>
      <c r="M371" s="14"/>
      <c r="O371" s="25" t="str" cm="1">
        <f t="array" ref="O371">BIN2HEX(IF(I371&lt;&gt;"",VLOOKUP(I371,Ops!$I$2:'Ops'!$J$15,2,FALSE),IF(ISNUMBER(SEARCH("BR",D371)),"001","000"))&amp;IF(D371&lt;&gt;"",VLOOKUP(D371,Ops!$B$2:'Ops'!$C$23,2,FALSE),"0")&amp;_xlfn.IFS(ISNUMBER(SEARCH("BR",D371)),VLOOKUP(D371,Ops!$B$3:'Ops'!$D$22,3,FALSE),F371&lt;&gt;"",VLOOKUP(F371,Ops!$R$2:'Ops'!$S$11,2),L371&lt;&gt;"",VLOOKUP(L371,Ops!$R$2:'Ops'!$S$25,2,FALSE),TRUE,"0000"),2)</f>
        <v>02</v>
      </c>
      <c r="P371" s="26" t="str">
        <f>RIGHT(IF($E371&lt;&gt;"",_xlfn.XLOOKUP($E371,$C$4:$C$681,$B$4:$B$681,"NO LABEL"),BIN2HEX(IF(N371="CarryEn","1","0")&amp;IF(M371="SubXY","1","0")&amp;IF(H371&lt;&gt;"",VLOOKUP(H371,Ops!$F$2:'Ops'!$G$20,2,FALSE),"000000"),2)),2)</f>
        <v>00</v>
      </c>
      <c r="Q371" s="26" t="str" cm="1">
        <f t="array" ref="Q371">BIN2HEX(_xlfn.IFS(D371="HWINTEN","10",G371="KeyAck","01",G371="InitLp8","01",TRUE,"00")&amp;IF(OR(Ops!$O$2:'Ops'!$O$13=K371),VLOOKUP(K371,Ops!$O$2:'Ops'!$P$13,2,FALSE),"000")&amp;IF(E371&lt;&gt;"",IF(LEN(_xlfn.XLOOKUP($E371,$C$5:$C$681,$B$5:$B$681,0))=3,HEX2BIN(LEFT(_xlfn.XLOOKUP($E371,$C$5:$C$681,$B$5:$B$681,0),1),3),IF(OR(Ops!$L$2:'Ops'!$L$11=J371),VLOOKUP(J371,Ops!$L$2:'Ops'!$M$11,2,FALSE),"000")),IF(OR(Ops!$L$2:'Ops'!$L$11=J371),VLOOKUP(J371,Ops!$L$2:'Ops'!$M$11,2,FALSE),"000")),2)</f>
        <v>06</v>
      </c>
      <c r="R371" s="27"/>
      <c r="Z371" s="74" t="str">
        <f>IF(O371="", "};", "0x"&amp;O371&amp;",")</f>
        <v>0x02,</v>
      </c>
      <c r="AA371" s="75" t="str">
        <f>"0x"&amp;P371&amp;","</f>
        <v>0x00,</v>
      </c>
      <c r="AB371" s="75" t="str">
        <f>"0x"&amp;Q371&amp;","</f>
        <v>0x06,</v>
      </c>
      <c r="AC371" s="76"/>
    </row>
    <row r="372" spans="1:29" x14ac:dyDescent="0.3">
      <c r="A372" s="79">
        <f t="shared" si="100"/>
        <v>1122</v>
      </c>
      <c r="B372" s="80" t="str">
        <f>DEC2HEX(A372)</f>
        <v>462</v>
      </c>
      <c r="C372" s="4" t="s">
        <v>324</v>
      </c>
      <c r="D372" s="29" t="s">
        <v>321</v>
      </c>
      <c r="E372" s="4" t="s">
        <v>323</v>
      </c>
      <c r="F372" s="29"/>
      <c r="G372" s="24"/>
      <c r="H372" s="29"/>
      <c r="M372" s="14"/>
      <c r="O372" s="25" t="str" cm="1">
        <f t="array" ref="O372">BIN2HEX(IF(I372&lt;&gt;"",VLOOKUP(I372,Ops!$I$2:'Ops'!$J$15,2,FALSE),IF(ISNUMBER(SEARCH("BR",D372)),"001","000"))&amp;IF(D372&lt;&gt;"",VLOOKUP(D372,Ops!$B$2:'Ops'!$C$23,2,FALSE),"0")&amp;_xlfn.IFS(ISNUMBER(SEARCH("BR",D372)),VLOOKUP(D372,Ops!$B$3:'Ops'!$D$22,3,FALSE),F372&lt;&gt;"",VLOOKUP(F372,Ops!$R$2:'Ops'!$S$11,2),L372&lt;&gt;"",VLOOKUP(L372,Ops!$R$2:'Ops'!$S$25,2,FALSE),TRUE,"0000"),2)</f>
        <v>3A</v>
      </c>
      <c r="P372" s="26" t="str">
        <f>RIGHT(IF($E372&lt;&gt;"",_xlfn.XLOOKUP($E372,$C$4:$C$681,$B$4:$B$681,"NO LABEL"),BIN2HEX(IF(N372="CarryEn","1","0")&amp;IF(M372="SubXY","1","0")&amp;IF(H372&lt;&gt;"",VLOOKUP(H372,Ops!$F$2:'Ops'!$G$20,2,FALSE),"000000"),2)),2)</f>
        <v>68</v>
      </c>
      <c r="Q372" s="26" t="str" cm="1">
        <f t="array" ref="Q372">BIN2HEX(_xlfn.IFS(D372="HWINTEN","10",G372="KeyAck","01",G372="InitLp8","01",TRUE,"00")&amp;IF(OR(Ops!$O$2:'Ops'!$O$13=K372),VLOOKUP(K372,Ops!$O$2:'Ops'!$P$13,2,FALSE),"000")&amp;IF(E372&lt;&gt;"",IF(LEN(_xlfn.XLOOKUP($E372,$C$5:$C$681,$B$5:$B$681,0))=3,HEX2BIN(LEFT(_xlfn.XLOOKUP($E372,$C$5:$C$681,$B$5:$B$681,0),1),3),IF(OR(Ops!$L$2:'Ops'!$L$11=J372),VLOOKUP(J372,Ops!$L$2:'Ops'!$M$11,2,FALSE),"000")),IF(OR(Ops!$L$2:'Ops'!$L$11=J372),VLOOKUP(J372,Ops!$L$2:'Ops'!$M$11,2,FALSE),"000")),2)</f>
        <v>04</v>
      </c>
      <c r="R372" s="27"/>
      <c r="Z372" s="74" t="str">
        <f>IF(O372="", "};", "0x"&amp;O372&amp;",")</f>
        <v>0x3A,</v>
      </c>
      <c r="AA372" s="75" t="str">
        <f>"0x"&amp;P372&amp;","</f>
        <v>0x68,</v>
      </c>
      <c r="AB372" s="75" t="str">
        <f>"0x"&amp;Q372&amp;","</f>
        <v>0x04,</v>
      </c>
      <c r="AC372" s="76"/>
    </row>
    <row r="373" spans="1:29" x14ac:dyDescent="0.3">
      <c r="A373" s="79">
        <f t="shared" si="100"/>
        <v>1125</v>
      </c>
      <c r="B373" s="80" t="str">
        <f t="shared" si="107"/>
        <v>465</v>
      </c>
      <c r="D373" s="29" t="s">
        <v>0</v>
      </c>
      <c r="E373" s="12" t="s">
        <v>634</v>
      </c>
      <c r="F373" s="29"/>
      <c r="G373" s="24"/>
      <c r="H373" s="29"/>
      <c r="M373" s="14"/>
      <c r="O373" s="25" t="str" cm="1">
        <f t="array" ref="O373">BIN2HEX(IF(I373&lt;&gt;"",VLOOKUP(I373,Ops!$I$2:'Ops'!$J$15,2,FALSE),IF(ISNUMBER(SEARCH("BR",D373)),"001","000"))&amp;IF(D373&lt;&gt;"",VLOOKUP(D373,Ops!$B$2:'Ops'!$C$23,2,FALSE),"0")&amp;_xlfn.IFS(ISNUMBER(SEARCH("BR",D373)),VLOOKUP(D373,Ops!$B$3:'Ops'!$D$22,3,FALSE),F373&lt;&gt;"",VLOOKUP(F373,Ops!$R$2:'Ops'!$S$11,2),L373&lt;&gt;"",VLOOKUP(L373,Ops!$R$2:'Ops'!$S$25,2,FALSE),TRUE,"0000"),2)</f>
        <v>10</v>
      </c>
      <c r="P373" s="26" t="str">
        <f>RIGHT(IF($E373&lt;&gt;"",_xlfn.XLOOKUP($E373,$C$4:$C$681,$B$4:$B$681,"NO LABEL"),BIN2HEX(IF(N373="CarryEn","1","0")&amp;IF(M373="SubXY","1","0")&amp;IF(H373&lt;&gt;"",VLOOKUP(H373,Ops!$F$2:'Ops'!$G$20,2,FALSE),"000000"),2)),2)</f>
        <v>38</v>
      </c>
      <c r="Q373" s="26" t="str" cm="1">
        <f t="array" ref="Q373">BIN2HEX(_xlfn.IFS(D373="HWINTEN","10",G373="KeyAck","01",G373="InitLp8","01",TRUE,"00")&amp;IF(OR(Ops!$O$2:'Ops'!$O$13=K373),VLOOKUP(K373,Ops!$O$2:'Ops'!$P$13,2,FALSE),"000")&amp;IF(E373&lt;&gt;"",IF(LEN(_xlfn.XLOOKUP($E373,$C$5:$C$681,$B$5:$B$681,0))=3,HEX2BIN(LEFT(_xlfn.XLOOKUP($E373,$C$5:$C$681,$B$5:$B$681,0),1),3),IF(OR(Ops!$L$2:'Ops'!$L$11=J373),VLOOKUP(J373,Ops!$L$2:'Ops'!$M$11,2,FALSE),"000")),IF(OR(Ops!$L$2:'Ops'!$L$11=J373),VLOOKUP(J373,Ops!$L$2:'Ops'!$M$11,2,FALSE),"000")),2)</f>
        <v>07</v>
      </c>
      <c r="R373" s="27"/>
      <c r="S373" s="4" t="s">
        <v>643</v>
      </c>
      <c r="Z373" s="74" t="str">
        <f t="shared" si="103"/>
        <v>0x10,</v>
      </c>
      <c r="AA373" s="75" t="str">
        <f t="shared" si="104"/>
        <v>0x38,</v>
      </c>
      <c r="AB373" s="75" t="str">
        <f t="shared" si="105"/>
        <v>0x07,</v>
      </c>
      <c r="AC373" s="76"/>
    </row>
    <row r="374" spans="1:29" x14ac:dyDescent="0.3">
      <c r="A374" s="79">
        <f t="shared" si="100"/>
        <v>1128</v>
      </c>
      <c r="B374" s="80" t="str">
        <f t="shared" si="107"/>
        <v>468</v>
      </c>
      <c r="C374" s="4" t="s">
        <v>323</v>
      </c>
      <c r="D374" s="29"/>
      <c r="F374" s="29"/>
      <c r="G374" s="24"/>
      <c r="H374" s="29"/>
      <c r="J374" s="4" t="s">
        <v>421</v>
      </c>
      <c r="K374" s="4" t="s">
        <v>422</v>
      </c>
      <c r="L374" s="4" t="s">
        <v>325</v>
      </c>
      <c r="M374" s="14"/>
      <c r="O374" s="25" t="str" cm="1">
        <f t="array" ref="O374">BIN2HEX(IF(I374&lt;&gt;"",VLOOKUP(I374,Ops!$I$2:'Ops'!$J$15,2,FALSE),IF(ISNUMBER(SEARCH("BR",D374)),"001","000"))&amp;IF(D374&lt;&gt;"",VLOOKUP(D374,Ops!$B$2:'Ops'!$C$23,2,FALSE),"0")&amp;_xlfn.IFS(ISNUMBER(SEARCH("BR",D374)),VLOOKUP(D374,Ops!$B$3:'Ops'!$D$22,3,FALSE),F374&lt;&gt;"",VLOOKUP(F374,Ops!$R$2:'Ops'!$S$11,2),L374&lt;&gt;"",VLOOKUP(L374,Ops!$R$2:'Ops'!$S$25,2,FALSE),TRUE,"0000"),2)</f>
        <v>06</v>
      </c>
      <c r="P374" s="26" t="str">
        <f>RIGHT(IF($E374&lt;&gt;"",_xlfn.XLOOKUP($E374,$C$4:$C$681,$B$4:$B$681,"NO LABEL"),BIN2HEX(IF(N374="CarryEn","1","0")&amp;IF(M374="SubXY","1","0")&amp;IF(H374&lt;&gt;"",VLOOKUP(H374,Ops!$F$2:'Ops'!$G$20,2,FALSE),"000000"),2)),2)</f>
        <v>00</v>
      </c>
      <c r="Q374" s="26" t="str" cm="1">
        <f t="array" ref="Q374">BIN2HEX(_xlfn.IFS(D374="HWINTEN","10",G374="KeyAck","01",G374="InitLp8","01",TRUE,"00")&amp;IF(OR(Ops!$O$2:'Ops'!$O$13=K374),VLOOKUP(K374,Ops!$O$2:'Ops'!$P$13,2,FALSE),"000")&amp;IF(E374&lt;&gt;"",IF(LEN(_xlfn.XLOOKUP($E374,$C$5:$C$681,$B$5:$B$681,0))=3,HEX2BIN(LEFT(_xlfn.XLOOKUP($E374,$C$5:$C$681,$B$5:$B$681,0),1),3),IF(OR(Ops!$L$2:'Ops'!$L$11=J374),VLOOKUP(J374,Ops!$L$2:'Ops'!$M$11,2,FALSE),"000")),IF(OR(Ops!$L$2:'Ops'!$L$11=J374),VLOOKUP(J374,Ops!$L$2:'Ops'!$M$11,2,FALSE),"000")),2)</f>
        <v>1B</v>
      </c>
      <c r="R374" s="27"/>
      <c r="S374" s="4" t="s">
        <v>436</v>
      </c>
      <c r="Z374" s="74" t="str">
        <f t="shared" si="103"/>
        <v>0x06,</v>
      </c>
      <c r="AA374" s="75" t="str">
        <f t="shared" si="104"/>
        <v>0x00,</v>
      </c>
      <c r="AB374" s="75" t="str">
        <f t="shared" si="105"/>
        <v>0x1B,</v>
      </c>
      <c r="AC374" s="76"/>
    </row>
    <row r="375" spans="1:29" x14ac:dyDescent="0.3">
      <c r="A375" s="79">
        <f t="shared" si="100"/>
        <v>1131</v>
      </c>
      <c r="B375" s="80" t="str">
        <f t="shared" si="107"/>
        <v>46B</v>
      </c>
      <c r="C375" s="31"/>
      <c r="D375" s="34" t="s">
        <v>0</v>
      </c>
      <c r="E375" s="97" t="s">
        <v>1</v>
      </c>
      <c r="F375" s="34"/>
      <c r="G375" s="35"/>
      <c r="H375" s="34"/>
      <c r="I375" s="31"/>
      <c r="J375" s="31"/>
      <c r="K375" s="31"/>
      <c r="L375" s="31"/>
      <c r="M375" s="88"/>
      <c r="N375" s="35"/>
      <c r="O375" s="55" t="str" cm="1">
        <f t="array" ref="O375">BIN2HEX(IF(I375&lt;&gt;"",VLOOKUP(I375,Ops!$I$2:'Ops'!$J$15,2,FALSE),IF(ISNUMBER(SEARCH("BR",D375)),"001","000"))&amp;IF(D375&lt;&gt;"",VLOOKUP(D375,Ops!$B$2:'Ops'!$C$23,2,FALSE),"0")&amp;_xlfn.IFS(ISNUMBER(SEARCH("BR",D375)),VLOOKUP(D375,Ops!$B$3:'Ops'!$D$22,3,FALSE),F375&lt;&gt;"",VLOOKUP(F375,Ops!$R$2:'Ops'!$S$11,2),L375&lt;&gt;"",VLOOKUP(L375,Ops!$R$2:'Ops'!$S$25,2,FALSE),TRUE,"0000"),2)</f>
        <v>10</v>
      </c>
      <c r="P375" s="44" t="str">
        <f>RIGHT(IF($E375&lt;&gt;"",_xlfn.XLOOKUP($E375,$C$4:$C$681,$B$4:$B$681,"NO LABEL"),BIN2HEX(IF(N375="CarryEn","1","0")&amp;IF(M375="SubXY","1","0")&amp;IF(H375&lt;&gt;"",VLOOKUP(H375,Ops!$F$2:'Ops'!$G$20,2,FALSE),"000000"),2)),2)</f>
        <v>60</v>
      </c>
      <c r="Q375" s="26" t="str" cm="1">
        <f t="array" ref="Q375">BIN2HEX(_xlfn.IFS(D375="HWINTEN","10",G375="KeyAck","01",G375="InitLp8","01",TRUE,"00")&amp;IF(OR(Ops!$O$2:'Ops'!$O$13=K375),VLOOKUP(K375,Ops!$O$2:'Ops'!$P$13,2,FALSE),"000")&amp;IF(E375&lt;&gt;"",IF(LEN(_xlfn.XLOOKUP($E375,$C$5:$C$681,$B$5:$B$681,0))=3,HEX2BIN(LEFT(_xlfn.XLOOKUP($E375,$C$5:$C$681,$B$5:$B$681,0),1),3),IF(OR(Ops!$L$2:'Ops'!$L$11=J375),VLOOKUP(J375,Ops!$L$2:'Ops'!$M$11,2,FALSE),"000")),IF(OR(Ops!$L$2:'Ops'!$L$11=J375),VLOOKUP(J375,Ops!$L$2:'Ops'!$M$11,2,FALSE),"000")),2)</f>
        <v>00</v>
      </c>
      <c r="R375" s="45"/>
      <c r="S375" s="4" t="s">
        <v>644</v>
      </c>
      <c r="Z375" s="74" t="str">
        <f t="shared" si="103"/>
        <v>0x10,</v>
      </c>
      <c r="AA375" s="75" t="str">
        <f t="shared" si="104"/>
        <v>0x60,</v>
      </c>
      <c r="AB375" s="75" t="str">
        <f t="shared" si="105"/>
        <v>0x00,</v>
      </c>
      <c r="AC375" s="76"/>
    </row>
    <row r="376" spans="1:29" x14ac:dyDescent="0.3">
      <c r="A376" s="79">
        <f t="shared" si="100"/>
        <v>1134</v>
      </c>
      <c r="B376" s="80" t="str">
        <f>DEC2HEX(A376)</f>
        <v>46E</v>
      </c>
      <c r="C376" s="12" t="s">
        <v>17</v>
      </c>
      <c r="D376" s="29" t="s">
        <v>30</v>
      </c>
      <c r="E376" s="4" t="s">
        <v>493</v>
      </c>
      <c r="F376" s="29"/>
      <c r="G376" s="24"/>
      <c r="H376" s="29"/>
      <c r="M376" s="14"/>
      <c r="O376" s="25" t="str" cm="1">
        <f t="array" ref="O376">BIN2HEX(IF(I376&lt;&gt;"",VLOOKUP(I376,Ops!$I$2:'Ops'!$J$15,2,FALSE),IF(ISNUMBER(SEARCH("BR",D376)),"001","000"))&amp;IF(D376&lt;&gt;"",VLOOKUP(D376,Ops!$B$2:'Ops'!$C$23,2,FALSE),"0")&amp;_xlfn.IFS(ISNUMBER(SEARCH("BR",D376)),VLOOKUP(D376,Ops!$B$3:'Ops'!$D$22,3,FALSE),F376&lt;&gt;"",VLOOKUP(F376,Ops!$R$2:'Ops'!$S$11,2),L376&lt;&gt;"",VLOOKUP(L376,Ops!$R$2:'Ops'!$S$25,2,FALSE),TRUE,"0000"),2)</f>
        <v>32</v>
      </c>
      <c r="P376" s="26" t="str">
        <f>RIGHT(IF($E376&lt;&gt;"",_xlfn.XLOOKUP($E376,$C$4:$C$681,$B$4:$B$681,"NO LABEL"),BIN2HEX(IF(N376="CarryEn","1","0")&amp;IF(M376="SubXY","1","0")&amp;IF(H376&lt;&gt;"",VLOOKUP(H376,Ops!$F$2:'Ops'!$G$20,2,FALSE),"000000"),2)),2)</f>
        <v>77</v>
      </c>
      <c r="Q376" s="26" t="str" cm="1">
        <f t="array" ref="Q376">BIN2HEX(_xlfn.IFS(D376="HWINTEN","10",G376="KeyAck","01",G376="InitLp8","01",TRUE,"00")&amp;IF(OR(Ops!$O$2:'Ops'!$O$13=K376),VLOOKUP(K376,Ops!$O$2:'Ops'!$P$13,2,FALSE),"000")&amp;IF(E376&lt;&gt;"",IF(LEN(_xlfn.XLOOKUP($E376,$C$5:$C$681,$B$5:$B$681,0))=3,HEX2BIN(LEFT(_xlfn.XLOOKUP($E376,$C$5:$C$681,$B$5:$B$681,0),1),3),IF(OR(Ops!$L$2:'Ops'!$L$11=J376),VLOOKUP(J376,Ops!$L$2:'Ops'!$M$11,2,FALSE),"000")),IF(OR(Ops!$L$2:'Ops'!$L$11=J376),VLOOKUP(J376,Ops!$L$2:'Ops'!$M$11,2,FALSE),"000")),2)</f>
        <v>04</v>
      </c>
      <c r="R376" s="27"/>
      <c r="S376" s="4" t="s">
        <v>686</v>
      </c>
      <c r="Z376" s="74" t="str">
        <f t="shared" ref="Z376:Z383" si="111">IF(O376="", "};", "0x"&amp;O376&amp;",")</f>
        <v>0x32,</v>
      </c>
      <c r="AA376" s="75" t="str">
        <f t="shared" ref="AA376:AA383" si="112">"0x"&amp;P376&amp;","</f>
        <v>0x77,</v>
      </c>
      <c r="AB376" s="75" t="str">
        <f t="shared" ref="AB376:AB383" si="113">"0x"&amp;Q376&amp;","</f>
        <v>0x04,</v>
      </c>
      <c r="AC376" s="76"/>
    </row>
    <row r="377" spans="1:29" x14ac:dyDescent="0.3">
      <c r="A377" s="79">
        <f t="shared" si="100"/>
        <v>1137</v>
      </c>
      <c r="B377" s="80" t="str">
        <f t="shared" ref="B377:B383" si="114">DEC2HEX(A377)</f>
        <v>471</v>
      </c>
      <c r="C377" s="12"/>
      <c r="D377" s="29" t="s">
        <v>183</v>
      </c>
      <c r="E377" s="4" t="s">
        <v>275</v>
      </c>
      <c r="F377" s="29"/>
      <c r="G377" s="24"/>
      <c r="H377" s="29"/>
      <c r="M377" s="14"/>
      <c r="O377" s="25" t="str" cm="1">
        <f t="array" ref="O377">BIN2HEX(IF(I377&lt;&gt;"",VLOOKUP(I377,Ops!$I$2:'Ops'!$J$15,2,FALSE),IF(ISNUMBER(SEARCH("BR",D377)),"001","000"))&amp;IF(D377&lt;&gt;"",VLOOKUP(D377,Ops!$B$2:'Ops'!$C$23,2,FALSE),"0")&amp;_xlfn.IFS(ISNUMBER(SEARCH("BR",D377)),VLOOKUP(D377,Ops!$B$3:'Ops'!$D$22,3,FALSE),F377&lt;&gt;"",VLOOKUP(F377,Ops!$R$2:'Ops'!$S$11,2),L377&lt;&gt;"",VLOOKUP(L377,Ops!$R$2:'Ops'!$S$25,2,FALSE),TRUE,"0000"),2)</f>
        <v>37</v>
      </c>
      <c r="P377" s="26" t="str">
        <f>RIGHT(IF($E377&lt;&gt;"",_xlfn.XLOOKUP($E377,$C$4:$C$681,$B$4:$B$681,"NO LABEL"),BIN2HEX(IF(N377="CarryEn","1","0")&amp;IF(M377="SubXY","1","0")&amp;IF(H377&lt;&gt;"",VLOOKUP(H377,Ops!$F$2:'Ops'!$G$20,2,FALSE),"000000"),2)),2)</f>
        <v>80</v>
      </c>
      <c r="Q377" s="26" t="str" cm="1">
        <f t="array" ref="Q377">BIN2HEX(_xlfn.IFS(D377="HWINTEN","10",G377="KeyAck","01",G377="InitLp8","01",TRUE,"00")&amp;IF(OR(Ops!$O$2:'Ops'!$O$13=K377),VLOOKUP(K377,Ops!$O$2:'Ops'!$P$13,2,FALSE),"000")&amp;IF(E377&lt;&gt;"",IF(LEN(_xlfn.XLOOKUP($E377,$C$5:$C$681,$B$5:$B$681,0))=3,HEX2BIN(LEFT(_xlfn.XLOOKUP($E377,$C$5:$C$681,$B$5:$B$681,0),1),3),IF(OR(Ops!$L$2:'Ops'!$L$11=J377),VLOOKUP(J377,Ops!$L$2:'Ops'!$M$11,2,FALSE),"000")),IF(OR(Ops!$L$2:'Ops'!$L$11=J377),VLOOKUP(J377,Ops!$L$2:'Ops'!$M$11,2,FALSE),"000")),2)</f>
        <v>04</v>
      </c>
      <c r="R377" s="27"/>
      <c r="S377" s="4" t="s">
        <v>687</v>
      </c>
      <c r="Z377" s="74" t="str">
        <f t="shared" si="111"/>
        <v>0x37,</v>
      </c>
      <c r="AA377" s="75" t="str">
        <f t="shared" si="112"/>
        <v>0x80,</v>
      </c>
      <c r="AB377" s="75" t="str">
        <f t="shared" si="113"/>
        <v>0x04,</v>
      </c>
      <c r="AC377" s="76"/>
    </row>
    <row r="378" spans="1:29" x14ac:dyDescent="0.3">
      <c r="A378" s="79">
        <f t="shared" si="100"/>
        <v>1140</v>
      </c>
      <c r="B378" s="80" t="str">
        <f t="shared" si="114"/>
        <v>474</v>
      </c>
      <c r="D378" s="29" t="s">
        <v>0</v>
      </c>
      <c r="E378" s="4" t="s">
        <v>274</v>
      </c>
      <c r="F378" s="29"/>
      <c r="G378" s="24"/>
      <c r="H378" s="29"/>
      <c r="M378" s="14"/>
      <c r="O378" s="25" t="str" cm="1">
        <f t="array" ref="O378">BIN2HEX(IF(I378&lt;&gt;"",VLOOKUP(I378,Ops!$I$2:'Ops'!$J$15,2,FALSE),IF(ISNUMBER(SEARCH("BR",D378)),"001","000"))&amp;IF(D378&lt;&gt;"",VLOOKUP(D378,Ops!$B$2:'Ops'!$C$23,2,FALSE),"0")&amp;_xlfn.IFS(ISNUMBER(SEARCH("BR",D378)),VLOOKUP(D378,Ops!$B$3:'Ops'!$D$22,3,FALSE),F378&lt;&gt;"",VLOOKUP(F378,Ops!$R$2:'Ops'!$S$11,2),L378&lt;&gt;"",VLOOKUP(L378,Ops!$R$2:'Ops'!$S$25,2,FALSE),TRUE,"0000"),2)</f>
        <v>10</v>
      </c>
      <c r="P378" s="26" t="str">
        <f>RIGHT(IF($E378&lt;&gt;"",_xlfn.XLOOKUP($E378,$C$4:$C$681,$B$4:$B$681,"NO LABEL"),BIN2HEX(IF(N378="CarryEn","1","0")&amp;IF(M378="SubXY","1","0")&amp;IF(H378&lt;&gt;"",VLOOKUP(H378,Ops!$F$2:'Ops'!$G$20,2,FALSE),"000000"),2)),2)</f>
        <v>89</v>
      </c>
      <c r="Q378" s="26" t="str" cm="1">
        <f t="array" ref="Q378">BIN2HEX(_xlfn.IFS(D378="HWINTEN","10",G378="KeyAck","01",G378="InitLp8","01",TRUE,"00")&amp;IF(OR(Ops!$O$2:'Ops'!$O$13=K378),VLOOKUP(K378,Ops!$O$2:'Ops'!$P$13,2,FALSE),"000")&amp;IF(E378&lt;&gt;"",IF(LEN(_xlfn.XLOOKUP($E378,$C$5:$C$681,$B$5:$B$681,0))=3,HEX2BIN(LEFT(_xlfn.XLOOKUP($E378,$C$5:$C$681,$B$5:$B$681,0),1),3),IF(OR(Ops!$L$2:'Ops'!$L$11=J378),VLOOKUP(J378,Ops!$L$2:'Ops'!$M$11,2,FALSE),"000")),IF(OR(Ops!$L$2:'Ops'!$L$11=J378),VLOOKUP(J378,Ops!$L$2:'Ops'!$M$11,2,FALSE),"000")),2)</f>
        <v>04</v>
      </c>
      <c r="R378" s="27"/>
      <c r="S378" s="4" t="s">
        <v>688</v>
      </c>
      <c r="Z378" s="74" t="str">
        <f t="shared" si="111"/>
        <v>0x10,</v>
      </c>
      <c r="AA378" s="75" t="str">
        <f t="shared" si="112"/>
        <v>0x89,</v>
      </c>
      <c r="AB378" s="75" t="str">
        <f t="shared" si="113"/>
        <v>0x04,</v>
      </c>
      <c r="AC378" s="76"/>
    </row>
    <row r="379" spans="1:29" x14ac:dyDescent="0.3">
      <c r="A379" s="79">
        <f t="shared" si="100"/>
        <v>1143</v>
      </c>
      <c r="B379" s="80" t="str">
        <f t="shared" si="114"/>
        <v>477</v>
      </c>
      <c r="C379" s="4" t="s">
        <v>493</v>
      </c>
      <c r="D379" s="29"/>
      <c r="F379" s="29"/>
      <c r="G379" s="24"/>
      <c r="H379" s="29"/>
      <c r="J379" s="4" t="s">
        <v>314</v>
      </c>
      <c r="K379" s="4" t="s">
        <v>313</v>
      </c>
      <c r="L379" s="4" t="s">
        <v>180</v>
      </c>
      <c r="M379" s="14"/>
      <c r="O379" s="25" t="str" cm="1">
        <f t="array" ref="O379">BIN2HEX(IF(I379&lt;&gt;"",VLOOKUP(I379,Ops!$I$2:'Ops'!$J$15,2,FALSE),IF(ISNUMBER(SEARCH("BR",D379)),"001","000"))&amp;IF(D379&lt;&gt;"",VLOOKUP(D379,Ops!$B$2:'Ops'!$C$23,2,FALSE),"0")&amp;_xlfn.IFS(ISNUMBER(SEARCH("BR",D379)),VLOOKUP(D379,Ops!$B$3:'Ops'!$D$22,3,FALSE),F379&lt;&gt;"",VLOOKUP(F379,Ops!$R$2:'Ops'!$S$11,2),L379&lt;&gt;"",VLOOKUP(L379,Ops!$R$2:'Ops'!$S$25,2,FALSE),TRUE,"0000"),2)</f>
        <v>01</v>
      </c>
      <c r="P379" s="26" t="str">
        <f>RIGHT(IF($E379&lt;&gt;"",_xlfn.XLOOKUP($E379,$C$4:$C$681,$B$4:$B$681,"NO LABEL"),BIN2HEX(IF(N379="CarryEn","1","0")&amp;IF(M379="SubXY","1","0")&amp;IF(H379&lt;&gt;"",VLOOKUP(H379,Ops!$F$2:'Ops'!$G$20,2,FALSE),"000000"),2)),2)</f>
        <v>00</v>
      </c>
      <c r="Q379" s="26" t="str" cm="1">
        <f t="array" ref="Q379">BIN2HEX(_xlfn.IFS(D379="HWINTEN","10",G379="KeyAck","01",G379="InitLp8","01",TRUE,"00")&amp;IF(OR(Ops!$O$2:'Ops'!$O$13=K379),VLOOKUP(K379,Ops!$O$2:'Ops'!$P$13,2,FALSE),"000")&amp;IF(E379&lt;&gt;"",IF(LEN(_xlfn.XLOOKUP($E379,$C$5:$C$681,$B$5:$B$681,0))=3,HEX2BIN(LEFT(_xlfn.XLOOKUP($E379,$C$5:$C$681,$B$5:$B$681,0),1),3),IF(OR(Ops!$L$2:'Ops'!$L$11=J379),VLOOKUP(J379,Ops!$L$2:'Ops'!$M$11,2,FALSE),"000")),IF(OR(Ops!$L$2:'Ops'!$L$11=J379),VLOOKUP(J379,Ops!$L$2:'Ops'!$M$11,2,FALSE),"000")),2)</f>
        <v>36</v>
      </c>
      <c r="R379" s="27"/>
      <c r="S379" s="4" t="s">
        <v>689</v>
      </c>
      <c r="Z379" s="74" t="str">
        <f t="shared" si="111"/>
        <v>0x01,</v>
      </c>
      <c r="AA379" s="75" t="str">
        <f t="shared" si="112"/>
        <v>0x00,</v>
      </c>
      <c r="AB379" s="75" t="str">
        <f t="shared" si="113"/>
        <v>0x36,</v>
      </c>
      <c r="AC379" s="76"/>
    </row>
    <row r="380" spans="1:29" x14ac:dyDescent="0.3">
      <c r="A380" s="79">
        <f t="shared" si="100"/>
        <v>1146</v>
      </c>
      <c r="B380" s="80" t="str">
        <f t="shared" si="114"/>
        <v>47A</v>
      </c>
      <c r="D380" s="29"/>
      <c r="F380" s="29"/>
      <c r="G380" s="24"/>
      <c r="H380" s="29"/>
      <c r="J380" s="4" t="s">
        <v>421</v>
      </c>
      <c r="K380" s="4" t="s">
        <v>422</v>
      </c>
      <c r="L380" s="4" t="s">
        <v>24</v>
      </c>
      <c r="M380" s="14"/>
      <c r="O380" s="25" t="str" cm="1">
        <f t="array" ref="O380">BIN2HEX(IF(I380&lt;&gt;"",VLOOKUP(I380,Ops!$I$2:'Ops'!$J$15,2,FALSE),IF(ISNUMBER(SEARCH("BR",D380)),"001","000"))&amp;IF(D380&lt;&gt;"",VLOOKUP(D380,Ops!$B$2:'Ops'!$C$23,2,FALSE),"0")&amp;_xlfn.IFS(ISNUMBER(SEARCH("BR",D380)),VLOOKUP(D380,Ops!$B$3:'Ops'!$D$22,3,FALSE),F380&lt;&gt;"",VLOOKUP(F380,Ops!$R$2:'Ops'!$S$11,2),L380&lt;&gt;"",VLOOKUP(L380,Ops!$R$2:'Ops'!$S$25,2,FALSE),TRUE,"0000"),2)</f>
        <v>00</v>
      </c>
      <c r="P380" s="26" t="str">
        <f>RIGHT(IF($E380&lt;&gt;"",_xlfn.XLOOKUP($E380,$C$4:$C$681,$B$4:$B$681,"NO LABEL"),BIN2HEX(IF(N380="CarryEn","1","0")&amp;IF(M380="SubXY","1","0")&amp;IF(H380&lt;&gt;"",VLOOKUP(H380,Ops!$F$2:'Ops'!$G$20,2,FALSE),"000000"),2)),2)</f>
        <v>00</v>
      </c>
      <c r="Q380" s="26" t="str" cm="1">
        <f t="array" ref="Q380">BIN2HEX(_xlfn.IFS(D380="HWINTEN","10",G380="KeyAck","01",G380="InitLp8","01",TRUE,"00")&amp;IF(OR(Ops!$O$2:'Ops'!$O$13=K380),VLOOKUP(K380,Ops!$O$2:'Ops'!$P$13,2,FALSE),"000")&amp;IF(E380&lt;&gt;"",IF(LEN(_xlfn.XLOOKUP($E380,$C$5:$C$681,$B$5:$B$681,0))=3,HEX2BIN(LEFT(_xlfn.XLOOKUP($E380,$C$5:$C$681,$B$5:$B$681,0),1),3),IF(OR(Ops!$L$2:'Ops'!$L$11=J380),VLOOKUP(J380,Ops!$L$2:'Ops'!$M$11,2,FALSE),"000")),IF(OR(Ops!$L$2:'Ops'!$L$11=J380),VLOOKUP(J380,Ops!$L$2:'Ops'!$M$11,2,FALSE),"000")),2)</f>
        <v>1B</v>
      </c>
      <c r="R380" s="27"/>
      <c r="S380" s="4" t="s">
        <v>690</v>
      </c>
      <c r="Z380" s="74" t="str">
        <f t="shared" si="111"/>
        <v>0x00,</v>
      </c>
      <c r="AA380" s="75" t="str">
        <f t="shared" si="112"/>
        <v>0x00,</v>
      </c>
      <c r="AB380" s="75" t="str">
        <f t="shared" si="113"/>
        <v>0x1B,</v>
      </c>
      <c r="AC380" s="76"/>
    </row>
    <row r="381" spans="1:29" x14ac:dyDescent="0.3">
      <c r="A381" s="79">
        <f t="shared" si="100"/>
        <v>1149</v>
      </c>
      <c r="B381" s="80" t="str">
        <f>DEC2HEX(A381)</f>
        <v>47D</v>
      </c>
      <c r="D381" s="29" t="s">
        <v>0</v>
      </c>
      <c r="E381" s="4" t="s">
        <v>274</v>
      </c>
      <c r="F381" s="29"/>
      <c r="G381" s="24"/>
      <c r="H381" s="29"/>
      <c r="M381" s="14"/>
      <c r="O381" s="25" t="str" cm="1">
        <f t="array" ref="O381">BIN2HEX(IF(I381&lt;&gt;"",VLOOKUP(I381,Ops!$I$2:'Ops'!$J$15,2,FALSE),IF(ISNUMBER(SEARCH("BR",D381)),"001","000"))&amp;IF(D381&lt;&gt;"",VLOOKUP(D381,Ops!$B$2:'Ops'!$C$23,2,FALSE),"0")&amp;_xlfn.IFS(ISNUMBER(SEARCH("BR",D381)),VLOOKUP(D381,Ops!$B$3:'Ops'!$D$22,3,FALSE),F381&lt;&gt;"",VLOOKUP(F381,Ops!$R$2:'Ops'!$S$11,2),L381&lt;&gt;"",VLOOKUP(L381,Ops!$R$2:'Ops'!$S$25,2,FALSE),TRUE,"0000"),2)</f>
        <v>10</v>
      </c>
      <c r="P381" s="26" t="str">
        <f>RIGHT(IF($E381&lt;&gt;"",_xlfn.XLOOKUP($E381,$C$4:$C$681,$B$4:$B$681,"NO LABEL"),BIN2HEX(IF(N381="CarryEn","1","0")&amp;IF(M381="SubXY","1","0")&amp;IF(H381&lt;&gt;"",VLOOKUP(H381,Ops!$F$2:'Ops'!$G$20,2,FALSE),"000000"),2)),2)</f>
        <v>89</v>
      </c>
      <c r="Q381" s="26" t="str" cm="1">
        <f t="array" ref="Q381">BIN2HEX(_xlfn.IFS(D381="HWINTEN","10",G381="KeyAck","01",G381="InitLp8","01",TRUE,"00")&amp;IF(OR(Ops!$O$2:'Ops'!$O$13=K381),VLOOKUP(K381,Ops!$O$2:'Ops'!$P$13,2,FALSE),"000")&amp;IF(E381&lt;&gt;"",IF(LEN(_xlfn.XLOOKUP($E381,$C$5:$C$681,$B$5:$B$681,0))=3,HEX2BIN(LEFT(_xlfn.XLOOKUP($E381,$C$5:$C$681,$B$5:$B$681,0),1),3),IF(OR(Ops!$L$2:'Ops'!$L$11=J381),VLOOKUP(J381,Ops!$L$2:'Ops'!$M$11,2,FALSE),"000")),IF(OR(Ops!$L$2:'Ops'!$L$11=J381),VLOOKUP(J381,Ops!$L$2:'Ops'!$M$11,2,FALSE),"000")),2)</f>
        <v>04</v>
      </c>
      <c r="R381" s="27"/>
      <c r="Z381" s="74" t="str">
        <f t="shared" si="111"/>
        <v>0x10,</v>
      </c>
      <c r="AA381" s="75" t="str">
        <f t="shared" si="112"/>
        <v>0x89,</v>
      </c>
      <c r="AB381" s="75" t="str">
        <f t="shared" si="113"/>
        <v>0x04,</v>
      </c>
      <c r="AC381" s="76"/>
    </row>
    <row r="382" spans="1:29" x14ac:dyDescent="0.3">
      <c r="A382" s="79">
        <f t="shared" si="100"/>
        <v>1152</v>
      </c>
      <c r="B382" s="80" t="str">
        <f>DEC2HEX(A382)</f>
        <v>480</v>
      </c>
      <c r="C382" s="4" t="s">
        <v>275</v>
      </c>
      <c r="D382" s="29"/>
      <c r="F382" s="29"/>
      <c r="G382" s="24"/>
      <c r="H382" s="29"/>
      <c r="J382" s="4" t="s">
        <v>421</v>
      </c>
      <c r="K382" s="4" t="s">
        <v>422</v>
      </c>
      <c r="L382" s="4" t="s">
        <v>24</v>
      </c>
      <c r="M382" s="14"/>
      <c r="O382" s="25" t="str" cm="1">
        <f t="array" ref="O382">BIN2HEX(IF(I382&lt;&gt;"",VLOOKUP(I382,Ops!$I$2:'Ops'!$J$15,2,FALSE),IF(ISNUMBER(SEARCH("BR",D382)),"001","000"))&amp;IF(D382&lt;&gt;"",VLOOKUP(D382,Ops!$B$2:'Ops'!$C$23,2,FALSE),"0")&amp;_xlfn.IFS(ISNUMBER(SEARCH("BR",D382)),VLOOKUP(D382,Ops!$B$3:'Ops'!$D$22,3,FALSE),F382&lt;&gt;"",VLOOKUP(F382,Ops!$R$2:'Ops'!$S$11,2),L382&lt;&gt;"",VLOOKUP(L382,Ops!$R$2:'Ops'!$S$25,2,FALSE),TRUE,"0000"),2)</f>
        <v>00</v>
      </c>
      <c r="P382" s="26" t="str">
        <f>RIGHT(IF($E382&lt;&gt;"",_xlfn.XLOOKUP($E382,$C$4:$C$681,$B$4:$B$681,"NO LABEL"),BIN2HEX(IF(N382="CarryEn","1","0")&amp;IF(M382="SubXY","1","0")&amp;IF(H382&lt;&gt;"",VLOOKUP(H382,Ops!$F$2:'Ops'!$G$20,2,FALSE),"000000"),2)),2)</f>
        <v>00</v>
      </c>
      <c r="Q382" s="26" t="str" cm="1">
        <f t="array" ref="Q382">BIN2HEX(_xlfn.IFS(D382="HWINTEN","10",G382="KeyAck","01",G382="InitLp8","01",TRUE,"00")&amp;IF(OR(Ops!$O$2:'Ops'!$O$13=K382),VLOOKUP(K382,Ops!$O$2:'Ops'!$P$13,2,FALSE),"000")&amp;IF(E382&lt;&gt;"",IF(LEN(_xlfn.XLOOKUP($E382,$C$5:$C$681,$B$5:$B$681,0))=3,HEX2BIN(LEFT(_xlfn.XLOOKUP($E382,$C$5:$C$681,$B$5:$B$681,0),1),3),IF(OR(Ops!$L$2:'Ops'!$L$11=J382),VLOOKUP(J382,Ops!$L$2:'Ops'!$M$11,2,FALSE),"000")),IF(OR(Ops!$L$2:'Ops'!$L$11=J382),VLOOKUP(J382,Ops!$L$2:'Ops'!$M$11,2,FALSE),"000")),2)</f>
        <v>1B</v>
      </c>
      <c r="R382" s="27"/>
      <c r="S382" s="4" t="s">
        <v>408</v>
      </c>
      <c r="Z382" s="74" t="str">
        <f t="shared" si="111"/>
        <v>0x00,</v>
      </c>
      <c r="AA382" s="75" t="str">
        <f t="shared" si="112"/>
        <v>0x00,</v>
      </c>
      <c r="AB382" s="75" t="str">
        <f t="shared" si="113"/>
        <v>0x1B,</v>
      </c>
      <c r="AC382" s="76"/>
    </row>
    <row r="383" spans="1:29" x14ac:dyDescent="0.3">
      <c r="A383" s="79">
        <f t="shared" si="100"/>
        <v>1155</v>
      </c>
      <c r="B383" s="80" t="str">
        <f t="shared" si="114"/>
        <v>483</v>
      </c>
      <c r="D383" s="29"/>
      <c r="F383" s="29"/>
      <c r="G383" s="24"/>
      <c r="H383" s="29"/>
      <c r="J383" s="4" t="s">
        <v>314</v>
      </c>
      <c r="L383" s="4" t="s">
        <v>311</v>
      </c>
      <c r="M383" s="14"/>
      <c r="O383" s="25" t="str" cm="1">
        <f t="array" ref="O383">BIN2HEX(IF(I383&lt;&gt;"",VLOOKUP(I383,Ops!$I$2:'Ops'!$J$15,2,FALSE),IF(ISNUMBER(SEARCH("BR",D383)),"001","000"))&amp;IF(D383&lt;&gt;"",VLOOKUP(D383,Ops!$B$2:'Ops'!$C$23,2,FALSE),"0")&amp;_xlfn.IFS(ISNUMBER(SEARCH("BR",D383)),VLOOKUP(D383,Ops!$B$3:'Ops'!$D$22,3,FALSE),F383&lt;&gt;"",VLOOKUP(F383,Ops!$R$2:'Ops'!$S$11,2),L383&lt;&gt;"",VLOOKUP(L383,Ops!$R$2:'Ops'!$S$25,2,FALSE),TRUE,"0000"),2)</f>
        <v>04</v>
      </c>
      <c r="P383" s="26" t="str">
        <f>RIGHT(IF($E383&lt;&gt;"",_xlfn.XLOOKUP($E383,$C$4:$C$681,$B$4:$B$681,"NO LABEL"),BIN2HEX(IF(N383="CarryEn","1","0")&amp;IF(M383="SubXY","1","0")&amp;IF(H383&lt;&gt;"",VLOOKUP(H383,Ops!$F$2:'Ops'!$G$20,2,FALSE),"000000"),2)),2)</f>
        <v>00</v>
      </c>
      <c r="Q383" s="26" t="str" cm="1">
        <f t="array" ref="Q383">BIN2HEX(_xlfn.IFS(D383="HWINTEN","10",G383="KeyAck","01",G383="InitLp8","01",TRUE,"00")&amp;IF(OR(Ops!$O$2:'Ops'!$O$13=K383),VLOOKUP(K383,Ops!$O$2:'Ops'!$P$13,2,FALSE),"000")&amp;IF(E383&lt;&gt;"",IF(LEN(_xlfn.XLOOKUP($E383,$C$5:$C$681,$B$5:$B$681,0))=3,HEX2BIN(LEFT(_xlfn.XLOOKUP($E383,$C$5:$C$681,$B$5:$B$681,0),1),3),IF(OR(Ops!$L$2:'Ops'!$L$11=J383),VLOOKUP(J383,Ops!$L$2:'Ops'!$M$11,2,FALSE),"000")),IF(OR(Ops!$L$2:'Ops'!$L$11=J383),VLOOKUP(J383,Ops!$L$2:'Ops'!$M$11,2,FALSE),"000")),2)</f>
        <v>06</v>
      </c>
      <c r="R383" s="27"/>
      <c r="S383" s="4" t="s">
        <v>407</v>
      </c>
      <c r="Z383" s="74" t="str">
        <f t="shared" si="111"/>
        <v>0x04,</v>
      </c>
      <c r="AA383" s="75" t="str">
        <f t="shared" si="112"/>
        <v>0x00,</v>
      </c>
      <c r="AB383" s="75" t="str">
        <f t="shared" si="113"/>
        <v>0x06,</v>
      </c>
      <c r="AC383" s="76"/>
    </row>
    <row r="384" spans="1:29" x14ac:dyDescent="0.3">
      <c r="A384" s="79">
        <f t="shared" si="100"/>
        <v>1158</v>
      </c>
      <c r="B384" s="80" t="str">
        <f>DEC2HEX(A384)</f>
        <v>486</v>
      </c>
      <c r="D384" s="29"/>
      <c r="F384" s="29"/>
      <c r="G384" s="24"/>
      <c r="H384" s="29"/>
      <c r="J384" s="4" t="s">
        <v>314</v>
      </c>
      <c r="K384" s="4" t="s">
        <v>313</v>
      </c>
      <c r="L384" s="4" t="s">
        <v>312</v>
      </c>
      <c r="M384" s="14"/>
      <c r="O384" s="25" t="str" cm="1">
        <f t="array" ref="O384">BIN2HEX(IF(I384&lt;&gt;"",VLOOKUP(I384,Ops!$I$2:'Ops'!$J$15,2,FALSE),IF(ISNUMBER(SEARCH("BR",D384)),"001","000"))&amp;IF(D384&lt;&gt;"",VLOOKUP(D384,Ops!$B$2:'Ops'!$C$23,2,FALSE),"0")&amp;_xlfn.IFS(ISNUMBER(SEARCH("BR",D384)),VLOOKUP(D384,Ops!$B$3:'Ops'!$D$22,3,FALSE),F384&lt;&gt;"",VLOOKUP(F384,Ops!$R$2:'Ops'!$S$11,2),L384&lt;&gt;"",VLOOKUP(L384,Ops!$R$2:'Ops'!$S$25,2,FALSE),TRUE,"0000"),2)</f>
        <v>03</v>
      </c>
      <c r="P384" s="26" t="str">
        <f>RIGHT(IF($E384&lt;&gt;"",_xlfn.XLOOKUP($E384,$C$4:$C$681,$B$4:$B$681,"NO LABEL"),BIN2HEX(IF(N384="CarryEn","1","0")&amp;IF(M384="SubXY","1","0")&amp;IF(H384&lt;&gt;"",VLOOKUP(H384,Ops!$F$2:'Ops'!$G$20,2,FALSE),"000000"),2)),2)</f>
        <v>00</v>
      </c>
      <c r="Q384" s="26" t="str" cm="1">
        <f t="array" ref="Q384">BIN2HEX(_xlfn.IFS(D384="HWINTEN","10",G384="KeyAck","01",G384="InitLp8","01",TRUE,"00")&amp;IF(OR(Ops!$O$2:'Ops'!$O$13=K384),VLOOKUP(K384,Ops!$O$2:'Ops'!$P$13,2,FALSE),"000")&amp;IF(E384&lt;&gt;"",IF(LEN(_xlfn.XLOOKUP($E384,$C$5:$C$681,$B$5:$B$681,0))=3,HEX2BIN(LEFT(_xlfn.XLOOKUP($E384,$C$5:$C$681,$B$5:$B$681,0),1),3),IF(OR(Ops!$L$2:'Ops'!$L$11=J384),VLOOKUP(J384,Ops!$L$2:'Ops'!$M$11,2,FALSE),"000")),IF(OR(Ops!$L$2:'Ops'!$L$11=J384),VLOOKUP(J384,Ops!$L$2:'Ops'!$M$11,2,FALSE),"000")),2)</f>
        <v>36</v>
      </c>
      <c r="R384" s="27"/>
      <c r="Z384" s="74" t="str">
        <f t="shared" si="103"/>
        <v>0x03,</v>
      </c>
      <c r="AA384" s="75" t="str">
        <f t="shared" si="104"/>
        <v>0x00,</v>
      </c>
      <c r="AB384" s="75" t="str">
        <f t="shared" si="105"/>
        <v>0x36,</v>
      </c>
      <c r="AC384" s="76"/>
    </row>
    <row r="385" spans="1:29" x14ac:dyDescent="0.3">
      <c r="A385" s="79">
        <f t="shared" si="100"/>
        <v>1161</v>
      </c>
      <c r="B385" s="80" t="str">
        <f t="shared" si="107"/>
        <v>489</v>
      </c>
      <c r="C385" s="4" t="s">
        <v>274</v>
      </c>
      <c r="D385" s="29" t="s">
        <v>28</v>
      </c>
      <c r="E385" s="4" t="s">
        <v>279</v>
      </c>
      <c r="F385" s="29"/>
      <c r="G385" s="24"/>
      <c r="H385" s="29"/>
      <c r="M385" s="14"/>
      <c r="O385" s="25" t="str" cm="1">
        <f t="array" ref="O385">BIN2HEX(IF(I385&lt;&gt;"",VLOOKUP(I385,Ops!$I$2:'Ops'!$J$15,2,FALSE),IF(ISNUMBER(SEARCH("BR",D385)),"001","000"))&amp;IF(D385&lt;&gt;"",VLOOKUP(D385,Ops!$B$2:'Ops'!$C$23,2,FALSE),"0")&amp;_xlfn.IFS(ISNUMBER(SEARCH("BR",D385)),VLOOKUP(D385,Ops!$B$3:'Ops'!$D$22,3,FALSE),F385&lt;&gt;"",VLOOKUP(F385,Ops!$R$2:'Ops'!$S$11,2),L385&lt;&gt;"",VLOOKUP(L385,Ops!$R$2:'Ops'!$S$25,2,FALSE),TRUE,"0000"),2)</f>
        <v>31</v>
      </c>
      <c r="P385" s="26" t="str">
        <f>RIGHT(IF($E385&lt;&gt;"",_xlfn.XLOOKUP($E385,$C$4:$C$681,$B$4:$B$681,"NO LABEL"),BIN2HEX(IF(N385="CarryEn","1","0")&amp;IF(M385="SubXY","1","0")&amp;IF(H385&lt;&gt;"",VLOOKUP(H385,Ops!$F$2:'Ops'!$G$20,2,FALSE),"000000"),2)),2)</f>
        <v>98</v>
      </c>
      <c r="Q385" s="26" t="str" cm="1">
        <f t="array" ref="Q385">BIN2HEX(_xlfn.IFS(D385="HWINTEN","10",G385="KeyAck","01",G385="InitLp8","01",TRUE,"00")&amp;IF(OR(Ops!$O$2:'Ops'!$O$13=K385),VLOOKUP(K385,Ops!$O$2:'Ops'!$P$13,2,FALSE),"000")&amp;IF(E385&lt;&gt;"",IF(LEN(_xlfn.XLOOKUP($E385,$C$5:$C$681,$B$5:$B$681,0))=3,HEX2BIN(LEFT(_xlfn.XLOOKUP($E385,$C$5:$C$681,$B$5:$B$681,0),1),3),IF(OR(Ops!$L$2:'Ops'!$L$11=J385),VLOOKUP(J385,Ops!$L$2:'Ops'!$M$11,2,FALSE),"000")),IF(OR(Ops!$L$2:'Ops'!$L$11=J385),VLOOKUP(J385,Ops!$L$2:'Ops'!$M$11,2,FALSE),"000")),2)</f>
        <v>04</v>
      </c>
      <c r="R385" s="27"/>
      <c r="S385" s="4" t="s">
        <v>402</v>
      </c>
      <c r="Z385" s="74" t="str">
        <f t="shared" ref="Z385:Z434" si="115">IF(O385="", "};", "0x"&amp;O385&amp;",")</f>
        <v>0x31,</v>
      </c>
      <c r="AA385" s="75" t="str">
        <f t="shared" ref="AA385:AA434" si="116">"0x"&amp;P385&amp;","</f>
        <v>0x98,</v>
      </c>
      <c r="AB385" s="75" t="str">
        <f t="shared" ref="AB385:AB434" si="117">"0x"&amp;Q385&amp;","</f>
        <v>0x04,</v>
      </c>
      <c r="AC385" s="76"/>
    </row>
    <row r="386" spans="1:29" x14ac:dyDescent="0.3">
      <c r="A386" s="79">
        <f t="shared" si="100"/>
        <v>1164</v>
      </c>
      <c r="B386" s="80" t="str">
        <f t="shared" si="107"/>
        <v>48C</v>
      </c>
      <c r="D386" s="29"/>
      <c r="F386" s="29"/>
      <c r="G386" s="24"/>
      <c r="H386" s="29" t="s">
        <v>55</v>
      </c>
      <c r="I386" s="4" t="s">
        <v>481</v>
      </c>
      <c r="L386" s="121">
        <v>0</v>
      </c>
      <c r="M386" s="14"/>
      <c r="O386" s="25" t="str" cm="1">
        <f t="array" ref="O386">BIN2HEX(IF(I386&lt;&gt;"",VLOOKUP(I386,Ops!$I$2:'Ops'!$J$15,2,FALSE),IF(ISNUMBER(SEARCH("BR",D386)),"001","000"))&amp;IF(D386&lt;&gt;"",VLOOKUP(D386,Ops!$B$2:'Ops'!$C$23,2,FALSE),"0")&amp;_xlfn.IFS(ISNUMBER(SEARCH("BR",D386)),VLOOKUP(D386,Ops!$B$3:'Ops'!$D$22,3,FALSE),F386&lt;&gt;"",VLOOKUP(F386,Ops!$R$2:'Ops'!$S$11,2),L386&lt;&gt;"",VLOOKUP(L386,Ops!$R$2:'Ops'!$S$25,2,FALSE),TRUE,"0000"),2)</f>
        <v>00</v>
      </c>
      <c r="P386" s="26" t="str">
        <f>RIGHT(IF($E386&lt;&gt;"",_xlfn.XLOOKUP($E386,$C$4:$C$681,$B$4:$B$681,"NO LABEL"),BIN2HEX(IF(N386="CarryEn","1","0")&amp;IF(M386="SubXY","1","0")&amp;IF(H386&lt;&gt;"",VLOOKUP(H386,Ops!$F$2:'Ops'!$G$20,2,FALSE),"000000"),2)),2)</f>
        <v>02</v>
      </c>
      <c r="Q386" s="26" t="str" cm="1">
        <f t="array" ref="Q386">BIN2HEX(_xlfn.IFS(D386="HWINTEN","10",G386="KeyAck","01",G386="InitLp8","01",TRUE,"00")&amp;IF(OR(Ops!$O$2:'Ops'!$O$13=K386),VLOOKUP(K386,Ops!$O$2:'Ops'!$P$13,2,FALSE),"000")&amp;IF(E386&lt;&gt;"",IF(LEN(_xlfn.XLOOKUP($E386,$C$5:$C$681,$B$5:$B$681,0))=3,HEX2BIN(LEFT(_xlfn.XLOOKUP($E386,$C$5:$C$681,$B$5:$B$681,0),1),3),IF(OR(Ops!$L$2:'Ops'!$L$11=J386),VLOOKUP(J386,Ops!$L$2:'Ops'!$M$11,2,FALSE),"000")),IF(OR(Ops!$L$2:'Ops'!$L$11=J386),VLOOKUP(J386,Ops!$L$2:'Ops'!$M$11,2,FALSE),"000")),2)</f>
        <v>00</v>
      </c>
      <c r="R386" s="27"/>
      <c r="S386" s="4" t="s">
        <v>285</v>
      </c>
      <c r="Z386" s="74" t="str">
        <f t="shared" si="115"/>
        <v>0x00,</v>
      </c>
      <c r="AA386" s="75" t="str">
        <f t="shared" si="116"/>
        <v>0x02,</v>
      </c>
      <c r="AB386" s="75" t="str">
        <f t="shared" si="117"/>
        <v>0x00,</v>
      </c>
      <c r="AC386" s="76"/>
    </row>
    <row r="387" spans="1:29" x14ac:dyDescent="0.3">
      <c r="A387" s="79">
        <f t="shared" si="100"/>
        <v>1167</v>
      </c>
      <c r="B387" s="80" t="str">
        <f t="shared" si="107"/>
        <v>48F</v>
      </c>
      <c r="D387" s="29"/>
      <c r="F387" s="29"/>
      <c r="G387" s="24"/>
      <c r="H387" s="29"/>
      <c r="J387" s="4" t="s">
        <v>314</v>
      </c>
      <c r="K387" s="4" t="s">
        <v>313</v>
      </c>
      <c r="L387" s="4" t="s">
        <v>180</v>
      </c>
      <c r="M387" s="14"/>
      <c r="O387" s="25" t="str" cm="1">
        <f t="array" ref="O387">BIN2HEX(IF(I387&lt;&gt;"",VLOOKUP(I387,Ops!$I$2:'Ops'!$J$15,2,FALSE),IF(ISNUMBER(SEARCH("BR",D387)),"001","000"))&amp;IF(D387&lt;&gt;"",VLOOKUP(D387,Ops!$B$2:'Ops'!$C$23,2,FALSE),"0")&amp;_xlfn.IFS(ISNUMBER(SEARCH("BR",D387)),VLOOKUP(D387,Ops!$B$3:'Ops'!$D$22,3,FALSE),F387&lt;&gt;"",VLOOKUP(F387,Ops!$R$2:'Ops'!$S$11,2),L387&lt;&gt;"",VLOOKUP(L387,Ops!$R$2:'Ops'!$S$25,2,FALSE),TRUE,"0000"),2)</f>
        <v>01</v>
      </c>
      <c r="P387" s="26" t="str">
        <f>RIGHT(IF($E387&lt;&gt;"",_xlfn.XLOOKUP($E387,$C$4:$C$681,$B$4:$B$681,"NO LABEL"),BIN2HEX(IF(N387="CarryEn","1","0")&amp;IF(M387="SubXY","1","0")&amp;IF(H387&lt;&gt;"",VLOOKUP(H387,Ops!$F$2:'Ops'!$G$20,2,FALSE),"000000"),2)),2)</f>
        <v>00</v>
      </c>
      <c r="Q387" s="26" t="str" cm="1">
        <f t="array" ref="Q387">BIN2HEX(_xlfn.IFS(D387="HWINTEN","10",G387="KeyAck","01",G387="InitLp8","01",TRUE,"00")&amp;IF(OR(Ops!$O$2:'Ops'!$O$13=K387),VLOOKUP(K387,Ops!$O$2:'Ops'!$P$13,2,FALSE),"000")&amp;IF(E387&lt;&gt;"",IF(LEN(_xlfn.XLOOKUP($E387,$C$5:$C$681,$B$5:$B$681,0))=3,HEX2BIN(LEFT(_xlfn.XLOOKUP($E387,$C$5:$C$681,$B$5:$B$681,0),1),3),IF(OR(Ops!$L$2:'Ops'!$L$11=J387),VLOOKUP(J387,Ops!$L$2:'Ops'!$M$11,2,FALSE),"000")),IF(OR(Ops!$L$2:'Ops'!$L$11=J387),VLOOKUP(J387,Ops!$L$2:'Ops'!$M$11,2,FALSE),"000")),2)</f>
        <v>36</v>
      </c>
      <c r="R387" s="27"/>
      <c r="S387" s="4" t="s">
        <v>231</v>
      </c>
      <c r="Z387" s="74" t="str">
        <f t="shared" si="115"/>
        <v>0x01,</v>
      </c>
      <c r="AA387" s="75" t="str">
        <f t="shared" si="116"/>
        <v>0x00,</v>
      </c>
      <c r="AB387" s="75" t="str">
        <f t="shared" si="117"/>
        <v>0x36,</v>
      </c>
      <c r="AC387" s="76"/>
    </row>
    <row r="388" spans="1:29" x14ac:dyDescent="0.3">
      <c r="A388" s="79">
        <f t="shared" si="100"/>
        <v>1170</v>
      </c>
      <c r="B388" s="80" t="str">
        <f t="shared" si="107"/>
        <v>492</v>
      </c>
      <c r="D388" s="29"/>
      <c r="F388" s="29"/>
      <c r="G388" s="24"/>
      <c r="H388" s="29"/>
      <c r="J388" s="4" t="s">
        <v>314</v>
      </c>
      <c r="K388" s="4" t="s">
        <v>313</v>
      </c>
      <c r="L388" s="4" t="s">
        <v>181</v>
      </c>
      <c r="M388" s="14"/>
      <c r="O388" s="25" t="str" cm="1">
        <f t="array" ref="O388">BIN2HEX(IF(I388&lt;&gt;"",VLOOKUP(I388,Ops!$I$2:'Ops'!$J$15,2,FALSE),IF(ISNUMBER(SEARCH("BR",D388)),"001","000"))&amp;IF(D388&lt;&gt;"",VLOOKUP(D388,Ops!$B$2:'Ops'!$C$23,2,FALSE),"0")&amp;_xlfn.IFS(ISNUMBER(SEARCH("BR",D388)),VLOOKUP(D388,Ops!$B$3:'Ops'!$D$22,3,FALSE),F388&lt;&gt;"",VLOOKUP(F388,Ops!$R$2:'Ops'!$S$11,2),L388&lt;&gt;"",VLOOKUP(L388,Ops!$R$2:'Ops'!$S$25,2,FALSE),TRUE,"0000"),2)</f>
        <v>02</v>
      </c>
      <c r="P388" s="26" t="str">
        <f>RIGHT(IF($E388&lt;&gt;"",_xlfn.XLOOKUP($E388,$C$4:$C$681,$B$4:$B$681,"NO LABEL"),BIN2HEX(IF(N388="CarryEn","1","0")&amp;IF(M388="SubXY","1","0")&amp;IF(H388&lt;&gt;"",VLOOKUP(H388,Ops!$F$2:'Ops'!$G$20,2,FALSE),"000000"),2)),2)</f>
        <v>00</v>
      </c>
      <c r="Q388" s="26" t="str" cm="1">
        <f t="array" ref="Q388">BIN2HEX(_xlfn.IFS(D388="HWINTEN","10",G388="KeyAck","01",G388="InitLp8","01",TRUE,"00")&amp;IF(OR(Ops!$O$2:'Ops'!$O$13=K388),VLOOKUP(K388,Ops!$O$2:'Ops'!$P$13,2,FALSE),"000")&amp;IF(E388&lt;&gt;"",IF(LEN(_xlfn.XLOOKUP($E388,$C$5:$C$681,$B$5:$B$681,0))=3,HEX2BIN(LEFT(_xlfn.XLOOKUP($E388,$C$5:$C$681,$B$5:$B$681,0),1),3),IF(OR(Ops!$L$2:'Ops'!$L$11=J388),VLOOKUP(J388,Ops!$L$2:'Ops'!$M$11,2,FALSE),"000")),IF(OR(Ops!$L$2:'Ops'!$L$11=J388),VLOOKUP(J388,Ops!$L$2:'Ops'!$M$11,2,FALSE),"000")),2)</f>
        <v>36</v>
      </c>
      <c r="R388" s="27"/>
      <c r="Z388" s="74" t="str">
        <f t="shared" si="115"/>
        <v>0x02,</v>
      </c>
      <c r="AA388" s="75" t="str">
        <f t="shared" si="116"/>
        <v>0x00,</v>
      </c>
      <c r="AB388" s="75" t="str">
        <f t="shared" si="117"/>
        <v>0x36,</v>
      </c>
      <c r="AC388" s="76"/>
    </row>
    <row r="389" spans="1:29" x14ac:dyDescent="0.3">
      <c r="A389" s="79">
        <f t="shared" si="100"/>
        <v>1173</v>
      </c>
      <c r="B389" s="80" t="str">
        <f t="shared" si="107"/>
        <v>495</v>
      </c>
      <c r="D389" s="29" t="s">
        <v>0</v>
      </c>
      <c r="E389" s="4" t="s">
        <v>274</v>
      </c>
      <c r="F389" s="29"/>
      <c r="G389" s="24"/>
      <c r="H389" s="29"/>
      <c r="M389" s="14"/>
      <c r="O389" s="25" t="str" cm="1">
        <f t="array" ref="O389">BIN2HEX(IF(I389&lt;&gt;"",VLOOKUP(I389,Ops!$I$2:'Ops'!$J$15,2,FALSE),IF(ISNUMBER(SEARCH("BR",D389)),"001","000"))&amp;IF(D389&lt;&gt;"",VLOOKUP(D389,Ops!$B$2:'Ops'!$C$23,2,FALSE),"0")&amp;_xlfn.IFS(ISNUMBER(SEARCH("BR",D389)),VLOOKUP(D389,Ops!$B$3:'Ops'!$D$22,3,FALSE),F389&lt;&gt;"",VLOOKUP(F389,Ops!$R$2:'Ops'!$S$11,2),L389&lt;&gt;"",VLOOKUP(L389,Ops!$R$2:'Ops'!$S$25,2,FALSE),TRUE,"0000"),2)</f>
        <v>10</v>
      </c>
      <c r="P389" s="26" t="str">
        <f>RIGHT(IF($E389&lt;&gt;"",_xlfn.XLOOKUP($E389,$C$4:$C$681,$B$4:$B$681,"NO LABEL"),BIN2HEX(IF(N389="CarryEn","1","0")&amp;IF(M389="SubXY","1","0")&amp;IF(H389&lt;&gt;"",VLOOKUP(H389,Ops!$F$2:'Ops'!$G$20,2,FALSE),"000000"),2)),2)</f>
        <v>89</v>
      </c>
      <c r="Q389" s="26" t="str" cm="1">
        <f t="array" ref="Q389">BIN2HEX(_xlfn.IFS(D389="HWINTEN","10",G389="KeyAck","01",G389="InitLp8","01",TRUE,"00")&amp;IF(OR(Ops!$O$2:'Ops'!$O$13=K389),VLOOKUP(K389,Ops!$O$2:'Ops'!$P$13,2,FALSE),"000")&amp;IF(E389&lt;&gt;"",IF(LEN(_xlfn.XLOOKUP($E389,$C$5:$C$681,$B$5:$B$681,0))=3,HEX2BIN(LEFT(_xlfn.XLOOKUP($E389,$C$5:$C$681,$B$5:$B$681,0),1),3),IF(OR(Ops!$L$2:'Ops'!$L$11=J389),VLOOKUP(J389,Ops!$L$2:'Ops'!$M$11,2,FALSE),"000")),IF(OR(Ops!$L$2:'Ops'!$L$11=J389),VLOOKUP(J389,Ops!$L$2:'Ops'!$M$11,2,FALSE),"000")),2)</f>
        <v>04</v>
      </c>
      <c r="R389" s="27"/>
      <c r="S389" s="4" t="s">
        <v>280</v>
      </c>
      <c r="Z389" s="74" t="str">
        <f t="shared" si="115"/>
        <v>0x10,</v>
      </c>
      <c r="AA389" s="75" t="str">
        <f t="shared" si="116"/>
        <v>0x89,</v>
      </c>
      <c r="AB389" s="75" t="str">
        <f t="shared" si="117"/>
        <v>0x04,</v>
      </c>
      <c r="AC389" s="76"/>
    </row>
    <row r="390" spans="1:29" x14ac:dyDescent="0.3">
      <c r="A390" s="79">
        <f t="shared" si="100"/>
        <v>1176</v>
      </c>
      <c r="B390" s="80" t="str">
        <f t="shared" ref="B390:B397" si="118">DEC2HEX(A390)</f>
        <v>498</v>
      </c>
      <c r="C390" s="4" t="s">
        <v>279</v>
      </c>
      <c r="D390" s="29"/>
      <c r="F390" s="29"/>
      <c r="G390" s="24" t="s">
        <v>692</v>
      </c>
      <c r="H390" s="29"/>
      <c r="M390" s="14"/>
      <c r="O390" s="25" t="str" cm="1">
        <f t="array" ref="O390">BIN2HEX(IF(I390&lt;&gt;"",VLOOKUP(I390,Ops!$I$2:'Ops'!$J$15,2,FALSE),IF(ISNUMBER(SEARCH("BR",D390)),"001","000"))&amp;IF(D390&lt;&gt;"",VLOOKUP(D390,Ops!$B$2:'Ops'!$C$23,2,FALSE),"0")&amp;_xlfn.IFS(ISNUMBER(SEARCH("BR",D390)),VLOOKUP(D390,Ops!$B$3:'Ops'!$D$22,3,FALSE),F390&lt;&gt;"",VLOOKUP(F390,Ops!$R$2:'Ops'!$S$11,2),L390&lt;&gt;"",VLOOKUP(L390,Ops!$R$2:'Ops'!$S$25,2,FALSE),TRUE,"0000"),2)</f>
        <v>00</v>
      </c>
      <c r="P390" s="26" t="str">
        <f>RIGHT(IF($E390&lt;&gt;"",_xlfn.XLOOKUP($E390,$C$4:$C$681,$B$4:$B$681,"NO LABEL"),BIN2HEX(IF(N390="CarryEn","1","0")&amp;IF(M390="SubXY","1","0")&amp;IF(H390&lt;&gt;"",VLOOKUP(H390,Ops!$F$2:'Ops'!$G$20,2,FALSE),"000000"),2)),2)</f>
        <v>00</v>
      </c>
      <c r="Q390" s="26" t="str" cm="1">
        <f t="array" ref="Q390">BIN2HEX(_xlfn.IFS(D390="HWINTEN","10",G390="KeyAck","01",G390="InitLp8","01",TRUE,"00")&amp;IF(OR(Ops!$O$2:'Ops'!$O$13=K390),VLOOKUP(K390,Ops!$O$2:'Ops'!$P$13,2,FALSE),"000")&amp;IF(E390&lt;&gt;"",IF(LEN(_xlfn.XLOOKUP($E390,$C$5:$C$681,$B$5:$B$681,0))=3,HEX2BIN(LEFT(_xlfn.XLOOKUP($E390,$C$5:$C$681,$B$5:$B$681,0),1),3),IF(OR(Ops!$L$2:'Ops'!$L$11=J390),VLOOKUP(J390,Ops!$L$2:'Ops'!$M$11,2,FALSE),"000")),IF(OR(Ops!$L$2:'Ops'!$L$11=J390),VLOOKUP(J390,Ops!$L$2:'Ops'!$M$11,2,FALSE),"000")),2)</f>
        <v>40</v>
      </c>
      <c r="R390" s="27"/>
      <c r="S390" s="4" t="s">
        <v>269</v>
      </c>
      <c r="Z390" s="74" t="str">
        <f t="shared" si="115"/>
        <v>0x00,</v>
      </c>
      <c r="AA390" s="75" t="str">
        <f t="shared" si="116"/>
        <v>0x00,</v>
      </c>
      <c r="AB390" s="75" t="str">
        <f t="shared" si="117"/>
        <v>0x40,</v>
      </c>
      <c r="AC390" s="76"/>
    </row>
    <row r="391" spans="1:29" x14ac:dyDescent="0.3">
      <c r="A391" s="79">
        <f t="shared" ref="A391:A412" si="119">A390+3</f>
        <v>1179</v>
      </c>
      <c r="B391" s="80" t="str">
        <f t="shared" si="118"/>
        <v>49B</v>
      </c>
      <c r="D391" s="29" t="s">
        <v>251</v>
      </c>
      <c r="E391" s="4" t="s">
        <v>270</v>
      </c>
      <c r="F391" s="29"/>
      <c r="G391" s="24"/>
      <c r="H391" s="29"/>
      <c r="M391" s="14"/>
      <c r="O391" s="25" t="str" cm="1">
        <f t="array" ref="O391">BIN2HEX(IF(I391&lt;&gt;"",VLOOKUP(I391,Ops!$I$2:'Ops'!$J$15,2,FALSE),IF(ISNUMBER(SEARCH("BR",D391)),"001","000"))&amp;IF(D391&lt;&gt;"",VLOOKUP(D391,Ops!$B$2:'Ops'!$C$23,2,FALSE),"0")&amp;_xlfn.IFS(ISNUMBER(SEARCH("BR",D391)),VLOOKUP(D391,Ops!$B$3:'Ops'!$D$22,3,FALSE),F391&lt;&gt;"",VLOOKUP(F391,Ops!$R$2:'Ops'!$S$11,2),L391&lt;&gt;"",VLOOKUP(L391,Ops!$R$2:'Ops'!$S$25,2,FALSE),TRUE,"0000"),2)</f>
        <v>3F</v>
      </c>
      <c r="P391" s="26" t="str">
        <f>RIGHT(IF($E391&lt;&gt;"",_xlfn.XLOOKUP($E391,$C$4:$C$681,$B$4:$B$681,"NO LABEL"),BIN2HEX(IF(N391="CarryEn","1","0")&amp;IF(M391="SubXY","1","0")&amp;IF(H391&lt;&gt;"",VLOOKUP(H391,Ops!$F$2:'Ops'!$G$20,2,FALSE),"000000"),2)),2)</f>
        <v>A4</v>
      </c>
      <c r="Q391" s="26" t="str" cm="1">
        <f t="array" ref="Q391">BIN2HEX(_xlfn.IFS(D391="HWINTEN","10",G391="KeyAck","01",G391="InitLp8","01",TRUE,"00")&amp;IF(OR(Ops!$O$2:'Ops'!$O$13=K391),VLOOKUP(K391,Ops!$O$2:'Ops'!$P$13,2,FALSE),"000")&amp;IF(E391&lt;&gt;"",IF(LEN(_xlfn.XLOOKUP($E391,$C$5:$C$681,$B$5:$B$681,0))=3,HEX2BIN(LEFT(_xlfn.XLOOKUP($E391,$C$5:$C$681,$B$5:$B$681,0),1),3),IF(OR(Ops!$L$2:'Ops'!$L$11=J391),VLOOKUP(J391,Ops!$L$2:'Ops'!$M$11,2,FALSE),"000")),IF(OR(Ops!$L$2:'Ops'!$L$11=J391),VLOOKUP(J391,Ops!$L$2:'Ops'!$M$11,2,FALSE),"000")),2)</f>
        <v>04</v>
      </c>
      <c r="R391" s="27"/>
      <c r="S391" s="4" t="s">
        <v>268</v>
      </c>
      <c r="Z391" s="74" t="str">
        <f t="shared" si="115"/>
        <v>0x3F,</v>
      </c>
      <c r="AA391" s="75" t="str">
        <f t="shared" si="116"/>
        <v>0xA4,</v>
      </c>
      <c r="AB391" s="75" t="str">
        <f t="shared" si="117"/>
        <v>0x04,</v>
      </c>
      <c r="AC391" s="76"/>
    </row>
    <row r="392" spans="1:29" x14ac:dyDescent="0.3">
      <c r="A392" s="79">
        <f t="shared" si="119"/>
        <v>1182</v>
      </c>
      <c r="B392" s="80" t="str">
        <f t="shared" si="118"/>
        <v>49E</v>
      </c>
      <c r="C392" s="4" t="s">
        <v>271</v>
      </c>
      <c r="D392" s="29"/>
      <c r="F392" s="29"/>
      <c r="G392" s="24"/>
      <c r="H392" s="29" t="s">
        <v>468</v>
      </c>
      <c r="I392" t="s">
        <v>481</v>
      </c>
      <c r="L392" s="121">
        <v>0</v>
      </c>
      <c r="M392" s="14"/>
      <c r="O392" s="25" t="str" cm="1">
        <f t="array" ref="O392">BIN2HEX(IF(I392&lt;&gt;"",VLOOKUP(I392,Ops!$I$2:'Ops'!$J$15,2,FALSE),IF(ISNUMBER(SEARCH("BR",D392)),"001","000"))&amp;IF(D392&lt;&gt;"",VLOOKUP(D392,Ops!$B$2:'Ops'!$C$23,2,FALSE),"0")&amp;_xlfn.IFS(ISNUMBER(SEARCH("BR",D392)),VLOOKUP(D392,Ops!$B$3:'Ops'!$D$22,3,FALSE),F392&lt;&gt;"",VLOOKUP(F392,Ops!$R$2:'Ops'!$S$11,2),L392&lt;&gt;"",VLOOKUP(L392,Ops!$R$2:'Ops'!$S$25,2,FALSE),TRUE,"0000"),2)</f>
        <v>00</v>
      </c>
      <c r="P392" s="26" t="str">
        <f>RIGHT(IF($E392&lt;&gt;"",_xlfn.XLOOKUP($E392,$C$4:$C$681,$B$4:$B$681,"NO LABEL"),BIN2HEX(IF(N392="CarryEn","1","0")&amp;IF(M392="SubXY","1","0")&amp;IF(H392&lt;&gt;"",VLOOKUP(H392,Ops!$F$2:'Ops'!$G$20,2,FALSE),"000000"),2)),2)</f>
        <v>02</v>
      </c>
      <c r="Q392" s="26" t="str" cm="1">
        <f t="array" ref="Q392">BIN2HEX(_xlfn.IFS(D392="HWINTEN","10",G392="KeyAck","01",G392="InitLp8","01",TRUE,"00")&amp;IF(OR(Ops!$O$2:'Ops'!$O$13=K392),VLOOKUP(K392,Ops!$O$2:'Ops'!$P$13,2,FALSE),"000")&amp;IF(E392&lt;&gt;"",IF(LEN(_xlfn.XLOOKUP($E392,$C$5:$C$681,$B$5:$B$681,0))=3,HEX2BIN(LEFT(_xlfn.XLOOKUP($E392,$C$5:$C$681,$B$5:$B$681,0),1),3),IF(OR(Ops!$L$2:'Ops'!$L$11=J392),VLOOKUP(J392,Ops!$L$2:'Ops'!$M$11,2,FALSE),"000")),IF(OR(Ops!$L$2:'Ops'!$L$11=J392),VLOOKUP(J392,Ops!$L$2:'Ops'!$M$11,2,FALSE),"000")),2)</f>
        <v>00</v>
      </c>
      <c r="R392" s="27"/>
      <c r="S392" s="4" t="s">
        <v>316</v>
      </c>
      <c r="Z392" s="74" t="str">
        <f t="shared" si="115"/>
        <v>0x00,</v>
      </c>
      <c r="AA392" s="75" t="str">
        <f t="shared" si="116"/>
        <v>0x02,</v>
      </c>
      <c r="AB392" s="75" t="str">
        <f t="shared" si="117"/>
        <v>0x00,</v>
      </c>
      <c r="AC392" s="76"/>
    </row>
    <row r="393" spans="1:29" x14ac:dyDescent="0.3">
      <c r="A393" s="79">
        <f t="shared" si="119"/>
        <v>1185</v>
      </c>
      <c r="B393" s="80" t="str">
        <f>DEC2HEX(A393)</f>
        <v>4A1</v>
      </c>
      <c r="D393" s="29"/>
      <c r="F393" s="29"/>
      <c r="G393" s="24"/>
      <c r="H393" s="29"/>
      <c r="I393"/>
      <c r="J393" s="4" t="s">
        <v>314</v>
      </c>
      <c r="K393" s="4" t="s">
        <v>313</v>
      </c>
      <c r="L393" s="4" t="s">
        <v>181</v>
      </c>
      <c r="M393" s="14"/>
      <c r="O393" s="25" t="str" cm="1">
        <f t="array" ref="O393">BIN2HEX(IF(I393&lt;&gt;"",VLOOKUP(I393,Ops!$I$2:'Ops'!$J$15,2,FALSE),IF(ISNUMBER(SEARCH("BR",D393)),"001","000"))&amp;IF(D393&lt;&gt;"",VLOOKUP(D393,Ops!$B$2:'Ops'!$C$23,2,FALSE),"0")&amp;_xlfn.IFS(ISNUMBER(SEARCH("BR",D393)),VLOOKUP(D393,Ops!$B$3:'Ops'!$D$22,3,FALSE),F393&lt;&gt;"",VLOOKUP(F393,Ops!$R$2:'Ops'!$S$11,2),L393&lt;&gt;"",VLOOKUP(L393,Ops!$R$2:'Ops'!$S$25,2,FALSE),TRUE,"0000"),2)</f>
        <v>02</v>
      </c>
      <c r="P393" s="26" t="str">
        <f>RIGHT(IF($E393&lt;&gt;"",_xlfn.XLOOKUP($E393,$C$4:$C$681,$B$4:$B$681,"NO LABEL"),BIN2HEX(IF(N393="CarryEn","1","0")&amp;IF(M393="SubXY","1","0")&amp;IF(H393&lt;&gt;"",VLOOKUP(H393,Ops!$F$2:'Ops'!$G$20,2,FALSE),"000000"),2)),2)</f>
        <v>00</v>
      </c>
      <c r="Q393" s="26" t="str" cm="1">
        <f t="array" ref="Q393">BIN2HEX(_xlfn.IFS(D393="HWINTEN","10",G393="KeyAck","01",G393="InitLp8","01",TRUE,"00")&amp;IF(OR(Ops!$O$2:'Ops'!$O$13=K393),VLOOKUP(K393,Ops!$O$2:'Ops'!$P$13,2,FALSE),"000")&amp;IF(E393&lt;&gt;"",IF(LEN(_xlfn.XLOOKUP($E393,$C$5:$C$681,$B$5:$B$681,0))=3,HEX2BIN(LEFT(_xlfn.XLOOKUP($E393,$C$5:$C$681,$B$5:$B$681,0),1),3),IF(OR(Ops!$L$2:'Ops'!$L$11=J393),VLOOKUP(J393,Ops!$L$2:'Ops'!$M$11,2,FALSE),"000")),IF(OR(Ops!$L$2:'Ops'!$L$11=J393),VLOOKUP(J393,Ops!$L$2:'Ops'!$M$11,2,FALSE),"000")),2)</f>
        <v>36</v>
      </c>
      <c r="R393" s="27"/>
      <c r="S393" s="4" t="s">
        <v>317</v>
      </c>
      <c r="Z393" s="74" t="str">
        <f t="shared" si="115"/>
        <v>0x02,</v>
      </c>
      <c r="AA393" s="75" t="str">
        <f t="shared" si="116"/>
        <v>0x00,</v>
      </c>
      <c r="AB393" s="75" t="str">
        <f t="shared" si="117"/>
        <v>0x36,</v>
      </c>
      <c r="AC393" s="76"/>
    </row>
    <row r="394" spans="1:29" x14ac:dyDescent="0.3">
      <c r="A394" s="79">
        <f t="shared" si="119"/>
        <v>1188</v>
      </c>
      <c r="B394" s="80" t="str">
        <f>DEC2HEX(A394)</f>
        <v>4A4</v>
      </c>
      <c r="C394" s="4" t="s">
        <v>270</v>
      </c>
      <c r="D394" s="29"/>
      <c r="F394" s="29"/>
      <c r="G394" s="24"/>
      <c r="H394" s="29"/>
      <c r="I394" s="4" t="s">
        <v>290</v>
      </c>
      <c r="K394" s="4" t="s">
        <v>515</v>
      </c>
      <c r="M394" s="14"/>
      <c r="O394" s="25" t="str" cm="1">
        <f t="array" ref="O394">BIN2HEX(IF(I394&lt;&gt;"",VLOOKUP(I394,Ops!$I$2:'Ops'!$J$15,2,FALSE),IF(ISNUMBER(SEARCH("BR",D394)),"001","000"))&amp;IF(D394&lt;&gt;"",VLOOKUP(D394,Ops!$B$2:'Ops'!$C$23,2,FALSE),"0")&amp;_xlfn.IFS(ISNUMBER(SEARCH("BR",D394)),VLOOKUP(D394,Ops!$B$3:'Ops'!$D$22,3,FALSE),F394&lt;&gt;"",VLOOKUP(F394,Ops!$R$2:'Ops'!$S$11,2),L394&lt;&gt;"",VLOOKUP(L394,Ops!$R$2:'Ops'!$S$25,2,FALSE),TRUE,"0000"),2)</f>
        <v>40</v>
      </c>
      <c r="P394" s="26" t="str">
        <f>RIGHT(IF($E394&lt;&gt;"",_xlfn.XLOOKUP($E394,$C$4:$C$681,$B$4:$B$681,"NO LABEL"),BIN2HEX(IF(N394="CarryEn","1","0")&amp;IF(M394="SubXY","1","0")&amp;IF(H394&lt;&gt;"",VLOOKUP(H394,Ops!$F$2:'Ops'!$G$20,2,FALSE),"000000"),2)),2)</f>
        <v>00</v>
      </c>
      <c r="Q394" s="26" t="str" cm="1">
        <f t="array" ref="Q394">BIN2HEX(_xlfn.IFS(D394="HWINTEN","10",G394="KeyAck","01",G394="InitLp8","01",TRUE,"00")&amp;IF(OR(Ops!$O$2:'Ops'!$O$13=K394),VLOOKUP(K394,Ops!$O$2:'Ops'!$P$13,2,FALSE),"000")&amp;IF(E394&lt;&gt;"",IF(LEN(_xlfn.XLOOKUP($E394,$C$5:$C$681,$B$5:$B$681,0))=3,HEX2BIN(LEFT(_xlfn.XLOOKUP($E394,$C$5:$C$681,$B$5:$B$681,0),1),3),IF(OR(Ops!$L$2:'Ops'!$L$11=J394),VLOOKUP(J394,Ops!$L$2:'Ops'!$M$11,2,FALSE),"000")),IF(OR(Ops!$L$2:'Ops'!$L$11=J394),VLOOKUP(J394,Ops!$L$2:'Ops'!$M$11,2,FALSE),"000")),2)</f>
        <v>20</v>
      </c>
      <c r="R394" s="27"/>
      <c r="S394" s="4" t="s">
        <v>260</v>
      </c>
      <c r="Z394" s="74" t="str">
        <f t="shared" si="115"/>
        <v>0x40,</v>
      </c>
      <c r="AA394" s="75" t="str">
        <f t="shared" si="116"/>
        <v>0x00,</v>
      </c>
      <c r="AB394" s="75" t="str">
        <f t="shared" si="117"/>
        <v>0x20,</v>
      </c>
      <c r="AC394" s="76"/>
    </row>
    <row r="395" spans="1:29" x14ac:dyDescent="0.3">
      <c r="A395" s="79">
        <f t="shared" si="119"/>
        <v>1191</v>
      </c>
      <c r="B395" s="80" t="str">
        <f t="shared" si="118"/>
        <v>4A7</v>
      </c>
      <c r="D395" s="29" t="s">
        <v>99</v>
      </c>
      <c r="E395" s="4" t="s">
        <v>272</v>
      </c>
      <c r="F395" s="29"/>
      <c r="G395" s="24"/>
      <c r="H395" s="29"/>
      <c r="M395" s="14"/>
      <c r="O395" s="25" t="str" cm="1">
        <f t="array" ref="O395">BIN2HEX(IF(I395&lt;&gt;"",VLOOKUP(I395,Ops!$I$2:'Ops'!$J$15,2,FALSE),IF(ISNUMBER(SEARCH("BR",D395)),"001","000"))&amp;IF(D395&lt;&gt;"",VLOOKUP(D395,Ops!$B$2:'Ops'!$C$23,2,FALSE),"0")&amp;_xlfn.IFS(ISNUMBER(SEARCH("BR",D395)),VLOOKUP(D395,Ops!$B$3:'Ops'!$D$22,3,FALSE),F395&lt;&gt;"",VLOOKUP(F395,Ops!$R$2:'Ops'!$S$11,2),L395&lt;&gt;"",VLOOKUP(L395,Ops!$R$2:'Ops'!$S$25,2,FALSE),TRUE,"0000"),2)</f>
        <v>39</v>
      </c>
      <c r="P395" s="26" t="str">
        <f>RIGHT(IF($E395&lt;&gt;"",_xlfn.XLOOKUP($E395,$C$4:$C$681,$B$4:$B$681,"NO LABEL"),BIN2HEX(IF(N395="CarryEn","1","0")&amp;IF(M395="SubXY","1","0")&amp;IF(H395&lt;&gt;"",VLOOKUP(H395,Ops!$F$2:'Ops'!$G$20,2,FALSE),"000000"),2)),2)</f>
        <v>AD</v>
      </c>
      <c r="Q395" s="26" t="str" cm="1">
        <f t="array" ref="Q395">BIN2HEX(_xlfn.IFS(D395="HWINTEN","10",G395="KeyAck","01",G395="InitLp8","01",TRUE,"00")&amp;IF(OR(Ops!$O$2:'Ops'!$O$13=K395),VLOOKUP(K395,Ops!$O$2:'Ops'!$P$13,2,FALSE),"000")&amp;IF(E395&lt;&gt;"",IF(LEN(_xlfn.XLOOKUP($E395,$C$5:$C$681,$B$5:$B$681,0))=3,HEX2BIN(LEFT(_xlfn.XLOOKUP($E395,$C$5:$C$681,$B$5:$B$681,0),1),3),IF(OR(Ops!$L$2:'Ops'!$L$11=J395),VLOOKUP(J395,Ops!$L$2:'Ops'!$M$11,2,FALSE),"000")),IF(OR(Ops!$L$2:'Ops'!$L$11=J395),VLOOKUP(J395,Ops!$L$2:'Ops'!$M$11,2,FALSE),"000")),2)</f>
        <v>04</v>
      </c>
      <c r="R395" s="27"/>
      <c r="Z395" s="74" t="str">
        <f t="shared" si="115"/>
        <v>0x39,</v>
      </c>
      <c r="AA395" s="75" t="str">
        <f t="shared" si="116"/>
        <v>0xAD,</v>
      </c>
      <c r="AB395" s="75" t="str">
        <f t="shared" si="117"/>
        <v>0x04,</v>
      </c>
      <c r="AC395" s="76"/>
    </row>
    <row r="396" spans="1:29" x14ac:dyDescent="0.3">
      <c r="A396" s="79">
        <f t="shared" si="119"/>
        <v>1194</v>
      </c>
      <c r="B396" s="80" t="str">
        <f t="shared" si="118"/>
        <v>4AA</v>
      </c>
      <c r="D396" s="29" t="s">
        <v>0</v>
      </c>
      <c r="E396" s="4" t="s">
        <v>405</v>
      </c>
      <c r="F396" s="29"/>
      <c r="G396" s="24"/>
      <c r="H396" s="29"/>
      <c r="M396" s="14"/>
      <c r="O396" s="25" t="str" cm="1">
        <f t="array" ref="O396">BIN2HEX(IF(I396&lt;&gt;"",VLOOKUP(I396,Ops!$I$2:'Ops'!$J$15,2,FALSE),IF(ISNUMBER(SEARCH("BR",D396)),"001","000"))&amp;IF(D396&lt;&gt;"",VLOOKUP(D396,Ops!$B$2:'Ops'!$C$23,2,FALSE),"0")&amp;_xlfn.IFS(ISNUMBER(SEARCH("BR",D396)),VLOOKUP(D396,Ops!$B$3:'Ops'!$D$22,3,FALSE),F396&lt;&gt;"",VLOOKUP(F396,Ops!$R$2:'Ops'!$S$11,2),L396&lt;&gt;"",VLOOKUP(L396,Ops!$R$2:'Ops'!$S$25,2,FALSE),TRUE,"0000"),2)</f>
        <v>10</v>
      </c>
      <c r="P396" s="26" t="str">
        <f>RIGHT(IF($E396&lt;&gt;"",_xlfn.XLOOKUP($E396,$C$4:$C$681,$B$4:$B$681,"NO LABEL"),BIN2HEX(IF(N396="CarryEn","1","0")&amp;IF(M396="SubXY","1","0")&amp;IF(H396&lt;&gt;"",VLOOKUP(H396,Ops!$F$2:'Ops'!$G$20,2,FALSE),"000000"),2)),2)</f>
        <v>B0</v>
      </c>
      <c r="Q396" s="26" t="str" cm="1">
        <f t="array" ref="Q396">BIN2HEX(_xlfn.IFS(D396="HWINTEN","10",G396="KeyAck","01",G396="InitLp8","01",TRUE,"00")&amp;IF(OR(Ops!$O$2:'Ops'!$O$13=K396),VLOOKUP(K396,Ops!$O$2:'Ops'!$P$13,2,FALSE),"000")&amp;IF(E396&lt;&gt;"",IF(LEN(_xlfn.XLOOKUP($E396,$C$5:$C$681,$B$5:$B$681,0))=3,HEX2BIN(LEFT(_xlfn.XLOOKUP($E396,$C$5:$C$681,$B$5:$B$681,0),1),3),IF(OR(Ops!$L$2:'Ops'!$L$11=J396),VLOOKUP(J396,Ops!$L$2:'Ops'!$M$11,2,FALSE),"000")),IF(OR(Ops!$L$2:'Ops'!$L$11=J396),VLOOKUP(J396,Ops!$L$2:'Ops'!$M$11,2,FALSE),"000")),2)</f>
        <v>04</v>
      </c>
      <c r="R396" s="27"/>
      <c r="Z396" s="74" t="str">
        <f t="shared" si="115"/>
        <v>0x10,</v>
      </c>
      <c r="AA396" s="75" t="str">
        <f t="shared" si="116"/>
        <v>0xB0,</v>
      </c>
      <c r="AB396" s="75" t="str">
        <f t="shared" si="117"/>
        <v>0x04,</v>
      </c>
      <c r="AC396" s="76"/>
    </row>
    <row r="397" spans="1:29" x14ac:dyDescent="0.3">
      <c r="A397" s="79">
        <f t="shared" si="119"/>
        <v>1197</v>
      </c>
      <c r="B397" s="80" t="str">
        <f t="shared" si="118"/>
        <v>4AD</v>
      </c>
      <c r="C397" s="4" t="s">
        <v>272</v>
      </c>
      <c r="D397" s="29" t="s">
        <v>251</v>
      </c>
      <c r="E397" s="4" t="s">
        <v>271</v>
      </c>
      <c r="F397" s="29"/>
      <c r="G397" s="24"/>
      <c r="H397" s="29"/>
      <c r="M397" s="14"/>
      <c r="O397" s="25" t="str" cm="1">
        <f t="array" ref="O397">BIN2HEX(IF(I397&lt;&gt;"",VLOOKUP(I397,Ops!$I$2:'Ops'!$J$15,2,FALSE),IF(ISNUMBER(SEARCH("BR",D397)),"001","000"))&amp;IF(D397&lt;&gt;"",VLOOKUP(D397,Ops!$B$2:'Ops'!$C$23,2,FALSE),"0")&amp;_xlfn.IFS(ISNUMBER(SEARCH("BR",D397)),VLOOKUP(D397,Ops!$B$3:'Ops'!$D$22,3,FALSE),F397&lt;&gt;"",VLOOKUP(F397,Ops!$R$2:'Ops'!$S$11,2),L397&lt;&gt;"",VLOOKUP(L397,Ops!$R$2:'Ops'!$S$25,2,FALSE),TRUE,"0000"),2)</f>
        <v>3F</v>
      </c>
      <c r="P397" s="26" t="str">
        <f>RIGHT(IF($E397&lt;&gt;"",_xlfn.XLOOKUP($E397,$C$4:$C$681,$B$4:$B$681,"NO LABEL"),BIN2HEX(IF(N397="CarryEn","1","0")&amp;IF(M397="SubXY","1","0")&amp;IF(H397&lt;&gt;"",VLOOKUP(H397,Ops!$F$2:'Ops'!$G$20,2,FALSE),"000000"),2)),2)</f>
        <v>9E</v>
      </c>
      <c r="Q397" s="26" t="str" cm="1">
        <f t="array" ref="Q397">BIN2HEX(_xlfn.IFS(D397="HWINTEN","10",G397="KeyAck","01",G397="InitLp8","01",TRUE,"00")&amp;IF(OR(Ops!$O$2:'Ops'!$O$13=K397),VLOOKUP(K397,Ops!$O$2:'Ops'!$P$13,2,FALSE),"000")&amp;IF(E397&lt;&gt;"",IF(LEN(_xlfn.XLOOKUP($E397,$C$5:$C$681,$B$5:$B$681,0))=3,HEX2BIN(LEFT(_xlfn.XLOOKUP($E397,$C$5:$C$681,$B$5:$B$681,0),1),3),IF(OR(Ops!$L$2:'Ops'!$L$11=J397),VLOOKUP(J397,Ops!$L$2:'Ops'!$M$11,2,FALSE),"000")),IF(OR(Ops!$L$2:'Ops'!$L$11=J397),VLOOKUP(J397,Ops!$L$2:'Ops'!$M$11,2,FALSE),"000")),2)</f>
        <v>04</v>
      </c>
      <c r="R397" s="27"/>
      <c r="Z397" s="74" t="str">
        <f t="shared" si="115"/>
        <v>0x3F,</v>
      </c>
      <c r="AA397" s="75" t="str">
        <f t="shared" si="116"/>
        <v>0x9E,</v>
      </c>
      <c r="AB397" s="75" t="str">
        <f t="shared" si="117"/>
        <v>0x04,</v>
      </c>
      <c r="AC397" s="76"/>
    </row>
    <row r="398" spans="1:29" x14ac:dyDescent="0.3">
      <c r="A398" s="79">
        <f t="shared" si="119"/>
        <v>1200</v>
      </c>
      <c r="B398" s="80" t="str">
        <f>DEC2HEX(A398)</f>
        <v>4B0</v>
      </c>
      <c r="C398" s="4" t="s">
        <v>405</v>
      </c>
      <c r="D398" s="29"/>
      <c r="F398" s="29"/>
      <c r="G398" s="24"/>
      <c r="H398" s="29"/>
      <c r="I398" s="4" t="s">
        <v>290</v>
      </c>
      <c r="J398" s="56" t="s">
        <v>56</v>
      </c>
      <c r="K398" s="4" t="s">
        <v>480</v>
      </c>
      <c r="M398" s="14"/>
      <c r="O398" s="25" t="str" cm="1">
        <f t="array" ref="O398">BIN2HEX(IF(I398&lt;&gt;"",VLOOKUP(I398,Ops!$I$2:'Ops'!$J$15,2,FALSE),IF(ISNUMBER(SEARCH("BR",D398)),"001","000"))&amp;IF(D398&lt;&gt;"",VLOOKUP(D398,Ops!$B$2:'Ops'!$C$23,2,FALSE),"0")&amp;_xlfn.IFS(ISNUMBER(SEARCH("BR",D398)),VLOOKUP(D398,Ops!$B$3:'Ops'!$D$22,3,FALSE),F398&lt;&gt;"",VLOOKUP(F398,Ops!$R$2:'Ops'!$S$11,2),L398&lt;&gt;"",VLOOKUP(L398,Ops!$R$2:'Ops'!$S$25,2,FALSE),TRUE,"0000"),2)</f>
        <v>40</v>
      </c>
      <c r="P398" s="26" t="str">
        <f>RIGHT(IF($E398&lt;&gt;"",_xlfn.XLOOKUP($E398,$C$4:$C$681,$B$4:$B$681,"NO LABEL"),BIN2HEX(IF(N398="CarryEn","1","0")&amp;IF(M398="SubXY","1","0")&amp;IF(H398&lt;&gt;"",VLOOKUP(H398,Ops!$F$2:'Ops'!$G$20,2,FALSE),"000000"),2)),2)</f>
        <v>00</v>
      </c>
      <c r="Q398" s="26" t="str" cm="1">
        <f t="array" ref="Q398">BIN2HEX(_xlfn.IFS(D398="HWINTEN","10",G398="KeyAck","01",G398="InitLp8","01",TRUE,"00")&amp;IF(OR(Ops!$O$2:'Ops'!$O$13=K398),VLOOKUP(K398,Ops!$O$2:'Ops'!$P$13,2,FALSE),"000")&amp;IF(E398&lt;&gt;"",IF(LEN(_xlfn.XLOOKUP($E398,$C$5:$C$681,$B$5:$B$681,0))=3,HEX2BIN(LEFT(_xlfn.XLOOKUP($E398,$C$5:$C$681,$B$5:$B$681,0),1),3),IF(OR(Ops!$L$2:'Ops'!$L$11=J398),VLOOKUP(J398,Ops!$L$2:'Ops'!$M$11,2,FALSE),"000")),IF(OR(Ops!$L$2:'Ops'!$L$11=J398),VLOOKUP(J398,Ops!$L$2:'Ops'!$M$11,2,FALSE),"000")),2)</f>
        <v>05</v>
      </c>
      <c r="R398" s="27"/>
      <c r="S398" s="4" t="s">
        <v>404</v>
      </c>
      <c r="Z398" s="74" t="str">
        <f t="shared" si="115"/>
        <v>0x40,</v>
      </c>
      <c r="AA398" s="75" t="str">
        <f t="shared" si="116"/>
        <v>0x00,</v>
      </c>
      <c r="AB398" s="75" t="str">
        <f t="shared" si="117"/>
        <v>0x05,</v>
      </c>
      <c r="AC398" s="76"/>
    </row>
    <row r="399" spans="1:29" x14ac:dyDescent="0.3">
      <c r="A399" s="79">
        <f t="shared" si="119"/>
        <v>1203</v>
      </c>
      <c r="B399" s="80" t="str">
        <f>DEC2HEX(A399)</f>
        <v>4B3</v>
      </c>
      <c r="C399" s="4" t="s">
        <v>307</v>
      </c>
      <c r="D399" s="29" t="s">
        <v>64</v>
      </c>
      <c r="E399" s="4" t="s">
        <v>449</v>
      </c>
      <c r="F399" s="29"/>
      <c r="G399" s="24"/>
      <c r="H399" s="29"/>
      <c r="M399" s="14"/>
      <c r="O399" s="25" t="str" cm="1">
        <f t="array" ref="O399">BIN2HEX(IF(I399&lt;&gt;"",VLOOKUP(I399,Ops!$I$2:'Ops'!$J$15,2,FALSE),IF(ISNUMBER(SEARCH("BR",D399)),"001","000"))&amp;IF(D399&lt;&gt;"",VLOOKUP(D399,Ops!$B$2:'Ops'!$C$23,2,FALSE),"0")&amp;_xlfn.IFS(ISNUMBER(SEARCH("BR",D399)),VLOOKUP(D399,Ops!$B$3:'Ops'!$D$22,3,FALSE),F399&lt;&gt;"",VLOOKUP(F399,Ops!$R$2:'Ops'!$S$11,2),L399&lt;&gt;"",VLOOKUP(L399,Ops!$R$2:'Ops'!$S$25,2,FALSE),TRUE,"0000"),2)</f>
        <v>34</v>
      </c>
      <c r="P399" s="26" t="str">
        <f>RIGHT(IF($E399&lt;&gt;"",_xlfn.XLOOKUP($E399,$C$4:$C$681,$B$4:$B$681,"NO LABEL"),BIN2HEX(IF(N399="CarryEn","1","0")&amp;IF(M399="SubXY","1","0")&amp;IF(H399&lt;&gt;"",VLOOKUP(H399,Ops!$F$2:'Ops'!$G$20,2,FALSE),"000000"),2)),2)</f>
        <v>BC</v>
      </c>
      <c r="Q399" s="26" t="str" cm="1">
        <f t="array" ref="Q399">BIN2HEX(_xlfn.IFS(D399="HWINTEN","10",G399="KeyAck","01",G399="InitLp8","01",TRUE,"00")&amp;IF(OR(Ops!$O$2:'Ops'!$O$13=K399),VLOOKUP(K399,Ops!$O$2:'Ops'!$P$13,2,FALSE),"000")&amp;IF(E399&lt;&gt;"",IF(LEN(_xlfn.XLOOKUP($E399,$C$5:$C$681,$B$5:$B$681,0))=3,HEX2BIN(LEFT(_xlfn.XLOOKUP($E399,$C$5:$C$681,$B$5:$B$681,0),1),3),IF(OR(Ops!$L$2:'Ops'!$L$11=J399),VLOOKUP(J399,Ops!$L$2:'Ops'!$M$11,2,FALSE),"000")),IF(OR(Ops!$L$2:'Ops'!$L$11=J399),VLOOKUP(J399,Ops!$L$2:'Ops'!$M$11,2,FALSE),"000")),2)</f>
        <v>04</v>
      </c>
      <c r="R399" s="27"/>
      <c r="S399" s="4" t="s">
        <v>403</v>
      </c>
      <c r="Z399" s="74" t="str">
        <f t="shared" ref="Z399:Z408" si="120">IF(O399="", "};", "0x"&amp;O399&amp;",")</f>
        <v>0x34,</v>
      </c>
      <c r="AA399" s="75" t="str">
        <f t="shared" ref="AA399:AA408" si="121">"0x"&amp;P399&amp;","</f>
        <v>0xBC,</v>
      </c>
      <c r="AB399" s="75" t="str">
        <f t="shared" ref="AB399:AB408" si="122">"0x"&amp;Q399&amp;","</f>
        <v>0x04,</v>
      </c>
      <c r="AC399" s="76"/>
    </row>
    <row r="400" spans="1:29" x14ac:dyDescent="0.3">
      <c r="A400" s="79">
        <f t="shared" si="119"/>
        <v>1206</v>
      </c>
      <c r="B400" s="80" t="str">
        <f t="shared" ref="B400:B409" si="123">DEC2HEX(A400)</f>
        <v>4B6</v>
      </c>
      <c r="D400" s="29" t="s">
        <v>67</v>
      </c>
      <c r="E400" s="4" t="s">
        <v>437</v>
      </c>
      <c r="F400" s="29"/>
      <c r="G400" s="24"/>
      <c r="H400" s="29"/>
      <c r="M400" s="14"/>
      <c r="O400" s="25" t="str" cm="1">
        <f t="array" ref="O400">BIN2HEX(IF(I400&lt;&gt;"",VLOOKUP(I400,Ops!$I$2:'Ops'!$J$15,2,FALSE),IF(ISNUMBER(SEARCH("BR",D400)),"001","000"))&amp;IF(D400&lt;&gt;"",VLOOKUP(D400,Ops!$B$2:'Ops'!$C$23,2,FALSE),"0")&amp;_xlfn.IFS(ISNUMBER(SEARCH("BR",D400)),VLOOKUP(D400,Ops!$B$3:'Ops'!$D$22,3,FALSE),F400&lt;&gt;"",VLOOKUP(F400,Ops!$R$2:'Ops'!$S$11,2),L400&lt;&gt;"",VLOOKUP(L400,Ops!$R$2:'Ops'!$S$25,2,FALSE),TRUE,"0000"),2)</f>
        <v>35</v>
      </c>
      <c r="P400" s="26" t="str">
        <f>RIGHT(IF($E400&lt;&gt;"",_xlfn.XLOOKUP($E400,$C$4:$C$681,$B$4:$B$681,"NO LABEL"),BIN2HEX(IF(N400="CarryEn","1","0")&amp;IF(M400="SubXY","1","0")&amp;IF(H400&lt;&gt;"",VLOOKUP(H400,Ops!$F$2:'Ops'!$G$20,2,FALSE),"000000"),2)),2)</f>
        <v>BF</v>
      </c>
      <c r="Q400" s="26" t="str" cm="1">
        <f t="array" ref="Q400">BIN2HEX(_xlfn.IFS(D400="HWINTEN","10",G400="KeyAck","01",G400="InitLp8","01",TRUE,"00")&amp;IF(OR(Ops!$O$2:'Ops'!$O$13=K400),VLOOKUP(K400,Ops!$O$2:'Ops'!$P$13,2,FALSE),"000")&amp;IF(E400&lt;&gt;"",IF(LEN(_xlfn.XLOOKUP($E400,$C$5:$C$681,$B$5:$B$681,0))=3,HEX2BIN(LEFT(_xlfn.XLOOKUP($E400,$C$5:$C$681,$B$5:$B$681,0),1),3),IF(OR(Ops!$L$2:'Ops'!$L$11=J400),VLOOKUP(J400,Ops!$L$2:'Ops'!$M$11,2,FALSE),"000")),IF(OR(Ops!$L$2:'Ops'!$L$11=J400),VLOOKUP(J400,Ops!$L$2:'Ops'!$M$11,2,FALSE),"000")),2)</f>
        <v>04</v>
      </c>
      <c r="R400" s="27"/>
      <c r="S400" s="4" t="s">
        <v>442</v>
      </c>
      <c r="Z400" s="74" t="str">
        <f t="shared" si="120"/>
        <v>0x35,</v>
      </c>
      <c r="AA400" s="75" t="str">
        <f t="shared" si="121"/>
        <v>0xBF,</v>
      </c>
      <c r="AB400" s="75" t="str">
        <f t="shared" si="122"/>
        <v>0x04,</v>
      </c>
      <c r="AC400" s="76"/>
    </row>
    <row r="401" spans="1:29" x14ac:dyDescent="0.3">
      <c r="A401" s="79">
        <f t="shared" si="119"/>
        <v>1209</v>
      </c>
      <c r="B401" s="80" t="str">
        <f t="shared" si="123"/>
        <v>4B9</v>
      </c>
      <c r="D401" s="29" t="s">
        <v>0</v>
      </c>
      <c r="E401" s="4" t="s">
        <v>438</v>
      </c>
      <c r="F401" s="29"/>
      <c r="G401" s="24"/>
      <c r="H401" s="29"/>
      <c r="M401" s="14"/>
      <c r="O401" s="25" t="str" cm="1">
        <f t="array" ref="O401">BIN2HEX(IF(I401&lt;&gt;"",VLOOKUP(I401,Ops!$I$2:'Ops'!$J$15,2,FALSE),IF(ISNUMBER(SEARCH("BR",D401)),"001","000"))&amp;IF(D401&lt;&gt;"",VLOOKUP(D401,Ops!$B$2:'Ops'!$C$23,2,FALSE),"0")&amp;_xlfn.IFS(ISNUMBER(SEARCH("BR",D401)),VLOOKUP(D401,Ops!$B$3:'Ops'!$D$22,3,FALSE),F401&lt;&gt;"",VLOOKUP(F401,Ops!$R$2:'Ops'!$S$11,2),L401&lt;&gt;"",VLOOKUP(L401,Ops!$R$2:'Ops'!$S$25,2,FALSE),TRUE,"0000"),2)</f>
        <v>10</v>
      </c>
      <c r="P401" s="26" t="str">
        <f>RIGHT(IF($E401&lt;&gt;"",_xlfn.XLOOKUP($E401,$C$4:$C$681,$B$4:$B$681,"NO LABEL"),BIN2HEX(IF(N401="CarryEn","1","0")&amp;IF(M401="SubXY","1","0")&amp;IF(H401&lt;&gt;"",VLOOKUP(H401,Ops!$F$2:'Ops'!$G$20,2,FALSE),"000000"),2)),2)</f>
        <v>C5</v>
      </c>
      <c r="Q401" s="26" t="str" cm="1">
        <f t="array" ref="Q401">BIN2HEX(_xlfn.IFS(D401="HWINTEN","10",G401="KeyAck","01",G401="InitLp8","01",TRUE,"00")&amp;IF(OR(Ops!$O$2:'Ops'!$O$13=K401),VLOOKUP(K401,Ops!$O$2:'Ops'!$P$13,2,FALSE),"000")&amp;IF(E401&lt;&gt;"",IF(LEN(_xlfn.XLOOKUP($E401,$C$5:$C$681,$B$5:$B$681,0))=3,HEX2BIN(LEFT(_xlfn.XLOOKUP($E401,$C$5:$C$681,$B$5:$B$681,0),1),3),IF(OR(Ops!$L$2:'Ops'!$L$11=J401),VLOOKUP(J401,Ops!$L$2:'Ops'!$M$11,2,FALSE),"000")),IF(OR(Ops!$L$2:'Ops'!$L$11=J401),VLOOKUP(J401,Ops!$L$2:'Ops'!$M$11,2,FALSE),"000")),2)</f>
        <v>04</v>
      </c>
      <c r="R401" s="27"/>
      <c r="S401" s="4" t="s">
        <v>439</v>
      </c>
      <c r="Z401" s="74" t="str">
        <f t="shared" si="120"/>
        <v>0x10,</v>
      </c>
      <c r="AA401" s="75" t="str">
        <f t="shared" si="121"/>
        <v>0xC5,</v>
      </c>
      <c r="AB401" s="75" t="str">
        <f t="shared" si="122"/>
        <v>0x04,</v>
      </c>
      <c r="AC401" s="76"/>
    </row>
    <row r="402" spans="1:29" x14ac:dyDescent="0.3">
      <c r="A402" s="79">
        <f t="shared" si="119"/>
        <v>1212</v>
      </c>
      <c r="B402" s="80" t="str">
        <f t="shared" si="123"/>
        <v>4BC</v>
      </c>
      <c r="C402" s="4" t="s">
        <v>449</v>
      </c>
      <c r="D402" s="29" t="s">
        <v>67</v>
      </c>
      <c r="E402" s="4" t="s">
        <v>438</v>
      </c>
      <c r="F402" s="29"/>
      <c r="G402" s="24"/>
      <c r="H402" s="29"/>
      <c r="M402" s="14"/>
      <c r="O402" s="25" t="str" cm="1">
        <f t="array" ref="O402">BIN2HEX(IF(I402&lt;&gt;"",VLOOKUP(I402,Ops!$I$2:'Ops'!$J$15,2,FALSE),IF(ISNUMBER(SEARCH("BR",D402)),"001","000"))&amp;IF(D402&lt;&gt;"",VLOOKUP(D402,Ops!$B$2:'Ops'!$C$23,2,FALSE),"0")&amp;_xlfn.IFS(ISNUMBER(SEARCH("BR",D402)),VLOOKUP(D402,Ops!$B$3:'Ops'!$D$22,3,FALSE),F402&lt;&gt;"",VLOOKUP(F402,Ops!$R$2:'Ops'!$S$11,2),L402&lt;&gt;"",VLOOKUP(L402,Ops!$R$2:'Ops'!$S$25,2,FALSE),TRUE,"0000"),2)</f>
        <v>35</v>
      </c>
      <c r="P402" s="26" t="str">
        <f>RIGHT(IF($E402&lt;&gt;"",_xlfn.XLOOKUP($E402,$C$4:$C$681,$B$4:$B$681,"NO LABEL"),BIN2HEX(IF(N402="CarryEn","1","0")&amp;IF(M402="SubXY","1","0")&amp;IF(H402&lt;&gt;"",VLOOKUP(H402,Ops!$F$2:'Ops'!$G$20,2,FALSE),"000000"),2)),2)</f>
        <v>C5</v>
      </c>
      <c r="Q402" s="26" t="str" cm="1">
        <f t="array" ref="Q402">BIN2HEX(_xlfn.IFS(D402="HWINTEN","10",G402="KeyAck","01",G402="InitLp8","01",TRUE,"00")&amp;IF(OR(Ops!$O$2:'Ops'!$O$13=K402),VLOOKUP(K402,Ops!$O$2:'Ops'!$P$13,2,FALSE),"000")&amp;IF(E402&lt;&gt;"",IF(LEN(_xlfn.XLOOKUP($E402,$C$5:$C$681,$B$5:$B$681,0))=3,HEX2BIN(LEFT(_xlfn.XLOOKUP($E402,$C$5:$C$681,$B$5:$B$681,0),1),3),IF(OR(Ops!$L$2:'Ops'!$L$11=J402),VLOOKUP(J402,Ops!$L$2:'Ops'!$M$11,2,FALSE),"000")),IF(OR(Ops!$L$2:'Ops'!$L$11=J402),VLOOKUP(J402,Ops!$L$2:'Ops'!$M$11,2,FALSE),"000")),2)</f>
        <v>04</v>
      </c>
      <c r="R402" s="27"/>
      <c r="S402" s="4" t="s">
        <v>441</v>
      </c>
      <c r="Z402" s="74" t="str">
        <f t="shared" si="120"/>
        <v>0x35,</v>
      </c>
      <c r="AA402" s="75" t="str">
        <f t="shared" si="121"/>
        <v>0xC5,</v>
      </c>
      <c r="AB402" s="75" t="str">
        <f t="shared" si="122"/>
        <v>0x04,</v>
      </c>
      <c r="AC402" s="76"/>
    </row>
    <row r="403" spans="1:29" x14ac:dyDescent="0.3">
      <c r="A403" s="79">
        <f t="shared" si="119"/>
        <v>1215</v>
      </c>
      <c r="B403" s="80" t="str">
        <f t="shared" si="123"/>
        <v>4BF</v>
      </c>
      <c r="C403" s="4" t="s">
        <v>437</v>
      </c>
      <c r="D403" s="29"/>
      <c r="F403" s="29"/>
      <c r="G403" s="24"/>
      <c r="H403" s="29"/>
      <c r="J403" s="4" t="s">
        <v>421</v>
      </c>
      <c r="K403" s="4" t="s">
        <v>422</v>
      </c>
      <c r="L403" s="4" t="s">
        <v>423</v>
      </c>
      <c r="M403" s="14"/>
      <c r="O403" s="25" t="str" cm="1">
        <f t="array" ref="O403">BIN2HEX(IF(I403&lt;&gt;"",VLOOKUP(I403,Ops!$I$2:'Ops'!$J$15,2,FALSE),IF(ISNUMBER(SEARCH("BR",D403)),"001","000"))&amp;IF(D403&lt;&gt;"",VLOOKUP(D403,Ops!$B$2:'Ops'!$C$23,2,FALSE),"0")&amp;_xlfn.IFS(ISNUMBER(SEARCH("BR",D403)),VLOOKUP(D403,Ops!$B$3:'Ops'!$D$22,3,FALSE),F403&lt;&gt;"",VLOOKUP(F403,Ops!$R$2:'Ops'!$S$11,2),L403&lt;&gt;"",VLOOKUP(L403,Ops!$R$2:'Ops'!$S$25,2,FALSE),TRUE,"0000"),2)</f>
        <v>03</v>
      </c>
      <c r="P403" s="26" t="str">
        <f>RIGHT(IF($E403&lt;&gt;"",_xlfn.XLOOKUP($E403,$C$4:$C$681,$B$4:$B$681,"NO LABEL"),BIN2HEX(IF(N403="CarryEn","1","0")&amp;IF(M403="SubXY","1","0")&amp;IF(H403&lt;&gt;"",VLOOKUP(H403,Ops!$F$2:'Ops'!$G$20,2,FALSE),"000000"),2)),2)</f>
        <v>00</v>
      </c>
      <c r="Q403" s="26" t="str" cm="1">
        <f t="array" ref="Q403">BIN2HEX(_xlfn.IFS(D403="HWINTEN","10",G403="KeyAck","01",G403="InitLp8","01",TRUE,"00")&amp;IF(OR(Ops!$O$2:'Ops'!$O$13=K403),VLOOKUP(K403,Ops!$O$2:'Ops'!$P$13,2,FALSE),"000")&amp;IF(E403&lt;&gt;"",IF(LEN(_xlfn.XLOOKUP($E403,$C$5:$C$681,$B$5:$B$681,0))=3,HEX2BIN(LEFT(_xlfn.XLOOKUP($E403,$C$5:$C$681,$B$5:$B$681,0),1),3),IF(OR(Ops!$L$2:'Ops'!$L$11=J403),VLOOKUP(J403,Ops!$L$2:'Ops'!$M$11,2,FALSE),"000")),IF(OR(Ops!$L$2:'Ops'!$L$11=J403),VLOOKUP(J403,Ops!$L$2:'Ops'!$M$11,2,FALSE),"000")),2)</f>
        <v>1B</v>
      </c>
      <c r="R403" s="27"/>
      <c r="S403" s="4" t="s">
        <v>440</v>
      </c>
      <c r="Z403" s="74" t="str">
        <f t="shared" si="120"/>
        <v>0x03,</v>
      </c>
      <c r="AA403" s="75" t="str">
        <f t="shared" si="121"/>
        <v>0x00,</v>
      </c>
      <c r="AB403" s="75" t="str">
        <f t="shared" si="122"/>
        <v>0x1B,</v>
      </c>
      <c r="AC403" s="76"/>
    </row>
    <row r="404" spans="1:29" x14ac:dyDescent="0.3">
      <c r="A404" s="79">
        <f t="shared" si="119"/>
        <v>1218</v>
      </c>
      <c r="B404" s="80" t="str">
        <f t="shared" si="123"/>
        <v>4C2</v>
      </c>
      <c r="D404" s="29" t="s">
        <v>0</v>
      </c>
      <c r="E404" s="4" t="s">
        <v>410</v>
      </c>
      <c r="F404" s="29"/>
      <c r="G404" s="24"/>
      <c r="H404" s="29"/>
      <c r="M404" s="14"/>
      <c r="O404" s="25" t="str" cm="1">
        <f t="array" ref="O404">BIN2HEX(IF(I404&lt;&gt;"",VLOOKUP(I404,Ops!$I$2:'Ops'!$J$15,2,FALSE),IF(ISNUMBER(SEARCH("BR",D404)),"001","000"))&amp;IF(D404&lt;&gt;"",VLOOKUP(D404,Ops!$B$2:'Ops'!$C$23,2,FALSE),"0")&amp;_xlfn.IFS(ISNUMBER(SEARCH("BR",D404)),VLOOKUP(D404,Ops!$B$3:'Ops'!$D$22,3,FALSE),F404&lt;&gt;"",VLOOKUP(F404,Ops!$R$2:'Ops'!$S$11,2),L404&lt;&gt;"",VLOOKUP(L404,Ops!$R$2:'Ops'!$S$25,2,FALSE),TRUE,"0000"),2)</f>
        <v>10</v>
      </c>
      <c r="P404" s="26" t="str">
        <f>RIGHT(IF($E404&lt;&gt;"",_xlfn.XLOOKUP($E404,$C$4:$C$681,$B$4:$B$681,"NO LABEL"),BIN2HEX(IF(N404="CarryEn","1","0")&amp;IF(M404="SubXY","1","0")&amp;IF(H404&lt;&gt;"",VLOOKUP(H404,Ops!$F$2:'Ops'!$G$20,2,FALSE),"000000"),2)),2)</f>
        <v>C8</v>
      </c>
      <c r="Q404" s="26" t="str" cm="1">
        <f t="array" ref="Q404">BIN2HEX(_xlfn.IFS(D404="HWINTEN","10",G404="KeyAck","01",G404="InitLp8","01",TRUE,"00")&amp;IF(OR(Ops!$O$2:'Ops'!$O$13=K404),VLOOKUP(K404,Ops!$O$2:'Ops'!$P$13,2,FALSE),"000")&amp;IF(E404&lt;&gt;"",IF(LEN(_xlfn.XLOOKUP($E404,$C$5:$C$681,$B$5:$B$681,0))=3,HEX2BIN(LEFT(_xlfn.XLOOKUP($E404,$C$5:$C$681,$B$5:$B$681,0),1),3),IF(OR(Ops!$L$2:'Ops'!$L$11=J404),VLOOKUP(J404,Ops!$L$2:'Ops'!$M$11,2,FALSE),"000")),IF(OR(Ops!$L$2:'Ops'!$L$11=J404),VLOOKUP(J404,Ops!$L$2:'Ops'!$M$11,2,FALSE),"000")),2)</f>
        <v>04</v>
      </c>
      <c r="R404" s="27"/>
      <c r="Z404" s="74" t="str">
        <f t="shared" si="120"/>
        <v>0x10,</v>
      </c>
      <c r="AA404" s="75" t="str">
        <f t="shared" si="121"/>
        <v>0xC8,</v>
      </c>
      <c r="AB404" s="75" t="str">
        <f t="shared" si="122"/>
        <v>0x04,</v>
      </c>
      <c r="AC404" s="76"/>
    </row>
    <row r="405" spans="1:29" x14ac:dyDescent="0.3">
      <c r="A405" s="79">
        <f t="shared" si="119"/>
        <v>1221</v>
      </c>
      <c r="B405" s="80" t="str">
        <f t="shared" si="123"/>
        <v>4C5</v>
      </c>
      <c r="C405" s="4" t="s">
        <v>438</v>
      </c>
      <c r="D405" s="29"/>
      <c r="F405" s="29"/>
      <c r="G405" s="24"/>
      <c r="H405" s="29"/>
      <c r="J405" s="4" t="s">
        <v>421</v>
      </c>
      <c r="K405" s="4" t="s">
        <v>424</v>
      </c>
      <c r="L405" s="4" t="s">
        <v>423</v>
      </c>
      <c r="M405" s="14"/>
      <c r="O405" s="25" t="str" cm="1">
        <f t="array" ref="O405">BIN2HEX(IF(I405&lt;&gt;"",VLOOKUP(I405,Ops!$I$2:'Ops'!$J$15,2,FALSE),IF(ISNUMBER(SEARCH("BR",D405)),"001","000"))&amp;IF(D405&lt;&gt;"",VLOOKUP(D405,Ops!$B$2:'Ops'!$C$23,2,FALSE),"0")&amp;_xlfn.IFS(ISNUMBER(SEARCH("BR",D405)),VLOOKUP(D405,Ops!$B$3:'Ops'!$D$22,3,FALSE),F405&lt;&gt;"",VLOOKUP(F405,Ops!$R$2:'Ops'!$S$11,2),L405&lt;&gt;"",VLOOKUP(L405,Ops!$R$2:'Ops'!$S$25,2,FALSE),TRUE,"0000"),2)</f>
        <v>03</v>
      </c>
      <c r="P405" s="26" t="str">
        <f>RIGHT(IF($E405&lt;&gt;"",_xlfn.XLOOKUP($E405,$C$4:$C$681,$B$4:$B$681,"NO LABEL"),BIN2HEX(IF(N405="CarryEn","1","0")&amp;IF(M405="SubXY","1","0")&amp;IF(H405&lt;&gt;"",VLOOKUP(H405,Ops!$F$2:'Ops'!$G$20,2,FALSE),"000000"),2)),2)</f>
        <v>00</v>
      </c>
      <c r="Q405" s="26" t="str" cm="1">
        <f t="array" ref="Q405">BIN2HEX(_xlfn.IFS(D405="HWINTEN","10",G405="KeyAck","01",G405="InitLp8","01",TRUE,"00")&amp;IF(OR(Ops!$O$2:'Ops'!$O$13=K405),VLOOKUP(K405,Ops!$O$2:'Ops'!$P$13,2,FALSE),"000")&amp;IF(E405&lt;&gt;"",IF(LEN(_xlfn.XLOOKUP($E405,$C$5:$C$681,$B$5:$B$681,0))=3,HEX2BIN(LEFT(_xlfn.XLOOKUP($E405,$C$5:$C$681,$B$5:$B$681,0),1),3),IF(OR(Ops!$L$2:'Ops'!$L$11=J405),VLOOKUP(J405,Ops!$L$2:'Ops'!$M$11,2,FALSE),"000")),IF(OR(Ops!$L$2:'Ops'!$L$11=J405),VLOOKUP(J405,Ops!$L$2:'Ops'!$M$11,2,FALSE),"000")),2)</f>
        <v>03</v>
      </c>
      <c r="R405" s="27"/>
      <c r="Z405" s="74" t="str">
        <f t="shared" si="120"/>
        <v>0x03,</v>
      </c>
      <c r="AA405" s="75" t="str">
        <f t="shared" si="121"/>
        <v>0x00,</v>
      </c>
      <c r="AB405" s="75" t="str">
        <f t="shared" si="122"/>
        <v>0x03,</v>
      </c>
      <c r="AC405" s="76"/>
    </row>
    <row r="406" spans="1:29" x14ac:dyDescent="0.3">
      <c r="A406" s="79">
        <f t="shared" si="119"/>
        <v>1224</v>
      </c>
      <c r="B406" s="80" t="str">
        <f t="shared" si="123"/>
        <v>4C8</v>
      </c>
      <c r="C406" s="4" t="s">
        <v>410</v>
      </c>
      <c r="D406" s="29"/>
      <c r="F406" s="29"/>
      <c r="G406" s="24" t="s">
        <v>692</v>
      </c>
      <c r="H406" s="29"/>
      <c r="J406" s="3"/>
      <c r="M406" s="14"/>
      <c r="O406" s="25" t="str" cm="1">
        <f t="array" ref="O406">BIN2HEX(IF(I406&lt;&gt;"",VLOOKUP(I406,Ops!$I$2:'Ops'!$J$15,2,FALSE),IF(ISNUMBER(SEARCH("BR",D406)),"001","000"))&amp;IF(D406&lt;&gt;"",VLOOKUP(D406,Ops!$B$2:'Ops'!$C$23,2,FALSE),"0")&amp;_xlfn.IFS(ISNUMBER(SEARCH("BR",D406)),VLOOKUP(D406,Ops!$B$3:'Ops'!$D$22,3,FALSE),F406&lt;&gt;"",VLOOKUP(F406,Ops!$R$2:'Ops'!$S$11,2),L406&lt;&gt;"",VLOOKUP(L406,Ops!$R$2:'Ops'!$S$25,2,FALSE),TRUE,"0000"),2)</f>
        <v>00</v>
      </c>
      <c r="P406" s="26" t="str">
        <f>RIGHT(IF($E406&lt;&gt;"",_xlfn.XLOOKUP($E406,$C$4:$C$681,$B$4:$B$681,"NO LABEL"),BIN2HEX(IF(N406="CarryEn","1","0")&amp;IF(M406="SubXY","1","0")&amp;IF(H406&lt;&gt;"",VLOOKUP(H406,Ops!$F$2:'Ops'!$G$20,2,FALSE),"000000"),2)),2)</f>
        <v>00</v>
      </c>
      <c r="Q406" s="26" t="str" cm="1">
        <f t="array" ref="Q406">BIN2HEX(_xlfn.IFS(D406="HWINTEN","10",G406="KeyAck","01",G406="InitLp8","01",TRUE,"00")&amp;IF(OR(Ops!$O$2:'Ops'!$O$13=K406),VLOOKUP(K406,Ops!$O$2:'Ops'!$P$13,2,FALSE),"000")&amp;IF(E406&lt;&gt;"",IF(LEN(_xlfn.XLOOKUP($E406,$C$5:$C$681,$B$5:$B$681,0))=3,HEX2BIN(LEFT(_xlfn.XLOOKUP($E406,$C$5:$C$681,$B$5:$B$681,0),1),3),IF(OR(Ops!$L$2:'Ops'!$L$11=J406),VLOOKUP(J406,Ops!$L$2:'Ops'!$M$11,2,FALSE),"000")),IF(OR(Ops!$L$2:'Ops'!$L$11=J406),VLOOKUP(J406,Ops!$L$2:'Ops'!$M$11,2,FALSE),"000")),2)</f>
        <v>40</v>
      </c>
      <c r="R406" s="27"/>
      <c r="S406" s="4" t="s">
        <v>443</v>
      </c>
      <c r="Z406" s="74" t="str">
        <f t="shared" si="120"/>
        <v>0x00,</v>
      </c>
      <c r="AA406" s="75" t="str">
        <f t="shared" si="121"/>
        <v>0x00,</v>
      </c>
      <c r="AB406" s="75" t="str">
        <f t="shared" si="122"/>
        <v>0x40,</v>
      </c>
      <c r="AC406" s="76"/>
    </row>
    <row r="407" spans="1:29" x14ac:dyDescent="0.3">
      <c r="A407" s="79">
        <f t="shared" si="119"/>
        <v>1227</v>
      </c>
      <c r="B407" s="80" t="str">
        <f t="shared" si="123"/>
        <v>4CB</v>
      </c>
      <c r="D407" s="29" t="s">
        <v>251</v>
      </c>
      <c r="E407" s="4" t="s">
        <v>605</v>
      </c>
      <c r="F407" s="29"/>
      <c r="G407" s="24"/>
      <c r="H407" s="29"/>
      <c r="M407" s="14"/>
      <c r="O407" s="25" t="str" cm="1">
        <f t="array" ref="O407">BIN2HEX(IF(I407&lt;&gt;"",VLOOKUP(I407,Ops!$I$2:'Ops'!$J$15,2,FALSE),IF(ISNUMBER(SEARCH("BR",D407)),"001","000"))&amp;IF(D407&lt;&gt;"",VLOOKUP(D407,Ops!$B$2:'Ops'!$C$23,2,FALSE),"0")&amp;_xlfn.IFS(ISNUMBER(SEARCH("BR",D407)),VLOOKUP(D407,Ops!$B$3:'Ops'!$D$22,3,FALSE),F407&lt;&gt;"",VLOOKUP(F407,Ops!$R$2:'Ops'!$S$11,2),L407&lt;&gt;"",VLOOKUP(L407,Ops!$R$2:'Ops'!$S$25,2,FALSE),TRUE,"0000"),2)</f>
        <v>3F</v>
      </c>
      <c r="P407" s="26" t="str">
        <f>RIGHT(IF($E407&lt;&gt;"",_xlfn.XLOOKUP($E407,$C$4:$C$681,$B$4:$B$681,"NO LABEL"),BIN2HEX(IF(N407="CarryEn","1","0")&amp;IF(M407="SubXY","1","0")&amp;IF(H407&lt;&gt;"",VLOOKUP(H407,Ops!$F$2:'Ops'!$G$20,2,FALSE),"000000"),2)),2)</f>
        <v>CE</v>
      </c>
      <c r="Q407" s="26" t="str" cm="1">
        <f t="array" ref="Q407">BIN2HEX(_xlfn.IFS(D407="HWINTEN","10",G407="KeyAck","01",G407="InitLp8","01",TRUE,"00")&amp;IF(OR(Ops!$O$2:'Ops'!$O$13=K407),VLOOKUP(K407,Ops!$O$2:'Ops'!$P$13,2,FALSE),"000")&amp;IF(E407&lt;&gt;"",IF(LEN(_xlfn.XLOOKUP($E407,$C$5:$C$681,$B$5:$B$681,0))=3,HEX2BIN(LEFT(_xlfn.XLOOKUP($E407,$C$5:$C$681,$B$5:$B$681,0),1),3),IF(OR(Ops!$L$2:'Ops'!$L$11=J407),VLOOKUP(J407,Ops!$L$2:'Ops'!$M$11,2,FALSE),"000")),IF(OR(Ops!$L$2:'Ops'!$L$11=J407),VLOOKUP(J407,Ops!$L$2:'Ops'!$M$11,2,FALSE),"000")),2)</f>
        <v>04</v>
      </c>
      <c r="R407" s="27"/>
      <c r="Z407" s="74" t="str">
        <f t="shared" si="120"/>
        <v>0x3F,</v>
      </c>
      <c r="AA407" s="75" t="str">
        <f t="shared" si="121"/>
        <v>0xCE,</v>
      </c>
      <c r="AB407" s="75" t="str">
        <f t="shared" si="122"/>
        <v>0x04,</v>
      </c>
      <c r="AC407" s="76"/>
    </row>
    <row r="408" spans="1:29" x14ac:dyDescent="0.3">
      <c r="A408" s="79">
        <f t="shared" si="119"/>
        <v>1230</v>
      </c>
      <c r="B408" s="80" t="str">
        <f t="shared" si="123"/>
        <v>4CE</v>
      </c>
      <c r="C408" s="4" t="s">
        <v>605</v>
      </c>
      <c r="D408" s="29"/>
      <c r="F408" s="29"/>
      <c r="G408" s="24"/>
      <c r="H408" s="29" t="s">
        <v>89</v>
      </c>
      <c r="K408" s="4" t="s">
        <v>470</v>
      </c>
      <c r="M408" s="14"/>
      <c r="O408" s="25" t="str" cm="1">
        <f t="array" ref="O408">BIN2HEX(IF(I408&lt;&gt;"",VLOOKUP(I408,Ops!$I$2:'Ops'!$J$15,2,FALSE),IF(ISNUMBER(SEARCH("BR",D408)),"001","000"))&amp;IF(D408&lt;&gt;"",VLOOKUP(D408,Ops!$B$2:'Ops'!$C$23,2,FALSE),"0")&amp;_xlfn.IFS(ISNUMBER(SEARCH("BR",D408)),VLOOKUP(D408,Ops!$B$3:'Ops'!$D$22,3,FALSE),F408&lt;&gt;"",VLOOKUP(F408,Ops!$R$2:'Ops'!$S$11,2),L408&lt;&gt;"",VLOOKUP(L408,Ops!$R$2:'Ops'!$S$25,2,FALSE),TRUE,"0000"),2)</f>
        <v>00</v>
      </c>
      <c r="P408" s="26" t="str">
        <f>RIGHT(IF($E408&lt;&gt;"",_xlfn.XLOOKUP($E408,$C$4:$C$681,$B$4:$B$681,"NO LABEL"),BIN2HEX(IF(N408="CarryEn","1","0")&amp;IF(M408="SubXY","1","0")&amp;IF(H408&lt;&gt;"",VLOOKUP(H408,Ops!$F$2:'Ops'!$G$20,2,FALSE),"000000"),2)),2)</f>
        <v>14</v>
      </c>
      <c r="Q408" s="26" t="str" cm="1">
        <f t="array" ref="Q408">BIN2HEX(_xlfn.IFS(D408="HWINTEN","10",G408="KeyAck","01",G408="InitLp8","01",TRUE,"00")&amp;IF(OR(Ops!$O$2:'Ops'!$O$13=K408),VLOOKUP(K408,Ops!$O$2:'Ops'!$P$13,2,FALSE),"000")&amp;IF(E408&lt;&gt;"",IF(LEN(_xlfn.XLOOKUP($E408,$C$5:$C$681,$B$5:$B$681,0))=3,HEX2BIN(LEFT(_xlfn.XLOOKUP($E408,$C$5:$C$681,$B$5:$B$681,0),1),3),IF(OR(Ops!$L$2:'Ops'!$L$11=J408),VLOOKUP(J408,Ops!$L$2:'Ops'!$M$11,2,FALSE),"000")),IF(OR(Ops!$L$2:'Ops'!$L$11=J408),VLOOKUP(J408,Ops!$L$2:'Ops'!$M$11,2,FALSE),"000")),2)</f>
        <v>10</v>
      </c>
      <c r="R408" s="27"/>
      <c r="Z408" s="74" t="str">
        <f t="shared" si="120"/>
        <v>0x00,</v>
      </c>
      <c r="AA408" s="75" t="str">
        <f t="shared" si="121"/>
        <v>0x14,</v>
      </c>
      <c r="AB408" s="75" t="str">
        <f t="shared" si="122"/>
        <v>0x10,</v>
      </c>
      <c r="AC408" s="76"/>
    </row>
    <row r="409" spans="1:29" x14ac:dyDescent="0.3">
      <c r="A409" s="79">
        <f t="shared" si="119"/>
        <v>1233</v>
      </c>
      <c r="B409" s="80" t="str">
        <f t="shared" si="123"/>
        <v>4D1</v>
      </c>
      <c r="D409" s="29" t="s">
        <v>251</v>
      </c>
      <c r="E409" s="4" t="s">
        <v>605</v>
      </c>
      <c r="F409" s="29"/>
      <c r="G409" s="24"/>
      <c r="H409" s="29"/>
      <c r="M409" s="14"/>
      <c r="O409" s="25" t="str" cm="1">
        <f t="array" ref="O409">BIN2HEX(IF(I409&lt;&gt;"",VLOOKUP(I409,Ops!$I$2:'Ops'!$J$15,2,FALSE),IF(ISNUMBER(SEARCH("BR",D409)),"001","000"))&amp;IF(D409&lt;&gt;"",VLOOKUP(D409,Ops!$B$2:'Ops'!$C$23,2,FALSE),"0")&amp;_xlfn.IFS(ISNUMBER(SEARCH("BR",D409)),VLOOKUP(D409,Ops!$B$3:'Ops'!$D$22,3,FALSE),F409&lt;&gt;"",VLOOKUP(F409,Ops!$R$2:'Ops'!$S$11,2),L409&lt;&gt;"",VLOOKUP(L409,Ops!$R$2:'Ops'!$S$25,2,FALSE),TRUE,"0000"),2)</f>
        <v>3F</v>
      </c>
      <c r="P409" s="26" t="str">
        <f>RIGHT(IF($E409&lt;&gt;"",_xlfn.XLOOKUP($E409,$C$4:$C$681,$B$4:$B$681,"NO LABEL"),BIN2HEX(IF(N409="CarryEn","1","0")&amp;IF(M409="SubXY","1","0")&amp;IF(H409&lt;&gt;"",VLOOKUP(H409,Ops!$F$2:'Ops'!$G$20,2,FALSE),"000000"),2)),2)</f>
        <v>CE</v>
      </c>
      <c r="Q409" s="26" t="str" cm="1">
        <f t="array" ref="Q409">BIN2HEX(_xlfn.IFS(D409="HWINTEN","10",G409="KeyAck","01",G409="InitLp8","01",TRUE,"00")&amp;IF(OR(Ops!$O$2:'Ops'!$O$13=K409),VLOOKUP(K409,Ops!$O$2:'Ops'!$P$13,2,FALSE),"000")&amp;IF(E409&lt;&gt;"",IF(LEN(_xlfn.XLOOKUP($E409,$C$5:$C$681,$B$5:$B$681,0))=3,HEX2BIN(LEFT(_xlfn.XLOOKUP($E409,$C$5:$C$681,$B$5:$B$681,0),1),3),IF(OR(Ops!$L$2:'Ops'!$L$11=J409),VLOOKUP(J409,Ops!$L$2:'Ops'!$M$11,2,FALSE),"000")),IF(OR(Ops!$L$2:'Ops'!$L$11=J409),VLOOKUP(J409,Ops!$L$2:'Ops'!$M$11,2,FALSE),"000")),2)</f>
        <v>04</v>
      </c>
      <c r="R409" s="27"/>
      <c r="Z409" s="74" t="str">
        <f t="shared" si="115"/>
        <v>0x3F,</v>
      </c>
      <c r="AA409" s="75" t="str">
        <f t="shared" si="116"/>
        <v>0xCE,</v>
      </c>
      <c r="AB409" s="75" t="str">
        <f t="shared" si="117"/>
        <v>0x04,</v>
      </c>
      <c r="AC409" s="76"/>
    </row>
    <row r="410" spans="1:29" x14ac:dyDescent="0.3">
      <c r="A410" s="79">
        <f t="shared" si="119"/>
        <v>1236</v>
      </c>
      <c r="B410" s="80" t="str">
        <f t="shared" ref="B410:B424" si="124">DEC2HEX(A410)</f>
        <v>4D4</v>
      </c>
      <c r="D410" s="29"/>
      <c r="F410" s="29"/>
      <c r="G410" s="24" t="s">
        <v>692</v>
      </c>
      <c r="H410" s="29"/>
      <c r="I410"/>
      <c r="J410"/>
      <c r="K410"/>
      <c r="M410" s="14"/>
      <c r="O410" s="25" t="str" cm="1">
        <f t="array" ref="O410">BIN2HEX(IF(I410&lt;&gt;"",VLOOKUP(I410,Ops!$I$2:'Ops'!$J$15,2,FALSE),IF(ISNUMBER(SEARCH("BR",D410)),"001","000"))&amp;IF(D410&lt;&gt;"",VLOOKUP(D410,Ops!$B$2:'Ops'!$C$23,2,FALSE),"0")&amp;_xlfn.IFS(ISNUMBER(SEARCH("BR",D410)),VLOOKUP(D410,Ops!$B$3:'Ops'!$D$22,3,FALSE),F410&lt;&gt;"",VLOOKUP(F410,Ops!$R$2:'Ops'!$S$11,2),L410&lt;&gt;"",VLOOKUP(L410,Ops!$R$2:'Ops'!$S$25,2,FALSE),TRUE,"0000"),2)</f>
        <v>00</v>
      </c>
      <c r="P410" s="26" t="str">
        <f>RIGHT(IF($E410&lt;&gt;"",_xlfn.XLOOKUP($E410,$C$4:$C$681,$B$4:$B$681,"NO LABEL"),BIN2HEX(IF(N410="CarryEn","1","0")&amp;IF(M410="SubXY","1","0")&amp;IF(H410&lt;&gt;"",VLOOKUP(H410,Ops!$F$2:'Ops'!$G$20,2,FALSE),"000000"),2)),2)</f>
        <v>00</v>
      </c>
      <c r="Q410" s="26" t="str" cm="1">
        <f t="array" ref="Q410">BIN2HEX(_xlfn.IFS(D410="HWINTEN","10",G410="KeyAck","01",G410="InitLp8","01",TRUE,"00")&amp;IF(OR(Ops!$O$2:'Ops'!$O$13=K410),VLOOKUP(K410,Ops!$O$2:'Ops'!$P$13,2,FALSE),"000")&amp;IF(E410&lt;&gt;"",IF(LEN(_xlfn.XLOOKUP($E410,$C$5:$C$681,$B$5:$B$681,0))=3,HEX2BIN(LEFT(_xlfn.XLOOKUP($E410,$C$5:$C$681,$B$5:$B$681,0),1),3),IF(OR(Ops!$L$2:'Ops'!$L$11=J410),VLOOKUP(J410,Ops!$L$2:'Ops'!$M$11,2,FALSE),"000")),IF(OR(Ops!$L$2:'Ops'!$L$11=J410),VLOOKUP(J410,Ops!$L$2:'Ops'!$M$11,2,FALSE),"000")),2)</f>
        <v>40</v>
      </c>
      <c r="R410" s="27"/>
      <c r="S410" s="4" t="s">
        <v>548</v>
      </c>
      <c r="Z410" s="74" t="str">
        <f t="shared" si="115"/>
        <v>0x00,</v>
      </c>
      <c r="AA410" s="75" t="str">
        <f t="shared" si="116"/>
        <v>0x00,</v>
      </c>
      <c r="AB410" s="75" t="str">
        <f t="shared" si="117"/>
        <v>0x40,</v>
      </c>
      <c r="AC410" s="76"/>
    </row>
    <row r="411" spans="1:29" x14ac:dyDescent="0.3">
      <c r="A411" s="79">
        <f t="shared" si="119"/>
        <v>1239</v>
      </c>
      <c r="B411" s="80" t="str">
        <f t="shared" si="124"/>
        <v>4D7</v>
      </c>
      <c r="D411" s="29" t="s">
        <v>251</v>
      </c>
      <c r="E411" s="4" t="s">
        <v>606</v>
      </c>
      <c r="F411" s="29"/>
      <c r="G411" s="24"/>
      <c r="H411" s="29"/>
      <c r="I411"/>
      <c r="J411"/>
      <c r="K411"/>
      <c r="M411" s="14"/>
      <c r="O411" s="25" t="str" cm="1">
        <f t="array" ref="O411">BIN2HEX(IF(I411&lt;&gt;"",VLOOKUP(I411,Ops!$I$2:'Ops'!$J$15,2,FALSE),IF(ISNUMBER(SEARCH("BR",D411)),"001","000"))&amp;IF(D411&lt;&gt;"",VLOOKUP(D411,Ops!$B$2:'Ops'!$C$23,2,FALSE),"0")&amp;_xlfn.IFS(ISNUMBER(SEARCH("BR",D411)),VLOOKUP(D411,Ops!$B$3:'Ops'!$D$22,3,FALSE),F411&lt;&gt;"",VLOOKUP(F411,Ops!$R$2:'Ops'!$S$11,2),L411&lt;&gt;"",VLOOKUP(L411,Ops!$R$2:'Ops'!$S$25,2,FALSE),TRUE,"0000"),2)</f>
        <v>3F</v>
      </c>
      <c r="P411" s="26" t="str">
        <f>RIGHT(IF($E411&lt;&gt;"",_xlfn.XLOOKUP($E411,$C$4:$C$681,$B$4:$B$681,"NO LABEL"),BIN2HEX(IF(N411="CarryEn","1","0")&amp;IF(M411="SubXY","1","0")&amp;IF(H411&lt;&gt;"",VLOOKUP(H411,Ops!$F$2:'Ops'!$G$20,2,FALSE),"000000"),2)),2)</f>
        <v>DA</v>
      </c>
      <c r="Q411" s="26" t="str" cm="1">
        <f t="array" ref="Q411">BIN2HEX(_xlfn.IFS(D411="HWINTEN","10",G411="KeyAck","01",G411="InitLp8","01",TRUE,"00")&amp;IF(OR(Ops!$O$2:'Ops'!$O$13=K411),VLOOKUP(K411,Ops!$O$2:'Ops'!$P$13,2,FALSE),"000")&amp;IF(E411&lt;&gt;"",IF(LEN(_xlfn.XLOOKUP($E411,$C$5:$C$681,$B$5:$B$681,0))=3,HEX2BIN(LEFT(_xlfn.XLOOKUP($E411,$C$5:$C$681,$B$5:$B$681,0),1),3),IF(OR(Ops!$L$2:'Ops'!$L$11=J411),VLOOKUP(J411,Ops!$L$2:'Ops'!$M$11,2,FALSE),"000")),IF(OR(Ops!$L$2:'Ops'!$L$11=J411),VLOOKUP(J411,Ops!$L$2:'Ops'!$M$11,2,FALSE),"000")),2)</f>
        <v>04</v>
      </c>
      <c r="R411" s="27"/>
      <c r="Z411" s="74" t="str">
        <f t="shared" si="115"/>
        <v>0x3F,</v>
      </c>
      <c r="AA411" s="75" t="str">
        <f t="shared" si="116"/>
        <v>0xDA,</v>
      </c>
      <c r="AB411" s="75" t="str">
        <f t="shared" si="117"/>
        <v>0x04,</v>
      </c>
      <c r="AC411" s="76"/>
    </row>
    <row r="412" spans="1:29" x14ac:dyDescent="0.3">
      <c r="A412" s="79">
        <f t="shared" si="119"/>
        <v>1242</v>
      </c>
      <c r="B412" s="80" t="str">
        <f t="shared" si="124"/>
        <v>4DA</v>
      </c>
      <c r="C412" s="4" t="s">
        <v>606</v>
      </c>
      <c r="D412" s="29"/>
      <c r="F412" s="29"/>
      <c r="G412" s="24"/>
      <c r="H412" s="29" t="s">
        <v>26</v>
      </c>
      <c r="I412" t="s">
        <v>482</v>
      </c>
      <c r="J412" t="s">
        <v>191</v>
      </c>
      <c r="K412" t="s">
        <v>469</v>
      </c>
      <c r="M412" s="14"/>
      <c r="O412" s="25" t="str" cm="1">
        <f t="array" ref="O412">BIN2HEX(IF(I412&lt;&gt;"",VLOOKUP(I412,Ops!$I$2:'Ops'!$J$15,2,FALSE),IF(ISNUMBER(SEARCH("BR",D412)),"001","000"))&amp;IF(D412&lt;&gt;"",VLOOKUP(D412,Ops!$B$2:'Ops'!$C$23,2,FALSE),"0")&amp;_xlfn.IFS(ISNUMBER(SEARCH("BR",D412)),VLOOKUP(D412,Ops!$B$3:'Ops'!$D$22,3,FALSE),F412&lt;&gt;"",VLOOKUP(F412,Ops!$R$2:'Ops'!$S$11,2),L412&lt;&gt;"",VLOOKUP(L412,Ops!$R$2:'Ops'!$S$25,2,FALSE),TRUE,"0000"),2)</f>
        <v>00</v>
      </c>
      <c r="P412" s="26" t="str">
        <f>RIGHT(IF($E412&lt;&gt;"",_xlfn.XLOOKUP($E412,$C$4:$C$681,$B$4:$B$681,"NO LABEL"),BIN2HEX(IF(N412="CarryEn","1","0")&amp;IF(M412="SubXY","1","0")&amp;IF(H412&lt;&gt;"",VLOOKUP(H412,Ops!$F$2:'Ops'!$G$20,2,FALSE),"000000"),2)),2)</f>
        <v>05</v>
      </c>
      <c r="Q412" s="26" t="str" cm="1">
        <f t="array" ref="Q412">BIN2HEX(_xlfn.IFS(D412="HWINTEN","10",G412="KeyAck","01",G412="InitLp8","01",TRUE,"00")&amp;IF(OR(Ops!$O$2:'Ops'!$O$13=K412),VLOOKUP(K412,Ops!$O$2:'Ops'!$P$13,2,FALSE),"000")&amp;IF(E412&lt;&gt;"",IF(LEN(_xlfn.XLOOKUP($E412,$C$5:$C$681,$B$5:$B$681,0))=3,HEX2BIN(LEFT(_xlfn.XLOOKUP($E412,$C$5:$C$681,$B$5:$B$681,0),1),3),IF(OR(Ops!$L$2:'Ops'!$L$11=J412),VLOOKUP(J412,Ops!$L$2:'Ops'!$M$11,2,FALSE),"000")),IF(OR(Ops!$L$2:'Ops'!$L$11=J412),VLOOKUP(J412,Ops!$L$2:'Ops'!$M$11,2,FALSE),"000")),2)</f>
        <v>28</v>
      </c>
      <c r="R412" s="27"/>
      <c r="Z412" s="74" t="str">
        <f t="shared" si="115"/>
        <v>0x00,</v>
      </c>
      <c r="AA412" s="75" t="str">
        <f t="shared" si="116"/>
        <v>0x05,</v>
      </c>
      <c r="AB412" s="75" t="str">
        <f t="shared" si="117"/>
        <v>0x28,</v>
      </c>
      <c r="AC412" s="76"/>
    </row>
    <row r="413" spans="1:29" x14ac:dyDescent="0.3">
      <c r="A413" s="79">
        <f>A412+3</f>
        <v>1245</v>
      </c>
      <c r="B413" s="80" t="str">
        <f t="shared" si="124"/>
        <v>4DD</v>
      </c>
      <c r="D413" s="29" t="s">
        <v>251</v>
      </c>
      <c r="E413" s="4" t="s">
        <v>606</v>
      </c>
      <c r="F413" s="29"/>
      <c r="G413" s="24"/>
      <c r="H413" s="29"/>
      <c r="I413"/>
      <c r="J413"/>
      <c r="K413"/>
      <c r="M413" s="14"/>
      <c r="O413" s="25" t="str" cm="1">
        <f t="array" ref="O413">BIN2HEX(IF(I413&lt;&gt;"",VLOOKUP(I413,Ops!$I$2:'Ops'!$J$15,2,FALSE),IF(ISNUMBER(SEARCH("BR",D413)),"001","000"))&amp;IF(D413&lt;&gt;"",VLOOKUP(D413,Ops!$B$2:'Ops'!$C$23,2,FALSE),"0")&amp;_xlfn.IFS(ISNUMBER(SEARCH("BR",D413)),VLOOKUP(D413,Ops!$B$3:'Ops'!$D$22,3,FALSE),F413&lt;&gt;"",VLOOKUP(F413,Ops!$R$2:'Ops'!$S$11,2),L413&lt;&gt;"",VLOOKUP(L413,Ops!$R$2:'Ops'!$S$25,2,FALSE),TRUE,"0000"),2)</f>
        <v>3F</v>
      </c>
      <c r="P413" s="26" t="str">
        <f>RIGHT(IF($E413&lt;&gt;"",_xlfn.XLOOKUP($E413,$C$4:$C$681,$B$4:$B$681,"NO LABEL"),BIN2HEX(IF(N413="CarryEn","1","0")&amp;IF(M413="SubXY","1","0")&amp;IF(H413&lt;&gt;"",VLOOKUP(H413,Ops!$F$2:'Ops'!$G$20,2,FALSE),"000000"),2)),2)</f>
        <v>DA</v>
      </c>
      <c r="Q413" s="26" t="str" cm="1">
        <f t="array" ref="Q413">BIN2HEX(_xlfn.IFS(D413="HWINTEN","10",G413="KeyAck","01",G413="InitLp8","01",TRUE,"00")&amp;IF(OR(Ops!$O$2:'Ops'!$O$13=K413),VLOOKUP(K413,Ops!$O$2:'Ops'!$P$13,2,FALSE),"000")&amp;IF(E413&lt;&gt;"",IF(LEN(_xlfn.XLOOKUP($E413,$C$5:$C$681,$B$5:$B$681,0))=3,HEX2BIN(LEFT(_xlfn.XLOOKUP($E413,$C$5:$C$681,$B$5:$B$681,0),1),3),IF(OR(Ops!$L$2:'Ops'!$L$11=J413),VLOOKUP(J413,Ops!$L$2:'Ops'!$M$11,2,FALSE),"000")),IF(OR(Ops!$L$2:'Ops'!$L$11=J413),VLOOKUP(J413,Ops!$L$2:'Ops'!$M$11,2,FALSE),"000")),2)</f>
        <v>04</v>
      </c>
      <c r="R413" s="27"/>
      <c r="Z413" s="74" t="str">
        <f t="shared" si="115"/>
        <v>0x3F,</v>
      </c>
      <c r="AA413" s="75" t="str">
        <f t="shared" si="116"/>
        <v>0xDA,</v>
      </c>
      <c r="AB413" s="75" t="str">
        <f t="shared" si="117"/>
        <v>0x04,</v>
      </c>
      <c r="AC413" s="76"/>
    </row>
    <row r="414" spans="1:29" x14ac:dyDescent="0.3">
      <c r="A414" s="79">
        <f>A413+3</f>
        <v>1248</v>
      </c>
      <c r="B414" s="80" t="str">
        <f t="shared" si="124"/>
        <v>4E0</v>
      </c>
      <c r="D414" s="29"/>
      <c r="F414" s="29"/>
      <c r="G414" s="24"/>
      <c r="H414" s="29"/>
      <c r="J414" s="56" t="s">
        <v>56</v>
      </c>
      <c r="M414" s="14"/>
      <c r="O414" s="25" t="str" cm="1">
        <f t="array" ref="O414">BIN2HEX(IF(I414&lt;&gt;"",VLOOKUP(I414,Ops!$I$2:'Ops'!$J$15,2,FALSE),IF(ISNUMBER(SEARCH("BR",D414)),"001","000"))&amp;IF(D414&lt;&gt;"",VLOOKUP(D414,Ops!$B$2:'Ops'!$C$23,2,FALSE),"0")&amp;_xlfn.IFS(ISNUMBER(SEARCH("BR",D414)),VLOOKUP(D414,Ops!$B$3:'Ops'!$D$22,3,FALSE),F414&lt;&gt;"",VLOOKUP(F414,Ops!$R$2:'Ops'!$S$11,2),L414&lt;&gt;"",VLOOKUP(L414,Ops!$R$2:'Ops'!$S$25,2,FALSE),TRUE,"0000"),2)</f>
        <v>00</v>
      </c>
      <c r="P414" s="26" t="str">
        <f>RIGHT(IF($E414&lt;&gt;"",_xlfn.XLOOKUP($E414,$C$4:$C$681,$B$4:$B$681,"NO LABEL"),BIN2HEX(IF(N414="CarryEn","1","0")&amp;IF(M414="SubXY","1","0")&amp;IF(H414&lt;&gt;"",VLOOKUP(H414,Ops!$F$2:'Ops'!$G$20,2,FALSE),"000000"),2)),2)</f>
        <v>00</v>
      </c>
      <c r="Q414" s="26" t="str" cm="1">
        <f t="array" ref="Q414">BIN2HEX(_xlfn.IFS(D414="HWINTEN","10",G414="KeyAck","01",G414="InitLp8","01",TRUE,"00")&amp;IF(OR(Ops!$O$2:'Ops'!$O$13=K414),VLOOKUP(K414,Ops!$O$2:'Ops'!$P$13,2,FALSE),"000")&amp;IF(E414&lt;&gt;"",IF(LEN(_xlfn.XLOOKUP($E414,$C$5:$C$681,$B$5:$B$681,0))=3,HEX2BIN(LEFT(_xlfn.XLOOKUP($E414,$C$5:$C$681,$B$5:$B$681,0),1),3),IF(OR(Ops!$L$2:'Ops'!$L$11=J414),VLOOKUP(J414,Ops!$L$2:'Ops'!$M$11,2,FALSE),"000")),IF(OR(Ops!$L$2:'Ops'!$L$11=J414),VLOOKUP(J414,Ops!$L$2:'Ops'!$M$11,2,FALSE),"000")),2)</f>
        <v>05</v>
      </c>
      <c r="R414" s="27"/>
      <c r="S414" s="4" t="s">
        <v>496</v>
      </c>
      <c r="Z414" s="74" t="str">
        <f>IF(O414="", "};", "0x"&amp;O414&amp;",")</f>
        <v>0x00,</v>
      </c>
      <c r="AA414" s="75" t="str">
        <f>"0x"&amp;P414&amp;","</f>
        <v>0x00,</v>
      </c>
      <c r="AB414" s="75" t="str">
        <f>"0x"&amp;Q414&amp;","</f>
        <v>0x05,</v>
      </c>
      <c r="AC414" s="76"/>
    </row>
    <row r="415" spans="1:29" x14ac:dyDescent="0.3">
      <c r="A415" s="79">
        <f>A414+3</f>
        <v>1251</v>
      </c>
      <c r="B415" s="80" t="str">
        <f t="shared" si="124"/>
        <v>4E3</v>
      </c>
      <c r="D415" s="29"/>
      <c r="F415" s="29"/>
      <c r="G415" s="24"/>
      <c r="H415" s="29"/>
      <c r="I415" s="4" t="s">
        <v>520</v>
      </c>
      <c r="J415" s="4" t="s">
        <v>519</v>
      </c>
      <c r="M415" s="14"/>
      <c r="O415" s="25" t="str" cm="1">
        <f t="array" ref="O415">BIN2HEX(IF(I415&lt;&gt;"",VLOOKUP(I415,Ops!$I$2:'Ops'!$J$15,2,FALSE),IF(ISNUMBER(SEARCH("BR",D415)),"001","000"))&amp;IF(D415&lt;&gt;"",VLOOKUP(D415,Ops!$B$2:'Ops'!$C$23,2,FALSE),"0")&amp;_xlfn.IFS(ISNUMBER(SEARCH("BR",D415)),VLOOKUP(D415,Ops!$B$3:'Ops'!$D$22,3,FALSE),F415&lt;&gt;"",VLOOKUP(F415,Ops!$R$2:'Ops'!$S$11,2),L415&lt;&gt;"",VLOOKUP(L415,Ops!$R$2:'Ops'!$S$25,2,FALSE),TRUE,"0000"),2)</f>
        <v>A0</v>
      </c>
      <c r="P415" s="26" t="str">
        <f>RIGHT(IF($E415&lt;&gt;"",_xlfn.XLOOKUP($E415,$C$4:$C$681,$B$4:$B$681,"NO LABEL"),BIN2HEX(IF(N415="CarryEn","1","0")&amp;IF(M415="SubXY","1","0")&amp;IF(H415&lt;&gt;"",VLOOKUP(H415,Ops!$F$2:'Ops'!$G$20,2,FALSE),"000000"),2)),2)</f>
        <v>00</v>
      </c>
      <c r="Q415" s="26" t="str" cm="1">
        <f t="array" ref="Q415">BIN2HEX(_xlfn.IFS(D415="HWINTEN","10",G415="KeyAck","01",G415="InitLp8","01",TRUE,"00")&amp;IF(OR(Ops!$O$2:'Ops'!$O$13=K415),VLOOKUP(K415,Ops!$O$2:'Ops'!$P$13,2,FALSE),"000")&amp;IF(E415&lt;&gt;"",IF(LEN(_xlfn.XLOOKUP($E415,$C$5:$C$681,$B$5:$B$681,0))=3,HEX2BIN(LEFT(_xlfn.XLOOKUP($E415,$C$5:$C$681,$B$5:$B$681,0),1),3),IF(OR(Ops!$L$2:'Ops'!$L$11=J415),VLOOKUP(J415,Ops!$L$2:'Ops'!$M$11,2,FALSE),"000")),IF(OR(Ops!$L$2:'Ops'!$L$11=J415),VLOOKUP(J415,Ops!$L$2:'Ops'!$M$11,2,FALSE),"000")),2)</f>
        <v>07</v>
      </c>
      <c r="R415" s="27"/>
      <c r="S415" s="4" t="s">
        <v>100</v>
      </c>
      <c r="Z415" s="74" t="str">
        <f>IF(O415="", "};", "0x"&amp;O415&amp;",")</f>
        <v>0xA0,</v>
      </c>
      <c r="AA415" s="75" t="str">
        <f>"0x"&amp;P415&amp;","</f>
        <v>0x00,</v>
      </c>
      <c r="AB415" s="75" t="str">
        <f>"0x"&amp;Q415&amp;","</f>
        <v>0x07,</v>
      </c>
      <c r="AC415" s="76"/>
    </row>
    <row r="416" spans="1:29" x14ac:dyDescent="0.3">
      <c r="A416" s="79">
        <f>A415+3</f>
        <v>1254</v>
      </c>
      <c r="B416" s="80" t="str">
        <f t="shared" si="124"/>
        <v>4E6</v>
      </c>
      <c r="D416" s="29"/>
      <c r="F416" s="29"/>
      <c r="G416" s="24"/>
      <c r="H416" s="29"/>
      <c r="I416" s="4" t="s">
        <v>290</v>
      </c>
      <c r="K416" s="4" t="s">
        <v>480</v>
      </c>
      <c r="M416" s="14"/>
      <c r="O416" s="25" t="str" cm="1">
        <f t="array" ref="O416">BIN2HEX(IF(I416&lt;&gt;"",VLOOKUP(I416,Ops!$I$2:'Ops'!$J$15,2,FALSE),IF(ISNUMBER(SEARCH("BR",D416)),"001","000"))&amp;IF(D416&lt;&gt;"",VLOOKUP(D416,Ops!$B$2:'Ops'!$C$23,2,FALSE),"0")&amp;_xlfn.IFS(ISNUMBER(SEARCH("BR",D416)),VLOOKUP(D416,Ops!$B$3:'Ops'!$D$22,3,FALSE),F416&lt;&gt;"",VLOOKUP(F416,Ops!$R$2:'Ops'!$S$11,2),L416&lt;&gt;"",VLOOKUP(L416,Ops!$R$2:'Ops'!$S$25,2,FALSE),TRUE,"0000"),2)</f>
        <v>40</v>
      </c>
      <c r="P416" s="26" t="str">
        <f>RIGHT(IF($E416&lt;&gt;"",_xlfn.XLOOKUP($E416,$C$4:$C$681,$B$4:$B$681,"NO LABEL"),BIN2HEX(IF(N416="CarryEn","1","0")&amp;IF(M416="SubXY","1","0")&amp;IF(H416&lt;&gt;"",VLOOKUP(H416,Ops!$F$2:'Ops'!$G$20,2,FALSE),"000000"),2)),2)</f>
        <v>00</v>
      </c>
      <c r="Q416" s="26" t="str" cm="1">
        <f t="array" ref="Q416">BIN2HEX(_xlfn.IFS(D416="HWINTEN","10",G416="KeyAck","01",G416="InitLp8","01",TRUE,"00")&amp;IF(OR(Ops!$O$2:'Ops'!$O$13=K416),VLOOKUP(K416,Ops!$O$2:'Ops'!$P$13,2,FALSE),"000")&amp;IF(E416&lt;&gt;"",IF(LEN(_xlfn.XLOOKUP($E416,$C$5:$C$681,$B$5:$B$681,0))=3,HEX2BIN(LEFT(_xlfn.XLOOKUP($E416,$C$5:$C$681,$B$5:$B$681,0),1),3),IF(OR(Ops!$L$2:'Ops'!$L$11=J416),VLOOKUP(J416,Ops!$L$2:'Ops'!$M$11,2,FALSE),"000")),IF(OR(Ops!$L$2:'Ops'!$L$11=J416),VLOOKUP(J416,Ops!$L$2:'Ops'!$M$11,2,FALSE),"000")),2)</f>
        <v>00</v>
      </c>
      <c r="R416" s="27"/>
      <c r="S416" s="4" t="s">
        <v>614</v>
      </c>
      <c r="Z416" s="74" t="str">
        <f t="shared" ref="Z416:Z428" si="125">IF(O416="", "};", "0x"&amp;O416&amp;",")</f>
        <v>0x40,</v>
      </c>
      <c r="AA416" s="75" t="str">
        <f t="shared" ref="AA416:AA428" si="126">"0x"&amp;P416&amp;","</f>
        <v>0x00,</v>
      </c>
      <c r="AB416" s="75" t="str">
        <f t="shared" ref="AB416:AB428" si="127">"0x"&amp;Q416&amp;","</f>
        <v>0x00,</v>
      </c>
      <c r="AC416" s="76"/>
    </row>
    <row r="417" spans="1:29" x14ac:dyDescent="0.3">
      <c r="A417" s="79">
        <f>A416+3</f>
        <v>1257</v>
      </c>
      <c r="B417" s="80" t="str">
        <f t="shared" si="124"/>
        <v>4E9</v>
      </c>
      <c r="C417" s="3"/>
      <c r="D417" s="37"/>
      <c r="E417" s="3"/>
      <c r="F417" s="37"/>
      <c r="G417" s="24" t="s">
        <v>692</v>
      </c>
      <c r="H417" s="29"/>
      <c r="M417" s="14"/>
      <c r="O417" s="25" t="str" cm="1">
        <f t="array" ref="O417">BIN2HEX(IF(I417&lt;&gt;"",VLOOKUP(I417,Ops!$I$2:'Ops'!$J$15,2,FALSE),IF(ISNUMBER(SEARCH("BR",D417)),"001","000"))&amp;IF(D417&lt;&gt;"",VLOOKUP(D417,Ops!$B$2:'Ops'!$C$23,2,FALSE),"0")&amp;_xlfn.IFS(ISNUMBER(SEARCH("BR",D417)),VLOOKUP(D417,Ops!$B$3:'Ops'!$D$22,3,FALSE),F417&lt;&gt;"",VLOOKUP(F417,Ops!$R$2:'Ops'!$S$11,2),L417&lt;&gt;"",VLOOKUP(L417,Ops!$R$2:'Ops'!$S$25,2,FALSE),TRUE,"0000"),2)</f>
        <v>00</v>
      </c>
      <c r="P417" s="26" t="str">
        <f>RIGHT(IF($E417&lt;&gt;"",_xlfn.XLOOKUP($E417,$C$4:$C$681,$B$4:$B$681,"NO LABEL"),BIN2HEX(IF(N417="CarryEn","1","0")&amp;IF(M417="SubXY","1","0")&amp;IF(H417&lt;&gt;"",VLOOKUP(H417,Ops!$F$2:'Ops'!$G$20,2,FALSE),"000000"),2)),2)</f>
        <v>00</v>
      </c>
      <c r="Q417" s="26" t="str" cm="1">
        <f t="array" ref="Q417">BIN2HEX(_xlfn.IFS(D417="HWINTEN","10",G417="KeyAck","01",G417="InitLp8","01",TRUE,"00")&amp;IF(OR(Ops!$O$2:'Ops'!$O$13=K417),VLOOKUP(K417,Ops!$O$2:'Ops'!$P$13,2,FALSE),"000")&amp;IF(E417&lt;&gt;"",IF(LEN(_xlfn.XLOOKUP($E417,$C$5:$C$681,$B$5:$B$681,0))=3,HEX2BIN(LEFT(_xlfn.XLOOKUP($E417,$C$5:$C$681,$B$5:$B$681,0),1),3),IF(OR(Ops!$L$2:'Ops'!$L$11=J417),VLOOKUP(J417,Ops!$L$2:'Ops'!$M$11,2,FALSE),"000")),IF(OR(Ops!$L$2:'Ops'!$L$11=J417),VLOOKUP(J417,Ops!$L$2:'Ops'!$M$11,2,FALSE),"000")),2)</f>
        <v>40</v>
      </c>
      <c r="R417" s="27"/>
      <c r="S417" s="4" t="s">
        <v>615</v>
      </c>
      <c r="Z417" s="74" t="str">
        <f t="shared" si="125"/>
        <v>0x00,</v>
      </c>
      <c r="AA417" s="75" t="str">
        <f t="shared" si="126"/>
        <v>0x00,</v>
      </c>
      <c r="AB417" s="75" t="str">
        <f t="shared" si="127"/>
        <v>0x40,</v>
      </c>
      <c r="AC417" s="76"/>
    </row>
    <row r="418" spans="1:29" x14ac:dyDescent="0.3">
      <c r="A418" s="79">
        <f t="shared" ref="A418:A424" si="128">A417+3</f>
        <v>1260</v>
      </c>
      <c r="B418" s="80" t="str">
        <f t="shared" si="124"/>
        <v>4EC</v>
      </c>
      <c r="D418" s="29" t="s">
        <v>251</v>
      </c>
      <c r="E418" s="4" t="s">
        <v>612</v>
      </c>
      <c r="F418" s="37"/>
      <c r="G418" s="38"/>
      <c r="H418" s="29"/>
      <c r="M418" s="14"/>
      <c r="O418" s="25" t="str" cm="1">
        <f t="array" ref="O418">BIN2HEX(IF(I418&lt;&gt;"",VLOOKUP(I418,Ops!$I$2:'Ops'!$J$15,2,FALSE),IF(ISNUMBER(SEARCH("BR",D418)),"001","000"))&amp;IF(D418&lt;&gt;"",VLOOKUP(D418,Ops!$B$2:'Ops'!$C$23,2,FALSE),"0")&amp;_xlfn.IFS(ISNUMBER(SEARCH("BR",D418)),VLOOKUP(D418,Ops!$B$3:'Ops'!$D$22,3,FALSE),F418&lt;&gt;"",VLOOKUP(F418,Ops!$R$2:'Ops'!$S$11,2),L418&lt;&gt;"",VLOOKUP(L418,Ops!$R$2:'Ops'!$S$25,2,FALSE),TRUE,"0000"),2)</f>
        <v>3F</v>
      </c>
      <c r="P418" s="26" t="str">
        <f>RIGHT(IF($E418&lt;&gt;"",_xlfn.XLOOKUP($E418,$C$4:$C$681,$B$4:$B$681,"NO LABEL"),BIN2HEX(IF(N418="CarryEn","1","0")&amp;IF(M418="SubXY","1","0")&amp;IF(H418&lt;&gt;"",VLOOKUP(H418,Ops!$F$2:'Ops'!$G$20,2,FALSE),"000000"),2)),2)</f>
        <v>EF</v>
      </c>
      <c r="Q418" s="26" t="str" cm="1">
        <f t="array" ref="Q418">BIN2HEX(_xlfn.IFS(D418="HWINTEN","10",G418="KeyAck","01",G418="InitLp8","01",TRUE,"00")&amp;IF(OR(Ops!$O$2:'Ops'!$O$13=K418),VLOOKUP(K418,Ops!$O$2:'Ops'!$P$13,2,FALSE),"000")&amp;IF(E418&lt;&gt;"",IF(LEN(_xlfn.XLOOKUP($E418,$C$5:$C$681,$B$5:$B$681,0))=3,HEX2BIN(LEFT(_xlfn.XLOOKUP($E418,$C$5:$C$681,$B$5:$B$681,0),1),3),IF(OR(Ops!$L$2:'Ops'!$L$11=J418),VLOOKUP(J418,Ops!$L$2:'Ops'!$M$11,2,FALSE),"000")),IF(OR(Ops!$L$2:'Ops'!$L$11=J418),VLOOKUP(J418,Ops!$L$2:'Ops'!$M$11,2,FALSE),"000")),2)</f>
        <v>04</v>
      </c>
      <c r="R418" s="27"/>
      <c r="S418" s="4" t="s">
        <v>244</v>
      </c>
      <c r="Z418" s="74" t="str">
        <f t="shared" si="125"/>
        <v>0x3F,</v>
      </c>
      <c r="AA418" s="75" t="str">
        <f t="shared" si="126"/>
        <v>0xEF,</v>
      </c>
      <c r="AB418" s="75" t="str">
        <f t="shared" si="127"/>
        <v>0x04,</v>
      </c>
      <c r="AC418" s="76"/>
    </row>
    <row r="419" spans="1:29" x14ac:dyDescent="0.3">
      <c r="A419" s="79">
        <f t="shared" si="128"/>
        <v>1263</v>
      </c>
      <c r="B419" s="80" t="str">
        <f t="shared" si="124"/>
        <v>4EF</v>
      </c>
      <c r="C419" s="4" t="s">
        <v>612</v>
      </c>
      <c r="D419" s="29"/>
      <c r="F419" s="37"/>
      <c r="G419" s="38"/>
      <c r="H419" s="29"/>
      <c r="I419" t="s">
        <v>291</v>
      </c>
      <c r="K419" s="4" t="s">
        <v>516</v>
      </c>
      <c r="M419" s="14"/>
      <c r="O419" s="25" t="str" cm="1">
        <f t="array" ref="O419">BIN2HEX(IF(I419&lt;&gt;"",VLOOKUP(I419,Ops!$I$2:'Ops'!$J$15,2,FALSE),IF(ISNUMBER(SEARCH("BR",D419)),"001","000"))&amp;IF(D419&lt;&gt;"",VLOOKUP(D419,Ops!$B$2:'Ops'!$C$23,2,FALSE),"0")&amp;_xlfn.IFS(ISNUMBER(SEARCH("BR",D419)),VLOOKUP(D419,Ops!$B$3:'Ops'!$D$22,3,FALSE),F419&lt;&gt;"",VLOOKUP(F419,Ops!$R$2:'Ops'!$S$11,2),L419&lt;&gt;"",VLOOKUP(L419,Ops!$R$2:'Ops'!$S$25,2,FALSE),TRUE,"0000"),2)</f>
        <v>80</v>
      </c>
      <c r="P419" s="26" t="str">
        <f>RIGHT(IF($E419&lt;&gt;"",_xlfn.XLOOKUP($E419,$C$4:$C$681,$B$4:$B$681,"NO LABEL"),BIN2HEX(IF(N419="CarryEn","1","0")&amp;IF(M419="SubXY","1","0")&amp;IF(H419&lt;&gt;"",VLOOKUP(H419,Ops!$F$2:'Ops'!$G$20,2,FALSE),"000000"),2)),2)</f>
        <v>00</v>
      </c>
      <c r="Q419" s="26" t="str" cm="1">
        <f t="array" ref="Q419">BIN2HEX(_xlfn.IFS(D419="HWINTEN","10",G419="KeyAck","01",G419="InitLp8","01",TRUE,"00")&amp;IF(OR(Ops!$O$2:'Ops'!$O$13=K419),VLOOKUP(K419,Ops!$O$2:'Ops'!$P$13,2,FALSE),"000")&amp;IF(E419&lt;&gt;"",IF(LEN(_xlfn.XLOOKUP($E419,$C$5:$C$681,$B$5:$B$681,0))=3,HEX2BIN(LEFT(_xlfn.XLOOKUP($E419,$C$5:$C$681,$B$5:$B$681,0),1),3),IF(OR(Ops!$L$2:'Ops'!$L$11=J419),VLOOKUP(J419,Ops!$L$2:'Ops'!$M$11,2,FALSE),"000")),IF(OR(Ops!$L$2:'Ops'!$L$11=J419),VLOOKUP(J419,Ops!$L$2:'Ops'!$M$11,2,FALSE),"000")),2)</f>
        <v>08</v>
      </c>
      <c r="R419" s="27"/>
      <c r="S419" s="4" t="s">
        <v>613</v>
      </c>
      <c r="Z419" s="74" t="str">
        <f t="shared" si="125"/>
        <v>0x80,</v>
      </c>
      <c r="AA419" s="75" t="str">
        <f t="shared" si="126"/>
        <v>0x00,</v>
      </c>
      <c r="AB419" s="75" t="str">
        <f t="shared" si="127"/>
        <v>0x08,</v>
      </c>
      <c r="AC419" s="76"/>
    </row>
    <row r="420" spans="1:29" x14ac:dyDescent="0.3">
      <c r="A420" s="79">
        <f t="shared" si="128"/>
        <v>1266</v>
      </c>
      <c r="B420" s="80" t="str">
        <f t="shared" si="124"/>
        <v>4F2</v>
      </c>
      <c r="D420" s="29"/>
      <c r="F420" s="29"/>
      <c r="G420" s="24"/>
      <c r="H420" s="4" t="s">
        <v>462</v>
      </c>
      <c r="I420" s="4" t="s">
        <v>482</v>
      </c>
      <c r="J420" s="4" t="s">
        <v>191</v>
      </c>
      <c r="K420" s="4" t="s">
        <v>476</v>
      </c>
      <c r="M420" s="14"/>
      <c r="O420" s="25" t="str" cm="1">
        <f t="array" ref="O420">BIN2HEX(IF(I420&lt;&gt;"",VLOOKUP(I420,Ops!$I$2:'Ops'!$J$15,2,FALSE),IF(ISNUMBER(SEARCH("BR",D420)),"001","000"))&amp;IF(D420&lt;&gt;"",VLOOKUP(D420,Ops!$B$2:'Ops'!$C$23,2,FALSE),"0")&amp;_xlfn.IFS(ISNUMBER(SEARCH("BR",D420)),VLOOKUP(D420,Ops!$B$3:'Ops'!$D$22,3,FALSE),F420&lt;&gt;"",VLOOKUP(F420,Ops!$R$2:'Ops'!$S$11,2),L420&lt;&gt;"",VLOOKUP(L420,Ops!$R$2:'Ops'!$S$25,2,FALSE),TRUE,"0000"),2)</f>
        <v>00</v>
      </c>
      <c r="P420" s="26" t="str">
        <f>RIGHT(IF($E420&lt;&gt;"",_xlfn.XLOOKUP($E420,$C$4:$C$681,$B$4:$B$681,"NO LABEL"),BIN2HEX(IF(N420="CarryEn","1","0")&amp;IF(M420="SubXY","1","0")&amp;IF(H420&lt;&gt;"",VLOOKUP(H420,Ops!$F$2:'Ops'!$G$20,2,FALSE),"000000"),2)),2)</f>
        <v>11</v>
      </c>
      <c r="Q420" s="26" t="str" cm="1">
        <f t="array" ref="Q420">BIN2HEX(_xlfn.IFS(D420="HWINTEN","10",G420="KeyAck","01",G420="InitLp8","01",TRUE,"00")&amp;IF(OR(Ops!$O$2:'Ops'!$O$13=K420),VLOOKUP(K420,Ops!$O$2:'Ops'!$P$13,2,FALSE),"000")&amp;IF(E420&lt;&gt;"",IF(LEN(_xlfn.XLOOKUP($E420,$C$5:$C$681,$B$5:$B$681,0))=3,HEX2BIN(LEFT(_xlfn.XLOOKUP($E420,$C$5:$C$681,$B$5:$B$681,0),1),3),IF(OR(Ops!$L$2:'Ops'!$L$11=J420),VLOOKUP(J420,Ops!$L$2:'Ops'!$M$11,2,FALSE),"000")),IF(OR(Ops!$L$2:'Ops'!$L$11=J420),VLOOKUP(J420,Ops!$L$2:'Ops'!$M$11,2,FALSE),"000")),2)</f>
        <v>00</v>
      </c>
      <c r="R420" s="27"/>
      <c r="S420" s="4" t="s">
        <v>616</v>
      </c>
      <c r="Z420" s="74" t="str">
        <f t="shared" si="125"/>
        <v>0x00,</v>
      </c>
      <c r="AA420" s="75" t="str">
        <f t="shared" si="126"/>
        <v>0x11,</v>
      </c>
      <c r="AB420" s="75" t="str">
        <f t="shared" si="127"/>
        <v>0x00,</v>
      </c>
      <c r="AC420" s="76"/>
    </row>
    <row r="421" spans="1:29" x14ac:dyDescent="0.3">
      <c r="A421" s="79">
        <f t="shared" si="128"/>
        <v>1269</v>
      </c>
      <c r="B421" s="80" t="str">
        <f t="shared" si="124"/>
        <v>4F5</v>
      </c>
      <c r="D421" s="29"/>
      <c r="F421" s="37"/>
      <c r="G421" s="38"/>
      <c r="H421" s="29"/>
      <c r="I421" s="4" t="s">
        <v>290</v>
      </c>
      <c r="K421" s="4" t="s">
        <v>480</v>
      </c>
      <c r="M421" s="14"/>
      <c r="O421" s="25" t="str" cm="1">
        <f t="array" ref="O421">BIN2HEX(IF(I421&lt;&gt;"",VLOOKUP(I421,Ops!$I$2:'Ops'!$J$15,2,FALSE),IF(ISNUMBER(SEARCH("BR",D421)),"001","000"))&amp;IF(D421&lt;&gt;"",VLOOKUP(D421,Ops!$B$2:'Ops'!$C$23,2,FALSE),"0")&amp;_xlfn.IFS(ISNUMBER(SEARCH("BR",D421)),VLOOKUP(D421,Ops!$B$3:'Ops'!$D$22,3,FALSE),F421&lt;&gt;"",VLOOKUP(F421,Ops!$R$2:'Ops'!$S$11,2),L421&lt;&gt;"",VLOOKUP(L421,Ops!$R$2:'Ops'!$S$25,2,FALSE),TRUE,"0000"),2)</f>
        <v>40</v>
      </c>
      <c r="P421" s="26" t="str">
        <f>RIGHT(IF($E421&lt;&gt;"",_xlfn.XLOOKUP($E421,$C$4:$C$681,$B$4:$B$681,"NO LABEL"),BIN2HEX(IF(N421="CarryEn","1","0")&amp;IF(M421="SubXY","1","0")&amp;IF(H421&lt;&gt;"",VLOOKUP(H421,Ops!$F$2:'Ops'!$G$20,2,FALSE),"000000"),2)),2)</f>
        <v>00</v>
      </c>
      <c r="Q421" s="26" t="str" cm="1">
        <f t="array" ref="Q421">BIN2HEX(_xlfn.IFS(D421="HWINTEN","10",G421="KeyAck","01",G421="InitLp8","01",TRUE,"00")&amp;IF(OR(Ops!$O$2:'Ops'!$O$13=K421),VLOOKUP(K421,Ops!$O$2:'Ops'!$P$13,2,FALSE),"000")&amp;IF(E421&lt;&gt;"",IF(LEN(_xlfn.XLOOKUP($E421,$C$5:$C$681,$B$5:$B$681,0))=3,HEX2BIN(LEFT(_xlfn.XLOOKUP($E421,$C$5:$C$681,$B$5:$B$681,0),1),3),IF(OR(Ops!$L$2:'Ops'!$L$11=J421),VLOOKUP(J421,Ops!$L$2:'Ops'!$M$11,2,FALSE),"000")),IF(OR(Ops!$L$2:'Ops'!$L$11=J421),VLOOKUP(J421,Ops!$L$2:'Ops'!$M$11,2,FALSE),"000")),2)</f>
        <v>00</v>
      </c>
      <c r="R421" s="27"/>
      <c r="S421" s="4" t="s">
        <v>282</v>
      </c>
      <c r="Z421" s="74" t="str">
        <f t="shared" si="125"/>
        <v>0x40,</v>
      </c>
      <c r="AA421" s="75" t="str">
        <f t="shared" si="126"/>
        <v>0x00,</v>
      </c>
      <c r="AB421" s="75" t="str">
        <f t="shared" si="127"/>
        <v>0x00,</v>
      </c>
      <c r="AC421" s="76"/>
    </row>
    <row r="422" spans="1:29" x14ac:dyDescent="0.3">
      <c r="A422" s="79">
        <f t="shared" si="128"/>
        <v>1272</v>
      </c>
      <c r="B422" s="80" t="str">
        <f t="shared" si="124"/>
        <v>4F8</v>
      </c>
      <c r="D422" s="29" t="s">
        <v>90</v>
      </c>
      <c r="E422" s="4" t="s">
        <v>620</v>
      </c>
      <c r="F422" s="37"/>
      <c r="G422" s="38"/>
      <c r="H422" s="29"/>
      <c r="M422" s="14"/>
      <c r="O422" s="25" t="str" cm="1">
        <f t="array" ref="O422">BIN2HEX(IF(I422&lt;&gt;"",VLOOKUP(I422,Ops!$I$2:'Ops'!$J$15,2,FALSE),IF(ISNUMBER(SEARCH("BR",D422)),"001","000"))&amp;IF(D422&lt;&gt;"",VLOOKUP(D422,Ops!$B$2:'Ops'!$C$23,2,FALSE),"0")&amp;_xlfn.IFS(ISNUMBER(SEARCH("BR",D422)),VLOOKUP(D422,Ops!$B$3:'Ops'!$D$22,3,FALSE),F422&lt;&gt;"",VLOOKUP(F422,Ops!$R$2:'Ops'!$S$11,2),L422&lt;&gt;"",VLOOKUP(L422,Ops!$R$2:'Ops'!$S$25,2,FALSE),TRUE,"0000"),2)</f>
        <v>38</v>
      </c>
      <c r="P422" s="26" t="str">
        <f>RIGHT(IF($E422&lt;&gt;"",_xlfn.XLOOKUP($E422,$C$4:$C$681,$B$4:$B$681,"NO LABEL"),BIN2HEX(IF(N422="CarryEn","1","0")&amp;IF(M422="SubXY","1","0")&amp;IF(H422&lt;&gt;"",VLOOKUP(H422,Ops!$F$2:'Ops'!$G$20,2,FALSE),"000000"),2)),2)</f>
        <v>25</v>
      </c>
      <c r="Q422" s="26" t="str" cm="1">
        <f t="array" ref="Q422">BIN2HEX(_xlfn.IFS(D422="HWINTEN","10",G422="KeyAck","01",G422="InitLp8","01",TRUE,"00")&amp;IF(OR(Ops!$O$2:'Ops'!$O$13=K422),VLOOKUP(K422,Ops!$O$2:'Ops'!$P$13,2,FALSE),"000")&amp;IF(E422&lt;&gt;"",IF(LEN(_xlfn.XLOOKUP($E422,$C$5:$C$681,$B$5:$B$681,0))=3,HEX2BIN(LEFT(_xlfn.XLOOKUP($E422,$C$5:$C$681,$B$5:$B$681,0),1),3),IF(OR(Ops!$L$2:'Ops'!$L$11=J422),VLOOKUP(J422,Ops!$L$2:'Ops'!$M$11,2,FALSE),"000")),IF(OR(Ops!$L$2:'Ops'!$L$11=J422),VLOOKUP(J422,Ops!$L$2:'Ops'!$M$11,2,FALSE),"000")),2)</f>
        <v>05</v>
      </c>
      <c r="R422" s="27"/>
      <c r="S422" s="4" t="s">
        <v>621</v>
      </c>
      <c r="Z422" s="74" t="str">
        <f t="shared" si="125"/>
        <v>0x38,</v>
      </c>
      <c r="AA422" s="75" t="str">
        <f t="shared" si="126"/>
        <v>0x25,</v>
      </c>
      <c r="AB422" s="75" t="str">
        <f t="shared" si="127"/>
        <v>0x05,</v>
      </c>
      <c r="AC422" s="76"/>
    </row>
    <row r="423" spans="1:29" x14ac:dyDescent="0.3">
      <c r="A423" s="79">
        <f t="shared" si="128"/>
        <v>1275</v>
      </c>
      <c r="B423" s="80" t="str">
        <f t="shared" si="124"/>
        <v>4FB</v>
      </c>
      <c r="C423" s="4" t="s">
        <v>611</v>
      </c>
      <c r="D423" s="29"/>
      <c r="F423" s="29"/>
      <c r="G423" s="24"/>
      <c r="H423" s="29" t="s">
        <v>62</v>
      </c>
      <c r="I423" s="4" t="s">
        <v>482</v>
      </c>
      <c r="J423" s="4" t="s">
        <v>63</v>
      </c>
      <c r="K423" s="4" t="s">
        <v>470</v>
      </c>
      <c r="M423" s="14"/>
      <c r="O423" s="25" t="str" cm="1">
        <f t="array" ref="O423">BIN2HEX(IF(I423&lt;&gt;"",VLOOKUP(I423,Ops!$I$2:'Ops'!$J$15,2,FALSE),IF(ISNUMBER(SEARCH("BR",D423)),"001","000"))&amp;IF(D423&lt;&gt;"",VLOOKUP(D423,Ops!$B$2:'Ops'!$C$23,2,FALSE),"0")&amp;_xlfn.IFS(ISNUMBER(SEARCH("BR",D423)),VLOOKUP(D423,Ops!$B$3:'Ops'!$D$22,3,FALSE),F423&lt;&gt;"",VLOOKUP(F423,Ops!$R$2:'Ops'!$S$11,2),L423&lt;&gt;"",VLOOKUP(L423,Ops!$R$2:'Ops'!$S$25,2,FALSE),TRUE,"0000"),2)</f>
        <v>00</v>
      </c>
      <c r="P423" s="26" t="str">
        <f>RIGHT(IF($E423&lt;&gt;"",_xlfn.XLOOKUP($E423,$C$4:$C$681,$B$4:$B$681,"NO LABEL"),BIN2HEX(IF(N423="CarryEn","1","0")&amp;IF(M423="SubXY","1","0")&amp;IF(H423&lt;&gt;"",VLOOKUP(H423,Ops!$F$2:'Ops'!$G$20,2,FALSE),"000000"),2)),2)</f>
        <v>05</v>
      </c>
      <c r="Q423" s="26" t="str" cm="1">
        <f t="array" ref="Q423">BIN2HEX(_xlfn.IFS(D423="HWINTEN","10",G423="KeyAck","01",G423="InitLp8","01",TRUE,"00")&amp;IF(OR(Ops!$O$2:'Ops'!$O$13=K423),VLOOKUP(K423,Ops!$O$2:'Ops'!$P$13,2,FALSE),"000")&amp;IF(E423&lt;&gt;"",IF(LEN(_xlfn.XLOOKUP($E423,$C$5:$C$681,$B$5:$B$681,0))=3,HEX2BIN(LEFT(_xlfn.XLOOKUP($E423,$C$5:$C$681,$B$5:$B$681,0),1),3),IF(OR(Ops!$L$2:'Ops'!$L$11=J423),VLOOKUP(J423,Ops!$L$2:'Ops'!$M$11,2,FALSE),"000")),IF(OR(Ops!$L$2:'Ops'!$L$11=J423),VLOOKUP(J423,Ops!$L$2:'Ops'!$M$11,2,FALSE),"000")),2)</f>
        <v>14</v>
      </c>
      <c r="R423" s="27"/>
      <c r="S423" s="4" t="s">
        <v>286</v>
      </c>
      <c r="T423" s="4" t="s">
        <v>94</v>
      </c>
      <c r="Z423" s="74" t="str">
        <f t="shared" si="125"/>
        <v>0x00,</v>
      </c>
      <c r="AA423" s="75" t="str">
        <f t="shared" si="126"/>
        <v>0x05,</v>
      </c>
      <c r="AB423" s="75" t="str">
        <f t="shared" si="127"/>
        <v>0x14,</v>
      </c>
      <c r="AC423" s="76"/>
    </row>
    <row r="424" spans="1:29" x14ac:dyDescent="0.3">
      <c r="A424" s="79">
        <f t="shared" si="128"/>
        <v>1278</v>
      </c>
      <c r="B424" s="80" t="str">
        <f t="shared" si="124"/>
        <v>4FE</v>
      </c>
      <c r="D424" s="29"/>
      <c r="F424" s="29"/>
      <c r="G424" s="24"/>
      <c r="H424" s="29" t="s">
        <v>62</v>
      </c>
      <c r="I424" s="4" t="s">
        <v>482</v>
      </c>
      <c r="J424" s="4" t="s">
        <v>63</v>
      </c>
      <c r="K424" s="4" t="s">
        <v>470</v>
      </c>
      <c r="M424" s="14"/>
      <c r="N424" s="4" t="s">
        <v>41</v>
      </c>
      <c r="O424" s="25" t="str" cm="1">
        <f t="array" ref="O424">BIN2HEX(IF(I424&lt;&gt;"",VLOOKUP(I424,Ops!$I$2:'Ops'!$J$15,2,FALSE),IF(ISNUMBER(SEARCH("BR",D424)),"001","000"))&amp;IF(D424&lt;&gt;"",VLOOKUP(D424,Ops!$B$2:'Ops'!$C$23,2,FALSE),"0")&amp;_xlfn.IFS(ISNUMBER(SEARCH("BR",D424)),VLOOKUP(D424,Ops!$B$3:'Ops'!$D$22,3,FALSE),F424&lt;&gt;"",VLOOKUP(F424,Ops!$R$2:'Ops'!$S$11,2),L424&lt;&gt;"",VLOOKUP(L424,Ops!$R$2:'Ops'!$S$25,2,FALSE),TRUE,"0000"),2)</f>
        <v>00</v>
      </c>
      <c r="P424" s="26" t="str">
        <f>RIGHT(IF($E424&lt;&gt;"",_xlfn.XLOOKUP($E424,$C$4:$C$681,$B$4:$B$681,"NO LABEL"),BIN2HEX(IF(N424="CarryEn","1","0")&amp;IF(M424="SubXY","1","0")&amp;IF(H424&lt;&gt;"",VLOOKUP(H424,Ops!$F$2:'Ops'!$G$20,2,FALSE),"000000"),2)),2)</f>
        <v>85</v>
      </c>
      <c r="Q424" s="26" t="str" cm="1">
        <f t="array" ref="Q424">BIN2HEX(_xlfn.IFS(D424="HWINTEN","10",G424="KeyAck","01",G424="InitLp8","01",TRUE,"00")&amp;IF(OR(Ops!$O$2:'Ops'!$O$13=K424),VLOOKUP(K424,Ops!$O$2:'Ops'!$P$13,2,FALSE),"000")&amp;IF(E424&lt;&gt;"",IF(LEN(_xlfn.XLOOKUP($E424,$C$5:$C$681,$B$5:$B$681,0))=3,HEX2BIN(LEFT(_xlfn.XLOOKUP($E424,$C$5:$C$681,$B$5:$B$681,0),1),3),IF(OR(Ops!$L$2:'Ops'!$L$11=J424),VLOOKUP(J424,Ops!$L$2:'Ops'!$M$11,2,FALSE),"000")),IF(OR(Ops!$L$2:'Ops'!$L$11=J424),VLOOKUP(J424,Ops!$L$2:'Ops'!$M$11,2,FALSE),"000")),2)</f>
        <v>14</v>
      </c>
      <c r="R424" s="27"/>
      <c r="Z424" s="74" t="str">
        <f t="shared" si="125"/>
        <v>0x00,</v>
      </c>
      <c r="AA424" s="75" t="str">
        <f t="shared" si="126"/>
        <v>0x85,</v>
      </c>
      <c r="AB424" s="75" t="str">
        <f t="shared" si="127"/>
        <v>0x14,</v>
      </c>
      <c r="AC424" s="76"/>
    </row>
    <row r="425" spans="1:29" x14ac:dyDescent="0.3">
      <c r="A425" s="79">
        <f t="shared" ref="A425:A439" si="129">A424+3</f>
        <v>1281</v>
      </c>
      <c r="B425" s="80" t="str">
        <f t="shared" ref="B425:B434" si="130">DEC2HEX(A425)</f>
        <v>501</v>
      </c>
      <c r="D425" s="29"/>
      <c r="F425" s="29"/>
      <c r="G425" s="24"/>
      <c r="H425" s="29" t="s">
        <v>62</v>
      </c>
      <c r="I425" s="4" t="s">
        <v>482</v>
      </c>
      <c r="J425" s="4" t="s">
        <v>63</v>
      </c>
      <c r="K425" s="4" t="s">
        <v>470</v>
      </c>
      <c r="M425" s="14"/>
      <c r="N425" s="4" t="s">
        <v>41</v>
      </c>
      <c r="O425" s="25" t="str" cm="1">
        <f t="array" ref="O425">BIN2HEX(IF(I425&lt;&gt;"",VLOOKUP(I425,Ops!$I$2:'Ops'!$J$15,2,FALSE),IF(ISNUMBER(SEARCH("BR",D425)),"001","000"))&amp;IF(D425&lt;&gt;"",VLOOKUP(D425,Ops!$B$2:'Ops'!$C$23,2,FALSE),"0")&amp;_xlfn.IFS(ISNUMBER(SEARCH("BR",D425)),VLOOKUP(D425,Ops!$B$3:'Ops'!$D$22,3,FALSE),F425&lt;&gt;"",VLOOKUP(F425,Ops!$R$2:'Ops'!$S$11,2),L425&lt;&gt;"",VLOOKUP(L425,Ops!$R$2:'Ops'!$S$25,2,FALSE),TRUE,"0000"),2)</f>
        <v>00</v>
      </c>
      <c r="P425" s="26" t="str">
        <f>RIGHT(IF($E425&lt;&gt;"",_xlfn.XLOOKUP($E425,$C$4:$C$681,$B$4:$B$681,"NO LABEL"),BIN2HEX(IF(N425="CarryEn","1","0")&amp;IF(M425="SubXY","1","0")&amp;IF(H425&lt;&gt;"",VLOOKUP(H425,Ops!$F$2:'Ops'!$G$20,2,FALSE),"000000"),2)),2)</f>
        <v>85</v>
      </c>
      <c r="Q425" s="26" t="str" cm="1">
        <f t="array" ref="Q425">BIN2HEX(_xlfn.IFS(D425="HWINTEN","10",G425="KeyAck","01",G425="InitLp8","01",TRUE,"00")&amp;IF(OR(Ops!$O$2:'Ops'!$O$13=K425),VLOOKUP(K425,Ops!$O$2:'Ops'!$P$13,2,FALSE),"000")&amp;IF(E425&lt;&gt;"",IF(LEN(_xlfn.XLOOKUP($E425,$C$5:$C$681,$B$5:$B$681,0))=3,HEX2BIN(LEFT(_xlfn.XLOOKUP($E425,$C$5:$C$681,$B$5:$B$681,0),1),3),IF(OR(Ops!$L$2:'Ops'!$L$11=J425),VLOOKUP(J425,Ops!$L$2:'Ops'!$M$11,2,FALSE),"000")),IF(OR(Ops!$L$2:'Ops'!$L$11=J425),VLOOKUP(J425,Ops!$L$2:'Ops'!$M$11,2,FALSE),"000")),2)</f>
        <v>14</v>
      </c>
      <c r="R425" s="27"/>
      <c r="Z425" s="74" t="str">
        <f t="shared" si="125"/>
        <v>0x00,</v>
      </c>
      <c r="AA425" s="75" t="str">
        <f t="shared" si="126"/>
        <v>0x85,</v>
      </c>
      <c r="AB425" s="75" t="str">
        <f t="shared" si="127"/>
        <v>0x14,</v>
      </c>
      <c r="AC425" s="76"/>
    </row>
    <row r="426" spans="1:29" x14ac:dyDescent="0.3">
      <c r="A426" s="79">
        <f t="shared" si="129"/>
        <v>1284</v>
      </c>
      <c r="B426" s="80" t="str">
        <f t="shared" si="130"/>
        <v>504</v>
      </c>
      <c r="D426" s="29"/>
      <c r="F426" s="29"/>
      <c r="G426" s="24"/>
      <c r="H426" s="29" t="s">
        <v>62</v>
      </c>
      <c r="I426" s="4" t="s">
        <v>482</v>
      </c>
      <c r="J426" s="4" t="s">
        <v>63</v>
      </c>
      <c r="K426" s="4" t="s">
        <v>470</v>
      </c>
      <c r="M426" s="14"/>
      <c r="N426" s="4" t="s">
        <v>41</v>
      </c>
      <c r="O426" s="25" t="str" cm="1">
        <f t="array" ref="O426">BIN2HEX(IF(I426&lt;&gt;"",VLOOKUP(I426,Ops!$I$2:'Ops'!$J$15,2,FALSE),IF(ISNUMBER(SEARCH("BR",D426)),"001","000"))&amp;IF(D426&lt;&gt;"",VLOOKUP(D426,Ops!$B$2:'Ops'!$C$23,2,FALSE),"0")&amp;_xlfn.IFS(ISNUMBER(SEARCH("BR",D426)),VLOOKUP(D426,Ops!$B$3:'Ops'!$D$22,3,FALSE),F426&lt;&gt;"",VLOOKUP(F426,Ops!$R$2:'Ops'!$S$11,2),L426&lt;&gt;"",VLOOKUP(L426,Ops!$R$2:'Ops'!$S$25,2,FALSE),TRUE,"0000"),2)</f>
        <v>00</v>
      </c>
      <c r="P426" s="26" t="str">
        <f>RIGHT(IF($E426&lt;&gt;"",_xlfn.XLOOKUP($E426,$C$4:$C$681,$B$4:$B$681,"NO LABEL"),BIN2HEX(IF(N426="CarryEn","1","0")&amp;IF(M426="SubXY","1","0")&amp;IF(H426&lt;&gt;"",VLOOKUP(H426,Ops!$F$2:'Ops'!$G$20,2,FALSE),"000000"),2)),2)</f>
        <v>85</v>
      </c>
      <c r="Q426" s="26" t="str" cm="1">
        <f t="array" ref="Q426">BIN2HEX(_xlfn.IFS(D426="HWINTEN","10",G426="KeyAck","01",G426="InitLp8","01",TRUE,"00")&amp;IF(OR(Ops!$O$2:'Ops'!$O$13=K426),VLOOKUP(K426,Ops!$O$2:'Ops'!$P$13,2,FALSE),"000")&amp;IF(E426&lt;&gt;"",IF(LEN(_xlfn.XLOOKUP($E426,$C$5:$C$681,$B$5:$B$681,0))=3,HEX2BIN(LEFT(_xlfn.XLOOKUP($E426,$C$5:$C$681,$B$5:$B$681,0),1),3),IF(OR(Ops!$L$2:'Ops'!$L$11=J426),VLOOKUP(J426,Ops!$L$2:'Ops'!$M$11,2,FALSE),"000")),IF(OR(Ops!$L$2:'Ops'!$L$11=J426),VLOOKUP(J426,Ops!$L$2:'Ops'!$M$11,2,FALSE),"000")),2)</f>
        <v>14</v>
      </c>
      <c r="R426" s="27"/>
      <c r="Z426" s="74" t="str">
        <f t="shared" si="125"/>
        <v>0x00,</v>
      </c>
      <c r="AA426" s="75" t="str">
        <f t="shared" si="126"/>
        <v>0x85,</v>
      </c>
      <c r="AB426" s="75" t="str">
        <f t="shared" si="127"/>
        <v>0x14,</v>
      </c>
      <c r="AC426" s="76"/>
    </row>
    <row r="427" spans="1:29" x14ac:dyDescent="0.3">
      <c r="A427" s="79">
        <f t="shared" si="129"/>
        <v>1287</v>
      </c>
      <c r="B427" s="80" t="str">
        <f t="shared" si="130"/>
        <v>507</v>
      </c>
      <c r="D427" s="29"/>
      <c r="F427" s="29"/>
      <c r="G427" s="24"/>
      <c r="H427" s="29" t="s">
        <v>62</v>
      </c>
      <c r="I427" s="4" t="s">
        <v>482</v>
      </c>
      <c r="J427" s="4" t="s">
        <v>63</v>
      </c>
      <c r="K427" s="4" t="s">
        <v>470</v>
      </c>
      <c r="M427" s="14"/>
      <c r="N427" s="4" t="s">
        <v>41</v>
      </c>
      <c r="O427" s="25" t="str" cm="1">
        <f t="array" ref="O427">BIN2HEX(IF(I427&lt;&gt;"",VLOOKUP(I427,Ops!$I$2:'Ops'!$J$15,2,FALSE),IF(ISNUMBER(SEARCH("BR",D427)),"001","000"))&amp;IF(D427&lt;&gt;"",VLOOKUP(D427,Ops!$B$2:'Ops'!$C$23,2,FALSE),"0")&amp;_xlfn.IFS(ISNUMBER(SEARCH("BR",D427)),VLOOKUP(D427,Ops!$B$3:'Ops'!$D$22,3,FALSE),F427&lt;&gt;"",VLOOKUP(F427,Ops!$R$2:'Ops'!$S$11,2),L427&lt;&gt;"",VLOOKUP(L427,Ops!$R$2:'Ops'!$S$25,2,FALSE),TRUE,"0000"),2)</f>
        <v>00</v>
      </c>
      <c r="P427" s="26" t="str">
        <f>RIGHT(IF($E427&lt;&gt;"",_xlfn.XLOOKUP($E427,$C$4:$C$681,$B$4:$B$681,"NO LABEL"),BIN2HEX(IF(N427="CarryEn","1","0")&amp;IF(M427="SubXY","1","0")&amp;IF(H427&lt;&gt;"",VLOOKUP(H427,Ops!$F$2:'Ops'!$G$20,2,FALSE),"000000"),2)),2)</f>
        <v>85</v>
      </c>
      <c r="Q427" s="26" t="str" cm="1">
        <f t="array" ref="Q427">BIN2HEX(_xlfn.IFS(D427="HWINTEN","10",G427="KeyAck","01",G427="InitLp8","01",TRUE,"00")&amp;IF(OR(Ops!$O$2:'Ops'!$O$13=K427),VLOOKUP(K427,Ops!$O$2:'Ops'!$P$13,2,FALSE),"000")&amp;IF(E427&lt;&gt;"",IF(LEN(_xlfn.XLOOKUP($E427,$C$5:$C$681,$B$5:$B$681,0))=3,HEX2BIN(LEFT(_xlfn.XLOOKUP($E427,$C$5:$C$681,$B$5:$B$681,0),1),3),IF(OR(Ops!$L$2:'Ops'!$L$11=J427),VLOOKUP(J427,Ops!$L$2:'Ops'!$M$11,2,FALSE),"000")),IF(OR(Ops!$L$2:'Ops'!$L$11=J427),VLOOKUP(J427,Ops!$L$2:'Ops'!$M$11,2,FALSE),"000")),2)</f>
        <v>14</v>
      </c>
      <c r="R427" s="27"/>
      <c r="Z427" s="74" t="str">
        <f t="shared" si="125"/>
        <v>0x00,</v>
      </c>
      <c r="AA427" s="75" t="str">
        <f t="shared" si="126"/>
        <v>0x85,</v>
      </c>
      <c r="AB427" s="75" t="str">
        <f t="shared" si="127"/>
        <v>0x14,</v>
      </c>
      <c r="AC427" s="76"/>
    </row>
    <row r="428" spans="1:29" x14ac:dyDescent="0.3">
      <c r="A428" s="79">
        <f t="shared" si="129"/>
        <v>1290</v>
      </c>
      <c r="B428" s="80" t="str">
        <f t="shared" si="130"/>
        <v>50A</v>
      </c>
      <c r="D428" s="29"/>
      <c r="F428" s="29"/>
      <c r="G428" s="24"/>
      <c r="H428" s="29" t="s">
        <v>62</v>
      </c>
      <c r="I428" s="4" t="s">
        <v>482</v>
      </c>
      <c r="J428" s="4" t="s">
        <v>63</v>
      </c>
      <c r="K428" s="4" t="s">
        <v>470</v>
      </c>
      <c r="M428" s="14"/>
      <c r="N428" s="4" t="s">
        <v>41</v>
      </c>
      <c r="O428" s="25" t="str" cm="1">
        <f t="array" ref="O428">BIN2HEX(IF(I428&lt;&gt;"",VLOOKUP(I428,Ops!$I$2:'Ops'!$J$15,2,FALSE),IF(ISNUMBER(SEARCH("BR",D428)),"001","000"))&amp;IF(D428&lt;&gt;"",VLOOKUP(D428,Ops!$B$2:'Ops'!$C$23,2,FALSE),"0")&amp;_xlfn.IFS(ISNUMBER(SEARCH("BR",D428)),VLOOKUP(D428,Ops!$B$3:'Ops'!$D$22,3,FALSE),F428&lt;&gt;"",VLOOKUP(F428,Ops!$R$2:'Ops'!$S$11,2),L428&lt;&gt;"",VLOOKUP(L428,Ops!$R$2:'Ops'!$S$25,2,FALSE),TRUE,"0000"),2)</f>
        <v>00</v>
      </c>
      <c r="P428" s="26" t="str">
        <f>RIGHT(IF($E428&lt;&gt;"",_xlfn.XLOOKUP($E428,$C$4:$C$681,$B$4:$B$681,"NO LABEL"),BIN2HEX(IF(N428="CarryEn","1","0")&amp;IF(M428="SubXY","1","0")&amp;IF(H428&lt;&gt;"",VLOOKUP(H428,Ops!$F$2:'Ops'!$G$20,2,FALSE),"000000"),2)),2)</f>
        <v>85</v>
      </c>
      <c r="Q428" s="26" t="str" cm="1">
        <f t="array" ref="Q428">BIN2HEX(_xlfn.IFS(D428="HWINTEN","10",G428="KeyAck","01",G428="InitLp8","01",TRUE,"00")&amp;IF(OR(Ops!$O$2:'Ops'!$O$13=K428),VLOOKUP(K428,Ops!$O$2:'Ops'!$P$13,2,FALSE),"000")&amp;IF(E428&lt;&gt;"",IF(LEN(_xlfn.XLOOKUP($E428,$C$5:$C$681,$B$5:$B$681,0))=3,HEX2BIN(LEFT(_xlfn.XLOOKUP($E428,$C$5:$C$681,$B$5:$B$681,0),1),3),IF(OR(Ops!$L$2:'Ops'!$L$11=J428),VLOOKUP(J428,Ops!$L$2:'Ops'!$M$11,2,FALSE),"000")),IF(OR(Ops!$L$2:'Ops'!$L$11=J428),VLOOKUP(J428,Ops!$L$2:'Ops'!$M$11,2,FALSE),"000")),2)</f>
        <v>14</v>
      </c>
      <c r="R428" s="27"/>
      <c r="Z428" s="74" t="str">
        <f t="shared" si="125"/>
        <v>0x00,</v>
      </c>
      <c r="AA428" s="75" t="str">
        <f t="shared" si="126"/>
        <v>0x85,</v>
      </c>
      <c r="AB428" s="75" t="str">
        <f t="shared" si="127"/>
        <v>0x14,</v>
      </c>
      <c r="AC428" s="76"/>
    </row>
    <row r="429" spans="1:29" x14ac:dyDescent="0.3">
      <c r="A429" s="79">
        <f t="shared" si="129"/>
        <v>1293</v>
      </c>
      <c r="B429" s="80" t="str">
        <f t="shared" si="130"/>
        <v>50D</v>
      </c>
      <c r="D429" s="29"/>
      <c r="F429" s="29"/>
      <c r="G429" s="24"/>
      <c r="H429" s="29" t="s">
        <v>62</v>
      </c>
      <c r="I429" s="4" t="s">
        <v>482</v>
      </c>
      <c r="J429" s="4" t="s">
        <v>63</v>
      </c>
      <c r="K429" s="4" t="s">
        <v>470</v>
      </c>
      <c r="M429" s="14"/>
      <c r="N429" s="4" t="s">
        <v>41</v>
      </c>
      <c r="O429" s="25" t="str" cm="1">
        <f t="array" ref="O429">BIN2HEX(IF(I429&lt;&gt;"",VLOOKUP(I429,Ops!$I$2:'Ops'!$J$15,2,FALSE),IF(ISNUMBER(SEARCH("BR",D429)),"001","000"))&amp;IF(D429&lt;&gt;"",VLOOKUP(D429,Ops!$B$2:'Ops'!$C$23,2,FALSE),"0")&amp;_xlfn.IFS(ISNUMBER(SEARCH("BR",D429)),VLOOKUP(D429,Ops!$B$3:'Ops'!$D$22,3,FALSE),F429&lt;&gt;"",VLOOKUP(F429,Ops!$R$2:'Ops'!$S$11,2),L429&lt;&gt;"",VLOOKUP(L429,Ops!$R$2:'Ops'!$S$25,2,FALSE),TRUE,"0000"),2)</f>
        <v>00</v>
      </c>
      <c r="P429" s="26" t="str">
        <f>RIGHT(IF($E429&lt;&gt;"",_xlfn.XLOOKUP($E429,$C$4:$C$681,$B$4:$B$681,"NO LABEL"),BIN2HEX(IF(N429="CarryEn","1","0")&amp;IF(M429="SubXY","1","0")&amp;IF(H429&lt;&gt;"",VLOOKUP(H429,Ops!$F$2:'Ops'!$G$20,2,FALSE),"000000"),2)),2)</f>
        <v>85</v>
      </c>
      <c r="Q429" s="26" t="str" cm="1">
        <f t="array" ref="Q429">BIN2HEX(_xlfn.IFS(D429="HWINTEN","10",G429="KeyAck","01",G429="InitLp8","01",TRUE,"00")&amp;IF(OR(Ops!$O$2:'Ops'!$O$13=K429),VLOOKUP(K429,Ops!$O$2:'Ops'!$P$13,2,FALSE),"000")&amp;IF(E429&lt;&gt;"",IF(LEN(_xlfn.XLOOKUP($E429,$C$5:$C$681,$B$5:$B$681,0))=3,HEX2BIN(LEFT(_xlfn.XLOOKUP($E429,$C$5:$C$681,$B$5:$B$681,0),1),3),IF(OR(Ops!$L$2:'Ops'!$L$11=J429),VLOOKUP(J429,Ops!$L$2:'Ops'!$M$11,2,FALSE),"000")),IF(OR(Ops!$L$2:'Ops'!$L$11=J429),VLOOKUP(J429,Ops!$L$2:'Ops'!$M$11,2,FALSE),"000")),2)</f>
        <v>14</v>
      </c>
      <c r="R429" s="27"/>
      <c r="Z429" s="74" t="str">
        <f t="shared" si="115"/>
        <v>0x00,</v>
      </c>
      <c r="AA429" s="75" t="str">
        <f t="shared" si="116"/>
        <v>0x85,</v>
      </c>
      <c r="AB429" s="75" t="str">
        <f t="shared" si="117"/>
        <v>0x14,</v>
      </c>
      <c r="AC429" s="76"/>
    </row>
    <row r="430" spans="1:29" x14ac:dyDescent="0.3">
      <c r="A430" s="79">
        <f t="shared" si="129"/>
        <v>1296</v>
      </c>
      <c r="B430" s="80" t="str">
        <f t="shared" si="130"/>
        <v>510</v>
      </c>
      <c r="D430" s="29"/>
      <c r="F430" s="29"/>
      <c r="G430" s="24"/>
      <c r="H430" s="29" t="s">
        <v>62</v>
      </c>
      <c r="I430" s="4" t="s">
        <v>482</v>
      </c>
      <c r="J430" s="4" t="s">
        <v>63</v>
      </c>
      <c r="K430" s="4" t="s">
        <v>470</v>
      </c>
      <c r="M430" s="14"/>
      <c r="N430" s="4" t="s">
        <v>41</v>
      </c>
      <c r="O430" s="25" t="str" cm="1">
        <f t="array" ref="O430">BIN2HEX(IF(I430&lt;&gt;"",VLOOKUP(I430,Ops!$I$2:'Ops'!$J$15,2,FALSE),IF(ISNUMBER(SEARCH("BR",D430)),"001","000"))&amp;IF(D430&lt;&gt;"",VLOOKUP(D430,Ops!$B$2:'Ops'!$C$23,2,FALSE),"0")&amp;_xlfn.IFS(ISNUMBER(SEARCH("BR",D430)),VLOOKUP(D430,Ops!$B$3:'Ops'!$D$22,3,FALSE),F430&lt;&gt;"",VLOOKUP(F430,Ops!$R$2:'Ops'!$S$11,2),L430&lt;&gt;"",VLOOKUP(L430,Ops!$R$2:'Ops'!$S$25,2,FALSE),TRUE,"0000"),2)</f>
        <v>00</v>
      </c>
      <c r="P430" s="26" t="str">
        <f>RIGHT(IF($E430&lt;&gt;"",_xlfn.XLOOKUP($E430,$C$4:$C$681,$B$4:$B$681,"NO LABEL"),BIN2HEX(IF(N430="CarryEn","1","0")&amp;IF(M430="SubXY","1","0")&amp;IF(H430&lt;&gt;"",VLOOKUP(H430,Ops!$F$2:'Ops'!$G$20,2,FALSE),"000000"),2)),2)</f>
        <v>85</v>
      </c>
      <c r="Q430" s="26" t="str" cm="1">
        <f t="array" ref="Q430">BIN2HEX(_xlfn.IFS(D430="HWINTEN","10",G430="KeyAck","01",G430="InitLp8","01",TRUE,"00")&amp;IF(OR(Ops!$O$2:'Ops'!$O$13=K430),VLOOKUP(K430,Ops!$O$2:'Ops'!$P$13,2,FALSE),"000")&amp;IF(E430&lt;&gt;"",IF(LEN(_xlfn.XLOOKUP($E430,$C$5:$C$681,$B$5:$B$681,0))=3,HEX2BIN(LEFT(_xlfn.XLOOKUP($E430,$C$5:$C$681,$B$5:$B$681,0),1),3),IF(OR(Ops!$L$2:'Ops'!$L$11=J430),VLOOKUP(J430,Ops!$L$2:'Ops'!$M$11,2,FALSE),"000")),IF(OR(Ops!$L$2:'Ops'!$L$11=J430),VLOOKUP(J430,Ops!$L$2:'Ops'!$M$11,2,FALSE),"000")),2)</f>
        <v>14</v>
      </c>
      <c r="R430" s="27"/>
      <c r="Z430" s="74" t="str">
        <f t="shared" si="115"/>
        <v>0x00,</v>
      </c>
      <c r="AA430" s="75" t="str">
        <f t="shared" si="116"/>
        <v>0x85,</v>
      </c>
      <c r="AB430" s="75" t="str">
        <f t="shared" si="117"/>
        <v>0x14,</v>
      </c>
      <c r="AC430" s="76"/>
    </row>
    <row r="431" spans="1:29" x14ac:dyDescent="0.3">
      <c r="A431" s="79">
        <f t="shared" si="129"/>
        <v>1299</v>
      </c>
      <c r="B431" s="80" t="str">
        <f t="shared" si="130"/>
        <v>513</v>
      </c>
      <c r="D431" s="29" t="s">
        <v>86</v>
      </c>
      <c r="E431" s="4" t="s">
        <v>93</v>
      </c>
      <c r="F431" s="29"/>
      <c r="G431" s="24"/>
      <c r="H431" s="29"/>
      <c r="M431" s="14"/>
      <c r="O431" s="25" t="str" cm="1">
        <f t="array" ref="O431">BIN2HEX(IF(I431&lt;&gt;"",VLOOKUP(I431,Ops!$I$2:'Ops'!$J$15,2,FALSE),IF(ISNUMBER(SEARCH("BR",D431)),"001","000"))&amp;IF(D431&lt;&gt;"",VLOOKUP(D431,Ops!$B$2:'Ops'!$C$23,2,FALSE),"0")&amp;_xlfn.IFS(ISNUMBER(SEARCH("BR",D431)),VLOOKUP(D431,Ops!$B$3:'Ops'!$D$22,3,FALSE),F431&lt;&gt;"",VLOOKUP(F431,Ops!$R$2:'Ops'!$S$11,2),L431&lt;&gt;"",VLOOKUP(L431,Ops!$R$2:'Ops'!$S$25,2,FALSE),TRUE,"0000"),2)</f>
        <v>3D</v>
      </c>
      <c r="P431" s="26" t="str">
        <f>RIGHT(IF($E431&lt;&gt;"",_xlfn.XLOOKUP($E431,$C$4:$C$681,$B$4:$B$681,"NO LABEL"),BIN2HEX(IF(N431="CarryEn","1","0")&amp;IF(M431="SubXY","1","0")&amp;IF(H431&lt;&gt;"",VLOOKUP(H431,Ops!$F$2:'Ops'!$G$20,2,FALSE),"000000"),2)),2)</f>
        <v>19</v>
      </c>
      <c r="Q431" s="26" t="str" cm="1">
        <f t="array" ref="Q431">BIN2HEX(_xlfn.IFS(D431="HWINTEN","10",G431="KeyAck","01",G431="InitLp8","01",TRUE,"00")&amp;IF(OR(Ops!$O$2:'Ops'!$O$13=K431),VLOOKUP(K431,Ops!$O$2:'Ops'!$P$13,2,FALSE),"000")&amp;IF(E431&lt;&gt;"",IF(LEN(_xlfn.XLOOKUP($E431,$C$5:$C$681,$B$5:$B$681,0))=3,HEX2BIN(LEFT(_xlfn.XLOOKUP($E431,$C$5:$C$681,$B$5:$B$681,0),1),3),IF(OR(Ops!$L$2:'Ops'!$L$11=J431),VLOOKUP(J431,Ops!$L$2:'Ops'!$M$11,2,FALSE),"000")),IF(OR(Ops!$L$2:'Ops'!$L$11=J431),VLOOKUP(J431,Ops!$L$2:'Ops'!$M$11,2,FALSE),"000")),2)</f>
        <v>05</v>
      </c>
      <c r="R431" s="27"/>
      <c r="S431" s="4" t="s">
        <v>91</v>
      </c>
      <c r="Z431" s="74" t="str">
        <f t="shared" si="115"/>
        <v>0x3D,</v>
      </c>
      <c r="AA431" s="75" t="str">
        <f t="shared" si="116"/>
        <v>0x19,</v>
      </c>
      <c r="AB431" s="75" t="str">
        <f t="shared" si="117"/>
        <v>0x05,</v>
      </c>
      <c r="AC431" s="76"/>
    </row>
    <row r="432" spans="1:29" x14ac:dyDescent="0.3">
      <c r="A432" s="79">
        <f t="shared" si="129"/>
        <v>1302</v>
      </c>
      <c r="B432" s="80" t="str">
        <f t="shared" si="130"/>
        <v>516</v>
      </c>
      <c r="D432" s="29" t="s">
        <v>0</v>
      </c>
      <c r="E432" s="4" t="s">
        <v>97</v>
      </c>
      <c r="F432" s="29"/>
      <c r="G432" s="24"/>
      <c r="H432" s="29"/>
      <c r="M432" s="14"/>
      <c r="O432" s="25" t="str" cm="1">
        <f t="array" ref="O432">BIN2HEX(IF(I432&lt;&gt;"",VLOOKUP(I432,Ops!$I$2:'Ops'!$J$15,2,FALSE),IF(ISNUMBER(SEARCH("BR",D432)),"001","000"))&amp;IF(D432&lt;&gt;"",VLOOKUP(D432,Ops!$B$2:'Ops'!$C$23,2,FALSE),"0")&amp;_xlfn.IFS(ISNUMBER(SEARCH("BR",D432)),VLOOKUP(D432,Ops!$B$3:'Ops'!$D$22,3,FALSE),F432&lt;&gt;"",VLOOKUP(F432,Ops!$R$2:'Ops'!$S$11,2),L432&lt;&gt;"",VLOOKUP(L432,Ops!$R$2:'Ops'!$S$25,2,FALSE),TRUE,"0000"),2)</f>
        <v>10</v>
      </c>
      <c r="P432" s="26" t="str">
        <f>RIGHT(IF($E432&lt;&gt;"",_xlfn.XLOOKUP($E432,$C$4:$C$681,$B$4:$B$681,"NO LABEL"),BIN2HEX(IF(N432="CarryEn","1","0")&amp;IF(M432="SubXY","1","0")&amp;IF(H432&lt;&gt;"",VLOOKUP(H432,Ops!$F$2:'Ops'!$G$20,2,FALSE),"000000"),2)),2)</f>
        <v>1C</v>
      </c>
      <c r="Q432" s="26" t="str" cm="1">
        <f t="array" ref="Q432">BIN2HEX(_xlfn.IFS(D432="HWINTEN","10",G432="KeyAck","01",G432="InitLp8","01",TRUE,"00")&amp;IF(OR(Ops!$O$2:'Ops'!$O$13=K432),VLOOKUP(K432,Ops!$O$2:'Ops'!$P$13,2,FALSE),"000")&amp;IF(E432&lt;&gt;"",IF(LEN(_xlfn.XLOOKUP($E432,$C$5:$C$681,$B$5:$B$681,0))=3,HEX2BIN(LEFT(_xlfn.XLOOKUP($E432,$C$5:$C$681,$B$5:$B$681,0),1),3),IF(OR(Ops!$L$2:'Ops'!$L$11=J432),VLOOKUP(J432,Ops!$L$2:'Ops'!$M$11,2,FALSE),"000")),IF(OR(Ops!$L$2:'Ops'!$L$11=J432),VLOOKUP(J432,Ops!$L$2:'Ops'!$M$11,2,FALSE),"000")),2)</f>
        <v>05</v>
      </c>
      <c r="R432" s="27"/>
      <c r="S432" s="4" t="s">
        <v>92</v>
      </c>
      <c r="Z432" s="74" t="str">
        <f t="shared" si="115"/>
        <v>0x10,</v>
      </c>
      <c r="AA432" s="75" t="str">
        <f t="shared" si="116"/>
        <v>0x1C,</v>
      </c>
      <c r="AB432" s="75" t="str">
        <f t="shared" si="117"/>
        <v>0x05,</v>
      </c>
      <c r="AC432" s="76"/>
    </row>
    <row r="433" spans="1:29" x14ac:dyDescent="0.3">
      <c r="A433" s="79">
        <f t="shared" si="129"/>
        <v>1305</v>
      </c>
      <c r="B433" s="80" t="str">
        <f t="shared" si="130"/>
        <v>519</v>
      </c>
      <c r="C433" s="4" t="s">
        <v>93</v>
      </c>
      <c r="D433" s="29"/>
      <c r="F433" s="29"/>
      <c r="G433" s="24"/>
      <c r="H433" s="29"/>
      <c r="J433" s="4" t="s">
        <v>314</v>
      </c>
      <c r="K433" s="4" t="s">
        <v>313</v>
      </c>
      <c r="L433" s="4" t="s">
        <v>292</v>
      </c>
      <c r="M433" s="14"/>
      <c r="O433" s="25" t="str" cm="1">
        <f t="array" ref="O433">BIN2HEX(IF(I433&lt;&gt;"",VLOOKUP(I433,Ops!$I$2:'Ops'!$J$15,2,FALSE),IF(ISNUMBER(SEARCH("BR",D433)),"001","000"))&amp;IF(D433&lt;&gt;"",VLOOKUP(D433,Ops!$B$2:'Ops'!$C$23,2,FALSE),"0")&amp;_xlfn.IFS(ISNUMBER(SEARCH("BR",D433)),VLOOKUP(D433,Ops!$B$3:'Ops'!$D$22,3,FALSE),F433&lt;&gt;"",VLOOKUP(F433,Ops!$R$2:'Ops'!$S$11,2),L433&lt;&gt;"",VLOOKUP(L433,Ops!$R$2:'Ops'!$S$25,2,FALSE),TRUE,"0000"),2)</f>
        <v>05</v>
      </c>
      <c r="P433" s="26" t="str">
        <f>RIGHT(IF($E433&lt;&gt;"",_xlfn.XLOOKUP($E433,$C$4:$C$681,$B$4:$B$681,"NO LABEL"),BIN2HEX(IF(N433="CarryEn","1","0")&amp;IF(M433="SubXY","1","0")&amp;IF(H433&lt;&gt;"",VLOOKUP(H433,Ops!$F$2:'Ops'!$G$20,2,FALSE),"000000"),2)),2)</f>
        <v>00</v>
      </c>
      <c r="Q433" s="26" t="str" cm="1">
        <f t="array" ref="Q433">BIN2HEX(_xlfn.IFS(D433="HWINTEN","10",G433="KeyAck","01",G433="InitLp8","01",TRUE,"00")&amp;IF(OR(Ops!$O$2:'Ops'!$O$13=K433),VLOOKUP(K433,Ops!$O$2:'Ops'!$P$13,2,FALSE),"000")&amp;IF(E433&lt;&gt;"",IF(LEN(_xlfn.XLOOKUP($E433,$C$5:$C$681,$B$5:$B$681,0))=3,HEX2BIN(LEFT(_xlfn.XLOOKUP($E433,$C$5:$C$681,$B$5:$B$681,0),1),3),IF(OR(Ops!$L$2:'Ops'!$L$11=J433),VLOOKUP(J433,Ops!$L$2:'Ops'!$M$11,2,FALSE),"000")),IF(OR(Ops!$L$2:'Ops'!$L$11=J433),VLOOKUP(J433,Ops!$L$2:'Ops'!$M$11,2,FALSE),"000")),2)</f>
        <v>36</v>
      </c>
      <c r="R433" s="27"/>
      <c r="S433" s="4" t="s">
        <v>95</v>
      </c>
      <c r="Z433" s="74" t="str">
        <f t="shared" si="115"/>
        <v>0x05,</v>
      </c>
      <c r="AA433" s="75" t="str">
        <f t="shared" si="116"/>
        <v>0x00,</v>
      </c>
      <c r="AB433" s="75" t="str">
        <f t="shared" si="117"/>
        <v>0x36,</v>
      </c>
      <c r="AC433" s="76"/>
    </row>
    <row r="434" spans="1:29" x14ac:dyDescent="0.3">
      <c r="A434" s="79">
        <f t="shared" si="129"/>
        <v>1308</v>
      </c>
      <c r="B434" s="80" t="str">
        <f t="shared" si="130"/>
        <v>51C</v>
      </c>
      <c r="C434" s="4" t="s">
        <v>97</v>
      </c>
      <c r="D434" s="29"/>
      <c r="F434" s="29"/>
      <c r="G434" s="24"/>
      <c r="H434" s="29"/>
      <c r="J434" s="4" t="s">
        <v>314</v>
      </c>
      <c r="L434" s="4" t="s">
        <v>293</v>
      </c>
      <c r="M434" s="14"/>
      <c r="O434" s="25" t="str" cm="1">
        <f t="array" ref="O434">BIN2HEX(IF(I434&lt;&gt;"",VLOOKUP(I434,Ops!$I$2:'Ops'!$J$15,2,FALSE),IF(ISNUMBER(SEARCH("BR",D434)),"001","000"))&amp;IF(D434&lt;&gt;"",VLOOKUP(D434,Ops!$B$2:'Ops'!$C$23,2,FALSE),"0")&amp;_xlfn.IFS(ISNUMBER(SEARCH("BR",D434)),VLOOKUP(D434,Ops!$B$3:'Ops'!$D$22,3,FALSE),F434&lt;&gt;"",VLOOKUP(F434,Ops!$R$2:'Ops'!$S$11,2),L434&lt;&gt;"",VLOOKUP(L434,Ops!$R$2:'Ops'!$S$25,2,FALSE),TRUE,"0000"),2)</f>
        <v>06</v>
      </c>
      <c r="P434" s="26" t="str">
        <f>RIGHT(IF($E434&lt;&gt;"",_xlfn.XLOOKUP($E434,$C$4:$C$681,$B$4:$B$681,"NO LABEL"),BIN2HEX(IF(N434="CarryEn","1","0")&amp;IF(M434="SubXY","1","0")&amp;IF(H434&lt;&gt;"",VLOOKUP(H434,Ops!$F$2:'Ops'!$G$20,2,FALSE),"000000"),2)),2)</f>
        <v>00</v>
      </c>
      <c r="Q434" s="26" t="str" cm="1">
        <f t="array" ref="Q434">BIN2HEX(_xlfn.IFS(D434="HWINTEN","10",G434="KeyAck","01",G434="InitLp8","01",TRUE,"00")&amp;IF(OR(Ops!$O$2:'Ops'!$O$13=K434),VLOOKUP(K434,Ops!$O$2:'Ops'!$P$13,2,FALSE),"000")&amp;IF(E434&lt;&gt;"",IF(LEN(_xlfn.XLOOKUP($E434,$C$5:$C$681,$B$5:$B$681,0))=3,HEX2BIN(LEFT(_xlfn.XLOOKUP($E434,$C$5:$C$681,$B$5:$B$681,0),1),3),IF(OR(Ops!$L$2:'Ops'!$L$11=J434),VLOOKUP(J434,Ops!$L$2:'Ops'!$M$11,2,FALSE),"000")),IF(OR(Ops!$L$2:'Ops'!$L$11=J434),VLOOKUP(J434,Ops!$L$2:'Ops'!$M$11,2,FALSE),"000")),2)</f>
        <v>06</v>
      </c>
      <c r="R434" s="27"/>
      <c r="S434" s="4" t="s">
        <v>96</v>
      </c>
      <c r="Z434" s="74" t="str">
        <f t="shared" si="115"/>
        <v>0x06,</v>
      </c>
      <c r="AA434" s="75" t="str">
        <f t="shared" si="116"/>
        <v>0x00,</v>
      </c>
      <c r="AB434" s="75" t="str">
        <f t="shared" si="117"/>
        <v>0x06,</v>
      </c>
      <c r="AC434" s="76"/>
    </row>
    <row r="435" spans="1:29" x14ac:dyDescent="0.3">
      <c r="A435" s="79">
        <f t="shared" si="129"/>
        <v>1311</v>
      </c>
      <c r="B435" s="80" t="str">
        <f t="shared" ref="B435:B442" si="131">DEC2HEX(A435)</f>
        <v>51F</v>
      </c>
      <c r="D435" s="29" t="s">
        <v>90</v>
      </c>
      <c r="E435" s="4" t="s">
        <v>620</v>
      </c>
      <c r="F435" s="29"/>
      <c r="G435" s="24"/>
      <c r="H435" s="29"/>
      <c r="M435" s="14"/>
      <c r="O435" s="25" t="str" cm="1">
        <f t="array" ref="O435">BIN2HEX(IF(I435&lt;&gt;"",VLOOKUP(I435,Ops!$I$2:'Ops'!$J$15,2,FALSE),IF(ISNUMBER(SEARCH("BR",D435)),"001","000"))&amp;IF(D435&lt;&gt;"",VLOOKUP(D435,Ops!$B$2:'Ops'!$C$23,2,FALSE),"0")&amp;_xlfn.IFS(ISNUMBER(SEARCH("BR",D435)),VLOOKUP(D435,Ops!$B$3:'Ops'!$D$22,3,FALSE),F435&lt;&gt;"",VLOOKUP(F435,Ops!$R$2:'Ops'!$S$11,2),L435&lt;&gt;"",VLOOKUP(L435,Ops!$R$2:'Ops'!$S$25,2,FALSE),TRUE,"0000"),2)</f>
        <v>38</v>
      </c>
      <c r="P435" s="26" t="str">
        <f>RIGHT(IF($E435&lt;&gt;"",_xlfn.XLOOKUP($E435,$C$4:$C$681,$B$4:$B$681,"NO LABEL"),BIN2HEX(IF(N435="CarryEn","1","0")&amp;IF(M435="SubXY","1","0")&amp;IF(H435&lt;&gt;"",VLOOKUP(H435,Ops!$F$2:'Ops'!$G$20,2,FALSE),"000000"),2)),2)</f>
        <v>25</v>
      </c>
      <c r="Q435" s="26" t="str" cm="1">
        <f t="array" ref="Q435">BIN2HEX(_xlfn.IFS(D435="HWINTEN","10",G435="KeyAck","01",G435="InitLp8","01",TRUE,"00")&amp;IF(OR(Ops!$O$2:'Ops'!$O$13=K435),VLOOKUP(K435,Ops!$O$2:'Ops'!$P$13,2,FALSE),"000")&amp;IF(E435&lt;&gt;"",IF(LEN(_xlfn.XLOOKUP($E435,$C$5:$C$681,$B$5:$B$681,0))=3,HEX2BIN(LEFT(_xlfn.XLOOKUP($E435,$C$5:$C$681,$B$5:$B$681,0),1),3),IF(OR(Ops!$L$2:'Ops'!$L$11=J435),VLOOKUP(J435,Ops!$L$2:'Ops'!$M$11,2,FALSE),"000")),IF(OR(Ops!$L$2:'Ops'!$L$11=J435),VLOOKUP(J435,Ops!$L$2:'Ops'!$M$11,2,FALSE),"000")),2)</f>
        <v>05</v>
      </c>
      <c r="R435" s="27"/>
      <c r="S435" s="4" t="s">
        <v>617</v>
      </c>
      <c r="Z435" s="74" t="str">
        <f>IF(O435="", "};", "0x"&amp;O435&amp;",")</f>
        <v>0x38,</v>
      </c>
      <c r="AA435" s="75" t="str">
        <f t="shared" ref="AA435:AB438" si="132">"0x"&amp;P435&amp;","</f>
        <v>0x25,</v>
      </c>
      <c r="AB435" s="75" t="str">
        <f t="shared" si="132"/>
        <v>0x05,</v>
      </c>
      <c r="AC435" s="76"/>
    </row>
    <row r="436" spans="1:29" x14ac:dyDescent="0.3">
      <c r="A436" s="79">
        <f t="shared" si="129"/>
        <v>1314</v>
      </c>
      <c r="B436" s="80" t="str">
        <f t="shared" si="131"/>
        <v>522</v>
      </c>
      <c r="D436" s="29" t="s">
        <v>0</v>
      </c>
      <c r="E436" s="4" t="s">
        <v>611</v>
      </c>
      <c r="F436" s="29"/>
      <c r="G436" s="24"/>
      <c r="H436" s="29"/>
      <c r="M436" s="14"/>
      <c r="O436" s="25" t="str" cm="1">
        <f t="array" ref="O436">BIN2HEX(IF(I436&lt;&gt;"",VLOOKUP(I436,Ops!$I$2:'Ops'!$J$15,2,FALSE),IF(ISNUMBER(SEARCH("BR",D436)),"001","000"))&amp;IF(D436&lt;&gt;"",VLOOKUP(D436,Ops!$B$2:'Ops'!$C$23,2,FALSE),"0")&amp;_xlfn.IFS(ISNUMBER(SEARCH("BR",D436)),VLOOKUP(D436,Ops!$B$3:'Ops'!$D$22,3,FALSE),F436&lt;&gt;"",VLOOKUP(F436,Ops!$R$2:'Ops'!$S$11,2),L436&lt;&gt;"",VLOOKUP(L436,Ops!$R$2:'Ops'!$S$25,2,FALSE),TRUE,"0000"),2)</f>
        <v>10</v>
      </c>
      <c r="P436" s="26" t="str">
        <f>RIGHT(IF($E436&lt;&gt;"",_xlfn.XLOOKUP($E436,$C$4:$C$681,$B$4:$B$681,"NO LABEL"),BIN2HEX(IF(N436="CarryEn","1","0")&amp;IF(M436="SubXY","1","0")&amp;IF(H436&lt;&gt;"",VLOOKUP(H436,Ops!$F$2:'Ops'!$G$20,2,FALSE),"000000"),2)),2)</f>
        <v>FB</v>
      </c>
      <c r="Q436" s="26" t="str" cm="1">
        <f t="array" ref="Q436">BIN2HEX(_xlfn.IFS(D436="HWINTEN","10",G436="KeyAck","01",G436="InitLp8","01",TRUE,"00")&amp;IF(OR(Ops!$O$2:'Ops'!$O$13=K436),VLOOKUP(K436,Ops!$O$2:'Ops'!$P$13,2,FALSE),"000")&amp;IF(E436&lt;&gt;"",IF(LEN(_xlfn.XLOOKUP($E436,$C$5:$C$681,$B$5:$B$681,0))=3,HEX2BIN(LEFT(_xlfn.XLOOKUP($E436,$C$5:$C$681,$B$5:$B$681,0),1),3),IF(OR(Ops!$L$2:'Ops'!$L$11=J436),VLOOKUP(J436,Ops!$L$2:'Ops'!$M$11,2,FALSE),"000")),IF(OR(Ops!$L$2:'Ops'!$L$11=J436),VLOOKUP(J436,Ops!$L$2:'Ops'!$M$11,2,FALSE),"000")),2)</f>
        <v>04</v>
      </c>
      <c r="R436" s="27"/>
      <c r="S436" s="4" t="s">
        <v>618</v>
      </c>
      <c r="Z436" s="74" t="str">
        <f>IF(O436="", "};", "0x"&amp;O436&amp;",")</f>
        <v>0x10,</v>
      </c>
      <c r="AA436" s="75" t="str">
        <f t="shared" si="132"/>
        <v>0xFB,</v>
      </c>
      <c r="AB436" s="75" t="str">
        <f t="shared" si="132"/>
        <v>0x04,</v>
      </c>
      <c r="AC436" s="76"/>
    </row>
    <row r="437" spans="1:29" x14ac:dyDescent="0.3">
      <c r="A437" s="79">
        <f t="shared" si="129"/>
        <v>1317</v>
      </c>
      <c r="B437" s="80" t="str">
        <f t="shared" si="131"/>
        <v>525</v>
      </c>
      <c r="C437" s="4" t="s">
        <v>620</v>
      </c>
      <c r="D437" s="29" t="s">
        <v>251</v>
      </c>
      <c r="E437" s="4" t="s">
        <v>612</v>
      </c>
      <c r="F437" s="29"/>
      <c r="G437" s="24"/>
      <c r="H437" s="29"/>
      <c r="M437" s="14"/>
      <c r="O437" s="25" t="str" cm="1">
        <f t="array" ref="O437">BIN2HEX(IF(I437&lt;&gt;"",VLOOKUP(I437,Ops!$I$2:'Ops'!$J$15,2,FALSE),IF(ISNUMBER(SEARCH("BR",D437)),"001","000"))&amp;IF(D437&lt;&gt;"",VLOOKUP(D437,Ops!$B$2:'Ops'!$C$23,2,FALSE),"0")&amp;_xlfn.IFS(ISNUMBER(SEARCH("BR",D437)),VLOOKUP(D437,Ops!$B$3:'Ops'!$D$22,3,FALSE),F437&lt;&gt;"",VLOOKUP(F437,Ops!$R$2:'Ops'!$S$11,2),L437&lt;&gt;"",VLOOKUP(L437,Ops!$R$2:'Ops'!$S$25,2,FALSE),TRUE,"0000"),2)</f>
        <v>3F</v>
      </c>
      <c r="P437" s="26" t="str">
        <f>RIGHT(IF($E437&lt;&gt;"",_xlfn.XLOOKUP($E437,$C$4:$C$681,$B$4:$B$681,"NO LABEL"),BIN2HEX(IF(N437="CarryEn","1","0")&amp;IF(M437="SubXY","1","0")&amp;IF(H437&lt;&gt;"",VLOOKUP(H437,Ops!$F$2:'Ops'!$G$20,2,FALSE),"000000"),2)),2)</f>
        <v>EF</v>
      </c>
      <c r="Q437" s="26" t="str" cm="1">
        <f t="array" ref="Q437">BIN2HEX(_xlfn.IFS(D437="HWINTEN","10",G437="KeyAck","01",G437="InitLp8","01",TRUE,"00")&amp;IF(OR(Ops!$O$2:'Ops'!$O$13=K437),VLOOKUP(K437,Ops!$O$2:'Ops'!$P$13,2,FALSE),"000")&amp;IF(E437&lt;&gt;"",IF(LEN(_xlfn.XLOOKUP($E437,$C$5:$C$681,$B$5:$B$681,0))=3,HEX2BIN(LEFT(_xlfn.XLOOKUP($E437,$C$5:$C$681,$B$5:$B$681,0),1),3),IF(OR(Ops!$L$2:'Ops'!$L$11=J437),VLOOKUP(J437,Ops!$L$2:'Ops'!$M$11,2,FALSE),"000")),IF(OR(Ops!$L$2:'Ops'!$L$11=J437),VLOOKUP(J437,Ops!$L$2:'Ops'!$M$11,2,FALSE),"000")),2)</f>
        <v>04</v>
      </c>
      <c r="R437" s="27"/>
      <c r="S437" s="4" t="s">
        <v>619</v>
      </c>
      <c r="Z437" s="74" t="str">
        <f>IF(O437="", "};", "0x"&amp;O437&amp;",")</f>
        <v>0x3F,</v>
      </c>
      <c r="AA437" s="75" t="str">
        <f t="shared" si="132"/>
        <v>0xEF,</v>
      </c>
      <c r="AB437" s="75" t="str">
        <f t="shared" si="132"/>
        <v>0x04,</v>
      </c>
      <c r="AC437" s="76"/>
    </row>
    <row r="438" spans="1:29" x14ac:dyDescent="0.3">
      <c r="A438" s="79">
        <f t="shared" si="129"/>
        <v>1320</v>
      </c>
      <c r="B438" s="80" t="str">
        <f t="shared" si="131"/>
        <v>528</v>
      </c>
      <c r="C438" s="4" t="s">
        <v>322</v>
      </c>
      <c r="D438" s="29" t="s">
        <v>99</v>
      </c>
      <c r="E438" s="4" t="s">
        <v>521</v>
      </c>
      <c r="F438" s="29"/>
      <c r="G438" s="24"/>
      <c r="H438" s="29"/>
      <c r="M438" s="14"/>
      <c r="O438" s="25" t="str" cm="1">
        <f t="array" ref="O438">BIN2HEX(IF(I438&lt;&gt;"",VLOOKUP(I438,Ops!$I$2:'Ops'!$J$15,2,FALSE),IF(ISNUMBER(SEARCH("BR",D438)),"001","000"))&amp;IF(D438&lt;&gt;"",VLOOKUP(D438,Ops!$B$2:'Ops'!$C$23,2,FALSE),"0")&amp;_xlfn.IFS(ISNUMBER(SEARCH("BR",D438)),VLOOKUP(D438,Ops!$B$3:'Ops'!$D$22,3,FALSE),F438&lt;&gt;"",VLOOKUP(F438,Ops!$R$2:'Ops'!$S$11,2),L438&lt;&gt;"",VLOOKUP(L438,Ops!$R$2:'Ops'!$S$25,2,FALSE),TRUE,"0000"),2)</f>
        <v>39</v>
      </c>
      <c r="P438" s="26" t="str">
        <f>RIGHT(IF($E438&lt;&gt;"",_xlfn.XLOOKUP($E438,$C$4:$C$681,$B$4:$B$681,"NO LABEL"),BIN2HEX(IF(N438="CarryEn","1","0")&amp;IF(M438="SubXY","1","0")&amp;IF(H438&lt;&gt;"",VLOOKUP(H438,Ops!$F$2:'Ops'!$G$20,2,FALSE),"000000"),2)),2)</f>
        <v>34</v>
      </c>
      <c r="Q438" s="26" t="str" cm="1">
        <f t="array" ref="Q438">BIN2HEX(_xlfn.IFS(D438="HWINTEN","10",G438="KeyAck","01",G438="InitLp8","01",TRUE,"00")&amp;IF(OR(Ops!$O$2:'Ops'!$O$13=K438),VLOOKUP(K438,Ops!$O$2:'Ops'!$P$13,2,FALSE),"000")&amp;IF(E438&lt;&gt;"",IF(LEN(_xlfn.XLOOKUP($E438,$C$5:$C$681,$B$5:$B$681,0))=3,HEX2BIN(LEFT(_xlfn.XLOOKUP($E438,$C$5:$C$681,$B$5:$B$681,0),1),3),IF(OR(Ops!$L$2:'Ops'!$L$11=J438),VLOOKUP(J438,Ops!$L$2:'Ops'!$M$11,2,FALSE),"000")),IF(OR(Ops!$L$2:'Ops'!$L$11=J438),VLOOKUP(J438,Ops!$L$2:'Ops'!$M$11,2,FALSE),"000")),2)</f>
        <v>05</v>
      </c>
      <c r="R438" s="27"/>
      <c r="S438" s="4" t="s">
        <v>320</v>
      </c>
      <c r="Z438" s="74" t="str">
        <f>IF(O438="", "};", "0x"&amp;O438&amp;",")</f>
        <v>0x39,</v>
      </c>
      <c r="AA438" s="75" t="str">
        <f t="shared" si="132"/>
        <v>0x34,</v>
      </c>
      <c r="AB438" s="75" t="str">
        <f t="shared" si="132"/>
        <v>0x05,</v>
      </c>
      <c r="AC438" s="76"/>
    </row>
    <row r="439" spans="1:29" x14ac:dyDescent="0.3">
      <c r="A439" s="79">
        <f t="shared" si="129"/>
        <v>1323</v>
      </c>
      <c r="B439" s="80" t="str">
        <f t="shared" si="131"/>
        <v>52B</v>
      </c>
      <c r="D439" s="29"/>
      <c r="F439" s="29"/>
      <c r="G439" s="24"/>
      <c r="H439" s="29" t="s">
        <v>486</v>
      </c>
      <c r="I439" s="4" t="s">
        <v>482</v>
      </c>
      <c r="J439" s="4" t="s">
        <v>191</v>
      </c>
      <c r="M439" s="14"/>
      <c r="O439" s="25" t="str" cm="1">
        <f t="array" ref="O439">BIN2HEX(IF(I439&lt;&gt;"",VLOOKUP(I439,Ops!$I$2:'Ops'!$J$15,2,FALSE),IF(ISNUMBER(SEARCH("BR",D439)),"001","000"))&amp;IF(D439&lt;&gt;"",VLOOKUP(D439,Ops!$B$2:'Ops'!$C$23,2,FALSE),"0")&amp;_xlfn.IFS(ISNUMBER(SEARCH("BR",D439)),VLOOKUP(D439,Ops!$B$3:'Ops'!$D$22,3,FALSE),F439&lt;&gt;"",VLOOKUP(F439,Ops!$R$2:'Ops'!$S$11,2),L439&lt;&gt;"",VLOOKUP(L439,Ops!$R$2:'Ops'!$S$25,2,FALSE),TRUE,"0000"),2)</f>
        <v>00</v>
      </c>
      <c r="P439" s="26" t="str">
        <f>RIGHT(IF($E439&lt;&gt;"",_xlfn.XLOOKUP($E439,$C$4:$C$681,$B$4:$B$681,"NO LABEL"),BIN2HEX(IF(N439="CarryEn","1","0")&amp;IF(M439="SubXY","1","0")&amp;IF(H439&lt;&gt;"",VLOOKUP(H439,Ops!$F$2:'Ops'!$G$20,2,FALSE),"000000"),2)),2)</f>
        <v>01</v>
      </c>
      <c r="Q439" s="26" t="str" cm="1">
        <f t="array" ref="Q439">BIN2HEX(_xlfn.IFS(D439="HWINTEN","10",G439="KeyAck","01",G439="InitLp8","01",TRUE,"00")&amp;IF(OR(Ops!$O$2:'Ops'!$O$13=K439),VLOOKUP(K439,Ops!$O$2:'Ops'!$P$13,2,FALSE),"000")&amp;IF(E439&lt;&gt;"",IF(LEN(_xlfn.XLOOKUP($E439,$C$5:$C$681,$B$5:$B$681,0))=3,HEX2BIN(LEFT(_xlfn.XLOOKUP($E439,$C$5:$C$681,$B$5:$B$681,0),1),3),IF(OR(Ops!$L$2:'Ops'!$L$11=J439),VLOOKUP(J439,Ops!$L$2:'Ops'!$M$11,2,FALSE),"000")),IF(OR(Ops!$L$2:'Ops'!$L$11=J439),VLOOKUP(J439,Ops!$L$2:'Ops'!$M$11,2,FALSE),"000")),2)</f>
        <v>00</v>
      </c>
      <c r="R439" s="27"/>
      <c r="S439" s="4" t="s">
        <v>101</v>
      </c>
      <c r="Z439" s="74" t="str">
        <f t="shared" ref="Z439:Z466" si="133">IF(O439="", "};", "0x"&amp;O439&amp;",")</f>
        <v>0x00,</v>
      </c>
      <c r="AA439" s="75" t="str">
        <f t="shared" ref="AA439:AA466" si="134">"0x"&amp;P439&amp;","</f>
        <v>0x01,</v>
      </c>
      <c r="AB439" s="75" t="str">
        <f t="shared" ref="AB439:AB466" si="135">"0x"&amp;Q439&amp;","</f>
        <v>0x00,</v>
      </c>
      <c r="AC439" s="76"/>
    </row>
    <row r="440" spans="1:29" x14ac:dyDescent="0.3">
      <c r="A440" s="79">
        <f t="shared" ref="A440:A453" si="136">A439+3</f>
        <v>1326</v>
      </c>
      <c r="B440" s="80" t="str">
        <f t="shared" si="131"/>
        <v>52E</v>
      </c>
      <c r="D440" s="29"/>
      <c r="F440" s="29"/>
      <c r="G440" s="24"/>
      <c r="H440" s="37"/>
      <c r="J440" s="4" t="s">
        <v>314</v>
      </c>
      <c r="K440" s="4" t="s">
        <v>313</v>
      </c>
      <c r="L440" s="4" t="s">
        <v>181</v>
      </c>
      <c r="M440" s="14"/>
      <c r="O440" s="25" t="str" cm="1">
        <f t="array" ref="O440">BIN2HEX(IF(I440&lt;&gt;"",VLOOKUP(I440,Ops!$I$2:'Ops'!$J$15,2,FALSE),IF(ISNUMBER(SEARCH("BR",D440)),"001","000"))&amp;IF(D440&lt;&gt;"",VLOOKUP(D440,Ops!$B$2:'Ops'!$C$23,2,FALSE),"0")&amp;_xlfn.IFS(ISNUMBER(SEARCH("BR",D440)),VLOOKUP(D440,Ops!$B$3:'Ops'!$D$22,3,FALSE),F440&lt;&gt;"",VLOOKUP(F440,Ops!$R$2:'Ops'!$S$11,2),L440&lt;&gt;"",VLOOKUP(L440,Ops!$R$2:'Ops'!$S$25,2,FALSE),TRUE,"0000"),2)</f>
        <v>02</v>
      </c>
      <c r="P440" s="26" t="str">
        <f>RIGHT(IF($E440&lt;&gt;"",_xlfn.XLOOKUP($E440,$C$4:$C$681,$B$4:$B$681,"NO LABEL"),BIN2HEX(IF(N440="CarryEn","1","0")&amp;IF(M440="SubXY","1","0")&amp;IF(H440&lt;&gt;"",VLOOKUP(H440,Ops!$F$2:'Ops'!$G$20,2,FALSE),"000000"),2)),2)</f>
        <v>00</v>
      </c>
      <c r="Q440" s="26" t="str" cm="1">
        <f t="array" ref="Q440">BIN2HEX(_xlfn.IFS(D440="HWINTEN","10",G440="KeyAck","01",G440="InitLp8","01",TRUE,"00")&amp;IF(OR(Ops!$O$2:'Ops'!$O$13=K440),VLOOKUP(K440,Ops!$O$2:'Ops'!$P$13,2,FALSE),"000")&amp;IF(E440&lt;&gt;"",IF(LEN(_xlfn.XLOOKUP($E440,$C$5:$C$681,$B$5:$B$681,0))=3,HEX2BIN(LEFT(_xlfn.XLOOKUP($E440,$C$5:$C$681,$B$5:$B$681,0),1),3),IF(OR(Ops!$L$2:'Ops'!$L$11=J440),VLOOKUP(J440,Ops!$L$2:'Ops'!$M$11,2,FALSE),"000")),IF(OR(Ops!$L$2:'Ops'!$L$11=J440),VLOOKUP(J440,Ops!$L$2:'Ops'!$M$11,2,FALSE),"000")),2)</f>
        <v>36</v>
      </c>
      <c r="R440" s="27"/>
      <c r="S440" s="4" t="s">
        <v>318</v>
      </c>
      <c r="Z440" s="74" t="str">
        <f t="shared" si="133"/>
        <v>0x02,</v>
      </c>
      <c r="AA440" s="75" t="str">
        <f t="shared" si="134"/>
        <v>0x00,</v>
      </c>
      <c r="AB440" s="75" t="str">
        <f t="shared" si="135"/>
        <v>0x36,</v>
      </c>
      <c r="AC440" s="76"/>
    </row>
    <row r="441" spans="1:29" x14ac:dyDescent="0.3">
      <c r="A441" s="79">
        <f t="shared" si="136"/>
        <v>1329</v>
      </c>
      <c r="B441" s="80" t="str">
        <f t="shared" si="131"/>
        <v>531</v>
      </c>
      <c r="D441" s="29"/>
      <c r="F441" s="29"/>
      <c r="G441" s="24"/>
      <c r="H441" s="29"/>
      <c r="I441" s="4" t="s">
        <v>290</v>
      </c>
      <c r="K441" s="4" t="s">
        <v>480</v>
      </c>
      <c r="M441" s="14"/>
      <c r="O441" s="25" t="str" cm="1">
        <f t="array" ref="O441">BIN2HEX(IF(I441&lt;&gt;"",VLOOKUP(I441,Ops!$I$2:'Ops'!$J$15,2,FALSE),IF(ISNUMBER(SEARCH("BR",D441)),"001","000"))&amp;IF(D441&lt;&gt;"",VLOOKUP(D441,Ops!$B$2:'Ops'!$C$23,2,FALSE),"0")&amp;_xlfn.IFS(ISNUMBER(SEARCH("BR",D441)),VLOOKUP(D441,Ops!$B$3:'Ops'!$D$22,3,FALSE),F441&lt;&gt;"",VLOOKUP(F441,Ops!$R$2:'Ops'!$S$11,2),L441&lt;&gt;"",VLOOKUP(L441,Ops!$R$2:'Ops'!$S$25,2,FALSE),TRUE,"0000"),2)</f>
        <v>40</v>
      </c>
      <c r="P441" s="26" t="str">
        <f>RIGHT(IF($E441&lt;&gt;"",_xlfn.XLOOKUP($E441,$C$4:$C$681,$B$4:$B$681,"NO LABEL"),BIN2HEX(IF(N441="CarryEn","1","0")&amp;IF(M441="SubXY","1","0")&amp;IF(H441&lt;&gt;"",VLOOKUP(H441,Ops!$F$2:'Ops'!$G$20,2,FALSE),"000000"),2)),2)</f>
        <v>00</v>
      </c>
      <c r="Q441" s="26" t="str" cm="1">
        <f t="array" ref="Q441">BIN2HEX(_xlfn.IFS(D441="HWINTEN","10",G441="KeyAck","01",G441="InitLp8","01",TRUE,"00")&amp;IF(OR(Ops!$O$2:'Ops'!$O$13=K441),VLOOKUP(K441,Ops!$O$2:'Ops'!$P$13,2,FALSE),"000")&amp;IF(E441&lt;&gt;"",IF(LEN(_xlfn.XLOOKUP($E441,$C$5:$C$681,$B$5:$B$681,0))=3,HEX2BIN(LEFT(_xlfn.XLOOKUP($E441,$C$5:$C$681,$B$5:$B$681,0),1),3),IF(OR(Ops!$L$2:'Ops'!$L$11=J441),VLOOKUP(J441,Ops!$L$2:'Ops'!$M$11,2,FALSE),"000")),IF(OR(Ops!$L$2:'Ops'!$L$11=J441),VLOOKUP(J441,Ops!$L$2:'Ops'!$M$11,2,FALSE),"000")),2)</f>
        <v>00</v>
      </c>
      <c r="R441" s="27"/>
      <c r="S441" s="4" t="s">
        <v>282</v>
      </c>
      <c r="Z441" s="74" t="str">
        <f t="shared" si="133"/>
        <v>0x40,</v>
      </c>
      <c r="AA441" s="75" t="str">
        <f t="shared" si="134"/>
        <v>0x00,</v>
      </c>
      <c r="AB441" s="75" t="str">
        <f t="shared" si="135"/>
        <v>0x00,</v>
      </c>
      <c r="AC441" s="76"/>
    </row>
    <row r="442" spans="1:29" x14ac:dyDescent="0.3">
      <c r="A442" s="79">
        <f t="shared" si="136"/>
        <v>1332</v>
      </c>
      <c r="B442" s="80" t="str">
        <f t="shared" si="131"/>
        <v>534</v>
      </c>
      <c r="C442" s="4" t="s">
        <v>521</v>
      </c>
      <c r="D442" s="29" t="s">
        <v>430</v>
      </c>
      <c r="E442" s="4" t="s">
        <v>522</v>
      </c>
      <c r="F442" s="29"/>
      <c r="G442" s="24"/>
      <c r="H442" s="29"/>
      <c r="M442" s="14"/>
      <c r="O442" s="25" t="str" cm="1">
        <f t="array" ref="O442">BIN2HEX(IF(I442&lt;&gt;"",VLOOKUP(I442,Ops!$I$2:'Ops'!$J$15,2,FALSE),IF(ISNUMBER(SEARCH("BR",D442)),"001","000"))&amp;IF(D442&lt;&gt;"",VLOOKUP(D442,Ops!$B$2:'Ops'!$C$23,2,FALSE),"0")&amp;_xlfn.IFS(ISNUMBER(SEARCH("BR",D442)),VLOOKUP(D442,Ops!$B$3:'Ops'!$D$22,3,FALSE),F442&lt;&gt;"",VLOOKUP(F442,Ops!$R$2:'Ops'!$S$11,2),L442&lt;&gt;"",VLOOKUP(L442,Ops!$R$2:'Ops'!$S$25,2,FALSE),TRUE,"0000"),2)</f>
        <v>3E</v>
      </c>
      <c r="P442" s="26" t="str">
        <f>RIGHT(IF($E442&lt;&gt;"",_xlfn.XLOOKUP($E442,$C$4:$C$681,$B$4:$B$681,"NO LABEL"),BIN2HEX(IF(N442="CarryEn","1","0")&amp;IF(M442="SubXY","1","0")&amp;IF(H442&lt;&gt;"",VLOOKUP(H442,Ops!$F$2:'Ops'!$G$20,2,FALSE),"000000"),2)),2)</f>
        <v>40</v>
      </c>
      <c r="Q442" s="26" t="str" cm="1">
        <f t="array" ref="Q442">BIN2HEX(_xlfn.IFS(D442="HWINTEN","10",G442="KeyAck","01",G442="InitLp8","01",TRUE,"00")&amp;IF(OR(Ops!$O$2:'Ops'!$O$13=K442),VLOOKUP(K442,Ops!$O$2:'Ops'!$P$13,2,FALSE),"000")&amp;IF(E442&lt;&gt;"",IF(LEN(_xlfn.XLOOKUP($E442,$C$5:$C$681,$B$5:$B$681,0))=3,HEX2BIN(LEFT(_xlfn.XLOOKUP($E442,$C$5:$C$681,$B$5:$B$681,0),1),3),IF(OR(Ops!$L$2:'Ops'!$L$11=J442),VLOOKUP(J442,Ops!$L$2:'Ops'!$M$11,2,FALSE),"000")),IF(OR(Ops!$L$2:'Ops'!$L$11=J442),VLOOKUP(J442,Ops!$L$2:'Ops'!$M$11,2,FALSE),"000")),2)</f>
        <v>05</v>
      </c>
      <c r="R442" s="27"/>
      <c r="S442" t="s">
        <v>523</v>
      </c>
      <c r="Z442" s="74" t="str">
        <f t="shared" ref="Z442:Z451" si="137">IF(O442="", "};", "0x"&amp;O442&amp;",")</f>
        <v>0x3E,</v>
      </c>
      <c r="AA442" s="75" t="str">
        <f t="shared" ref="AA442:AA451" si="138">"0x"&amp;P442&amp;","</f>
        <v>0x40,</v>
      </c>
      <c r="AB442" s="75" t="str">
        <f t="shared" ref="AB442:AB451" si="139">"0x"&amp;Q442&amp;","</f>
        <v>0x05,</v>
      </c>
      <c r="AC442" s="76"/>
    </row>
    <row r="443" spans="1:29" x14ac:dyDescent="0.3">
      <c r="A443" s="79">
        <f t="shared" si="136"/>
        <v>1335</v>
      </c>
      <c r="B443" s="80" t="str">
        <f t="shared" ref="B443:B450" si="140">DEC2HEX(A443)</f>
        <v>537</v>
      </c>
      <c r="D443" s="29" t="s">
        <v>431</v>
      </c>
      <c r="E443" s="4" t="s">
        <v>295</v>
      </c>
      <c r="F443" s="29"/>
      <c r="G443" s="24"/>
      <c r="H443" s="29"/>
      <c r="M443" s="14"/>
      <c r="O443" s="25" t="str" cm="1">
        <f t="array" ref="O443">BIN2HEX(IF(I443&lt;&gt;"",VLOOKUP(I443,Ops!$I$2:'Ops'!$J$15,2,FALSE),IF(ISNUMBER(SEARCH("BR",D443)),"001","000"))&amp;IF(D443&lt;&gt;"",VLOOKUP(D443,Ops!$B$2:'Ops'!$C$23,2,FALSE),"0")&amp;_xlfn.IFS(ISNUMBER(SEARCH("BR",D443)),VLOOKUP(D443,Ops!$B$3:'Ops'!$D$22,3,FALSE),F443&lt;&gt;"",VLOOKUP(F443,Ops!$R$2:'Ops'!$S$11,2),L443&lt;&gt;"",VLOOKUP(L443,Ops!$R$2:'Ops'!$S$25,2,FALSE),TRUE,"0000"),2)</f>
        <v>36</v>
      </c>
      <c r="P443" s="26" t="str">
        <f>RIGHT(IF($E443&lt;&gt;"",_xlfn.XLOOKUP($E443,$C$4:$C$681,$B$4:$B$681,"NO LABEL"),BIN2HEX(IF(N443="CarryEn","1","0")&amp;IF(M443="SubXY","1","0")&amp;IF(H443&lt;&gt;"",VLOOKUP(H443,Ops!$F$2:'Ops'!$G$20,2,FALSE),"000000"),2)),2)</f>
        <v>4F</v>
      </c>
      <c r="Q443" s="26" t="str" cm="1">
        <f t="array" ref="Q443">BIN2HEX(_xlfn.IFS(D443="HWINTEN","10",G443="KeyAck","01",G443="InitLp8","01",TRUE,"00")&amp;IF(OR(Ops!$O$2:'Ops'!$O$13=K443),VLOOKUP(K443,Ops!$O$2:'Ops'!$P$13,2,FALSE),"000")&amp;IF(E443&lt;&gt;"",IF(LEN(_xlfn.XLOOKUP($E443,$C$5:$C$681,$B$5:$B$681,0))=3,HEX2BIN(LEFT(_xlfn.XLOOKUP($E443,$C$5:$C$681,$B$5:$B$681,0),1),3),IF(OR(Ops!$L$2:'Ops'!$L$11=J443),VLOOKUP(J443,Ops!$L$2:'Ops'!$M$11,2,FALSE),"000")),IF(OR(Ops!$L$2:'Ops'!$L$11=J443),VLOOKUP(J443,Ops!$L$2:'Ops'!$M$11,2,FALSE),"000")),2)</f>
        <v>05</v>
      </c>
      <c r="R443" s="27"/>
      <c r="S443" t="s">
        <v>529</v>
      </c>
      <c r="Z443" s="74" t="str">
        <f t="shared" si="137"/>
        <v>0x36,</v>
      </c>
      <c r="AA443" s="75" t="str">
        <f t="shared" si="138"/>
        <v>0x4F,</v>
      </c>
      <c r="AB443" s="75" t="str">
        <f t="shared" si="139"/>
        <v>0x05,</v>
      </c>
      <c r="AC443" s="76"/>
    </row>
    <row r="444" spans="1:29" x14ac:dyDescent="0.3">
      <c r="A444" s="79">
        <f t="shared" si="136"/>
        <v>1338</v>
      </c>
      <c r="B444" s="80" t="str">
        <f t="shared" si="140"/>
        <v>53A</v>
      </c>
      <c r="D444" s="29" t="s">
        <v>175</v>
      </c>
      <c r="E444" s="4" t="s">
        <v>326</v>
      </c>
      <c r="F444" s="29"/>
      <c r="G444" s="24"/>
      <c r="H444" s="29"/>
      <c r="M444" s="14"/>
      <c r="O444" s="25" t="str" cm="1">
        <f t="array" ref="O444">BIN2HEX(IF(I444&lt;&gt;"",VLOOKUP(I444,Ops!$I$2:'Ops'!$J$15,2,FALSE),IF(ISNUMBER(SEARCH("BR",D444)),"001","000"))&amp;IF(D444&lt;&gt;"",VLOOKUP(D444,Ops!$B$2:'Ops'!$C$23,2,FALSE),"0")&amp;_xlfn.IFS(ISNUMBER(SEARCH("BR",D444)),VLOOKUP(D444,Ops!$B$3:'Ops'!$D$22,3,FALSE),F444&lt;&gt;"",VLOOKUP(F444,Ops!$R$2:'Ops'!$S$11,2),L444&lt;&gt;"",VLOOKUP(L444,Ops!$R$2:'Ops'!$S$25,2,FALSE),TRUE,"0000"),2)</f>
        <v>3A</v>
      </c>
      <c r="P444" s="26" t="str">
        <f>RIGHT(IF($E444&lt;&gt;"",_xlfn.XLOOKUP($E444,$C$4:$C$681,$B$4:$B$681,"NO LABEL"),BIN2HEX(IF(N444="CarryEn","1","0")&amp;IF(M444="SubXY","1","0")&amp;IF(H444&lt;&gt;"",VLOOKUP(H444,Ops!$F$2:'Ops'!$G$20,2,FALSE),"000000"),2)),2)</f>
        <v>76</v>
      </c>
      <c r="Q444" s="26" t="str" cm="1">
        <f t="array" ref="Q444">BIN2HEX(_xlfn.IFS(D444="HWINTEN","10",G444="KeyAck","01",G444="InitLp8","01",TRUE,"00")&amp;IF(OR(Ops!$O$2:'Ops'!$O$13=K444),VLOOKUP(K444,Ops!$O$2:'Ops'!$P$13,2,FALSE),"000")&amp;IF(E444&lt;&gt;"",IF(LEN(_xlfn.XLOOKUP($E444,$C$5:$C$681,$B$5:$B$681,0))=3,HEX2BIN(LEFT(_xlfn.XLOOKUP($E444,$C$5:$C$681,$B$5:$B$681,0),1),3),IF(OR(Ops!$L$2:'Ops'!$L$11=J444),VLOOKUP(J444,Ops!$L$2:'Ops'!$M$11,2,FALSE),"000")),IF(OR(Ops!$L$2:'Ops'!$L$11=J444),VLOOKUP(J444,Ops!$L$2:'Ops'!$M$11,2,FALSE),"000")),2)</f>
        <v>05</v>
      </c>
      <c r="R444" s="27"/>
      <c r="S444" t="s">
        <v>530</v>
      </c>
      <c r="Z444" s="74" t="str">
        <f t="shared" si="137"/>
        <v>0x3A,</v>
      </c>
      <c r="AA444" s="75" t="str">
        <f t="shared" si="138"/>
        <v>0x76,</v>
      </c>
      <c r="AB444" s="75" t="str">
        <f t="shared" si="139"/>
        <v>0x05,</v>
      </c>
      <c r="AC444" s="76"/>
    </row>
    <row r="445" spans="1:29" x14ac:dyDescent="0.3">
      <c r="A445" s="79">
        <f t="shared" si="136"/>
        <v>1341</v>
      </c>
      <c r="B445" s="80" t="str">
        <f t="shared" si="140"/>
        <v>53D</v>
      </c>
      <c r="C445" s="4" t="s">
        <v>524</v>
      </c>
      <c r="D445" s="29" t="s">
        <v>0</v>
      </c>
      <c r="E445" s="4" t="s">
        <v>295</v>
      </c>
      <c r="F445" s="29"/>
      <c r="G445" s="24"/>
      <c r="H445" s="29"/>
      <c r="M445" s="14"/>
      <c r="O445" s="25" t="str" cm="1">
        <f t="array" ref="O445">BIN2HEX(IF(I445&lt;&gt;"",VLOOKUP(I445,Ops!$I$2:'Ops'!$J$15,2,FALSE),IF(ISNUMBER(SEARCH("BR",D445)),"001","000"))&amp;IF(D445&lt;&gt;"",VLOOKUP(D445,Ops!$B$2:'Ops'!$C$23,2,FALSE),"0")&amp;_xlfn.IFS(ISNUMBER(SEARCH("BR",D445)),VLOOKUP(D445,Ops!$B$3:'Ops'!$D$22,3,FALSE),F445&lt;&gt;"",VLOOKUP(F445,Ops!$R$2:'Ops'!$S$11,2),L445&lt;&gt;"",VLOOKUP(L445,Ops!$R$2:'Ops'!$S$25,2,FALSE),TRUE,"0000"),2)</f>
        <v>10</v>
      </c>
      <c r="P445" s="26" t="str">
        <f>RIGHT(IF($E445&lt;&gt;"",_xlfn.XLOOKUP($E445,$C$4:$C$681,$B$4:$B$681,"NO LABEL"),BIN2HEX(IF(N445="CarryEn","1","0")&amp;IF(M445="SubXY","1","0")&amp;IF(H445&lt;&gt;"",VLOOKUP(H445,Ops!$F$2:'Ops'!$G$20,2,FALSE),"000000"),2)),2)</f>
        <v>4F</v>
      </c>
      <c r="Q445" s="26" t="str" cm="1">
        <f t="array" ref="Q445">BIN2HEX(_xlfn.IFS(D445="HWINTEN","10",G445="KeyAck","01",G445="InitLp8","01",TRUE,"00")&amp;IF(OR(Ops!$O$2:'Ops'!$O$13=K445),VLOOKUP(K445,Ops!$O$2:'Ops'!$P$13,2,FALSE),"000")&amp;IF(E445&lt;&gt;"",IF(LEN(_xlfn.XLOOKUP($E445,$C$5:$C$681,$B$5:$B$681,0))=3,HEX2BIN(LEFT(_xlfn.XLOOKUP($E445,$C$5:$C$681,$B$5:$B$681,0),1),3),IF(OR(Ops!$L$2:'Ops'!$L$11=J445),VLOOKUP(J445,Ops!$L$2:'Ops'!$M$11,2,FALSE),"000")),IF(OR(Ops!$L$2:'Ops'!$L$11=J445),VLOOKUP(J445,Ops!$L$2:'Ops'!$M$11,2,FALSE),"000")),2)</f>
        <v>05</v>
      </c>
      <c r="R445" s="27"/>
      <c r="S445" t="s">
        <v>525</v>
      </c>
      <c r="Z445" s="74" t="str">
        <f t="shared" si="137"/>
        <v>0x10,</v>
      </c>
      <c r="AA445" s="75" t="str">
        <f t="shared" si="138"/>
        <v>0x4F,</v>
      </c>
      <c r="AB445" s="75" t="str">
        <f t="shared" si="139"/>
        <v>0x05,</v>
      </c>
      <c r="AC445" s="76"/>
    </row>
    <row r="446" spans="1:29" x14ac:dyDescent="0.3">
      <c r="A446" s="79">
        <f t="shared" si="136"/>
        <v>1344</v>
      </c>
      <c r="B446" s="80" t="str">
        <f t="shared" si="140"/>
        <v>540</v>
      </c>
      <c r="C446" s="4" t="s">
        <v>522</v>
      </c>
      <c r="D446" s="29" t="s">
        <v>431</v>
      </c>
      <c r="E446" s="4" t="s">
        <v>526</v>
      </c>
      <c r="F446" s="29"/>
      <c r="G446" s="24"/>
      <c r="H446" s="29"/>
      <c r="M446" s="14"/>
      <c r="O446" s="25" t="str" cm="1">
        <f t="array" ref="O446">BIN2HEX(IF(I446&lt;&gt;"",VLOOKUP(I446,Ops!$I$2:'Ops'!$J$15,2,FALSE),IF(ISNUMBER(SEARCH("BR",D446)),"001","000"))&amp;IF(D446&lt;&gt;"",VLOOKUP(D446,Ops!$B$2:'Ops'!$C$23,2,FALSE),"0")&amp;_xlfn.IFS(ISNUMBER(SEARCH("BR",D446)),VLOOKUP(D446,Ops!$B$3:'Ops'!$D$22,3,FALSE),F446&lt;&gt;"",VLOOKUP(F446,Ops!$R$2:'Ops'!$S$11,2),L446&lt;&gt;"",VLOOKUP(L446,Ops!$R$2:'Ops'!$S$25,2,FALSE),TRUE,"0000"),2)</f>
        <v>36</v>
      </c>
      <c r="P446" s="26" t="str">
        <f>RIGHT(IF($E446&lt;&gt;"",_xlfn.XLOOKUP($E446,$C$4:$C$681,$B$4:$B$681,"NO LABEL"),BIN2HEX(IF(N446="CarryEn","1","0")&amp;IF(M446="SubXY","1","0")&amp;IF(H446&lt;&gt;"",VLOOKUP(H446,Ops!$F$2:'Ops'!$G$20,2,FALSE),"000000"),2)),2)</f>
        <v>46</v>
      </c>
      <c r="Q446" s="26" t="str" cm="1">
        <f t="array" ref="Q446">BIN2HEX(_xlfn.IFS(D446="HWINTEN","10",G446="KeyAck","01",G446="InitLp8","01",TRUE,"00")&amp;IF(OR(Ops!$O$2:'Ops'!$O$13=K446),VLOOKUP(K446,Ops!$O$2:'Ops'!$P$13,2,FALSE),"000")&amp;IF(E446&lt;&gt;"",IF(LEN(_xlfn.XLOOKUP($E446,$C$5:$C$681,$B$5:$B$681,0))=3,HEX2BIN(LEFT(_xlfn.XLOOKUP($E446,$C$5:$C$681,$B$5:$B$681,0),1),3),IF(OR(Ops!$L$2:'Ops'!$L$11=J446),VLOOKUP(J446,Ops!$L$2:'Ops'!$M$11,2,FALSE),"000")),IF(OR(Ops!$L$2:'Ops'!$L$11=J446),VLOOKUP(J446,Ops!$L$2:'Ops'!$M$11,2,FALSE),"000")),2)</f>
        <v>05</v>
      </c>
      <c r="R446" s="27"/>
      <c r="S446" t="s">
        <v>527</v>
      </c>
      <c r="Z446" s="74" t="str">
        <f t="shared" si="137"/>
        <v>0x36,</v>
      </c>
      <c r="AA446" s="75" t="str">
        <f t="shared" si="138"/>
        <v>0x46,</v>
      </c>
      <c r="AB446" s="75" t="str">
        <f t="shared" si="139"/>
        <v>0x05,</v>
      </c>
      <c r="AC446" s="76"/>
    </row>
    <row r="447" spans="1:29" x14ac:dyDescent="0.3">
      <c r="A447" s="79">
        <f t="shared" si="136"/>
        <v>1347</v>
      </c>
      <c r="B447" s="80" t="str">
        <f t="shared" si="140"/>
        <v>543</v>
      </c>
      <c r="D447" s="29" t="s">
        <v>0</v>
      </c>
      <c r="E447" s="4" t="s">
        <v>295</v>
      </c>
      <c r="F447" s="29"/>
      <c r="G447" s="24"/>
      <c r="H447" s="29"/>
      <c r="M447" s="14"/>
      <c r="O447" s="25" t="str" cm="1">
        <f t="array" ref="O447">BIN2HEX(IF(I447&lt;&gt;"",VLOOKUP(I447,Ops!$I$2:'Ops'!$J$15,2,FALSE),IF(ISNUMBER(SEARCH("BR",D447)),"001","000"))&amp;IF(D447&lt;&gt;"",VLOOKUP(D447,Ops!$B$2:'Ops'!$C$23,2,FALSE),"0")&amp;_xlfn.IFS(ISNUMBER(SEARCH("BR",D447)),VLOOKUP(D447,Ops!$B$3:'Ops'!$D$22,3,FALSE),F447&lt;&gt;"",VLOOKUP(F447,Ops!$R$2:'Ops'!$S$11,2),L447&lt;&gt;"",VLOOKUP(L447,Ops!$R$2:'Ops'!$S$25,2,FALSE),TRUE,"0000"),2)</f>
        <v>10</v>
      </c>
      <c r="P447" s="26" t="str">
        <f>RIGHT(IF($E447&lt;&gt;"",_xlfn.XLOOKUP($E447,$C$4:$C$681,$B$4:$B$681,"NO LABEL"),BIN2HEX(IF(N447="CarryEn","1","0")&amp;IF(M447="SubXY","1","0")&amp;IF(H447&lt;&gt;"",VLOOKUP(H447,Ops!$F$2:'Ops'!$G$20,2,FALSE),"000000"),2)),2)</f>
        <v>4F</v>
      </c>
      <c r="Q447" s="26" t="str" cm="1">
        <f t="array" ref="Q447">BIN2HEX(_xlfn.IFS(D447="HWINTEN","10",G447="KeyAck","01",G447="InitLp8","01",TRUE,"00")&amp;IF(OR(Ops!$O$2:'Ops'!$O$13=K447),VLOOKUP(K447,Ops!$O$2:'Ops'!$P$13,2,FALSE),"000")&amp;IF(E447&lt;&gt;"",IF(LEN(_xlfn.XLOOKUP($E447,$C$5:$C$681,$B$5:$B$681,0))=3,HEX2BIN(LEFT(_xlfn.XLOOKUP($E447,$C$5:$C$681,$B$5:$B$681,0),1),3),IF(OR(Ops!$L$2:'Ops'!$L$11=J447),VLOOKUP(J447,Ops!$L$2:'Ops'!$M$11,2,FALSE),"000")),IF(OR(Ops!$L$2:'Ops'!$L$11=J447),VLOOKUP(J447,Ops!$L$2:'Ops'!$M$11,2,FALSE),"000")),2)</f>
        <v>05</v>
      </c>
      <c r="R447" s="27"/>
      <c r="S447" t="s">
        <v>528</v>
      </c>
      <c r="Z447" s="74" t="str">
        <f t="shared" si="137"/>
        <v>0x10,</v>
      </c>
      <c r="AA447" s="75" t="str">
        <f t="shared" si="138"/>
        <v>0x4F,</v>
      </c>
      <c r="AB447" s="75" t="str">
        <f t="shared" si="139"/>
        <v>0x05,</v>
      </c>
      <c r="AC447" s="76"/>
    </row>
    <row r="448" spans="1:29" x14ac:dyDescent="0.3">
      <c r="A448" s="79">
        <f t="shared" si="136"/>
        <v>1350</v>
      </c>
      <c r="B448" s="80" t="str">
        <f t="shared" si="140"/>
        <v>546</v>
      </c>
      <c r="C448" s="4" t="s">
        <v>526</v>
      </c>
      <c r="D448" s="29" t="s">
        <v>175</v>
      </c>
      <c r="E448" s="4" t="s">
        <v>295</v>
      </c>
      <c r="F448" s="29"/>
      <c r="G448" s="24"/>
      <c r="H448" s="29"/>
      <c r="M448" s="14"/>
      <c r="O448" s="25" t="str" cm="1">
        <f t="array" ref="O448">BIN2HEX(IF(I448&lt;&gt;"",VLOOKUP(I448,Ops!$I$2:'Ops'!$J$15,2,FALSE),IF(ISNUMBER(SEARCH("BR",D448)),"001","000"))&amp;IF(D448&lt;&gt;"",VLOOKUP(D448,Ops!$B$2:'Ops'!$C$23,2,FALSE),"0")&amp;_xlfn.IFS(ISNUMBER(SEARCH("BR",D448)),VLOOKUP(D448,Ops!$B$3:'Ops'!$D$22,3,FALSE),F448&lt;&gt;"",VLOOKUP(F448,Ops!$R$2:'Ops'!$S$11,2),L448&lt;&gt;"",VLOOKUP(L448,Ops!$R$2:'Ops'!$S$25,2,FALSE),TRUE,"0000"),2)</f>
        <v>3A</v>
      </c>
      <c r="P448" s="26" t="str">
        <f>RIGHT(IF($E448&lt;&gt;"",_xlfn.XLOOKUP($E448,$C$4:$C$681,$B$4:$B$681,"NO LABEL"),BIN2HEX(IF(N448="CarryEn","1","0")&amp;IF(M448="SubXY","1","0")&amp;IF(H448&lt;&gt;"",VLOOKUP(H448,Ops!$F$2:'Ops'!$G$20,2,FALSE),"000000"),2)),2)</f>
        <v>4F</v>
      </c>
      <c r="Q448" s="26" t="str" cm="1">
        <f t="array" ref="Q448">BIN2HEX(_xlfn.IFS(D448="HWINTEN","10",G448="KeyAck","01",G448="InitLp8","01",TRUE,"00")&amp;IF(OR(Ops!$O$2:'Ops'!$O$13=K448),VLOOKUP(K448,Ops!$O$2:'Ops'!$P$13,2,FALSE),"000")&amp;IF(E448&lt;&gt;"",IF(LEN(_xlfn.XLOOKUP($E448,$C$5:$C$681,$B$5:$B$681,0))=3,HEX2BIN(LEFT(_xlfn.XLOOKUP($E448,$C$5:$C$681,$B$5:$B$681,0),1),3),IF(OR(Ops!$L$2:'Ops'!$L$11=J448),VLOOKUP(J448,Ops!$L$2:'Ops'!$M$11,2,FALSE),"000")),IF(OR(Ops!$L$2:'Ops'!$L$11=J448),VLOOKUP(J448,Ops!$L$2:'Ops'!$M$11,2,FALSE),"000")),2)</f>
        <v>05</v>
      </c>
      <c r="R448" s="27"/>
      <c r="S448" t="s">
        <v>531</v>
      </c>
      <c r="Z448" s="74" t="str">
        <f t="shared" si="137"/>
        <v>0x3A,</v>
      </c>
      <c r="AA448" s="75" t="str">
        <f t="shared" si="138"/>
        <v>0x4F,</v>
      </c>
      <c r="AB448" s="75" t="str">
        <f t="shared" si="139"/>
        <v>0x05,</v>
      </c>
      <c r="AC448" s="76"/>
    </row>
    <row r="449" spans="1:29" x14ac:dyDescent="0.3">
      <c r="A449" s="79">
        <f t="shared" si="136"/>
        <v>1353</v>
      </c>
      <c r="B449" s="80" t="str">
        <f t="shared" si="140"/>
        <v>549</v>
      </c>
      <c r="D449" s="29"/>
      <c r="F449" s="29"/>
      <c r="G449" s="24"/>
      <c r="H449" s="29"/>
      <c r="J449" s="4" t="s">
        <v>60</v>
      </c>
      <c r="M449" s="14"/>
      <c r="O449" s="25" t="str" cm="1">
        <f t="array" ref="O449">BIN2HEX(IF(I449&lt;&gt;"",VLOOKUP(I449,Ops!$I$2:'Ops'!$J$15,2,FALSE),IF(ISNUMBER(SEARCH("BR",D449)),"001","000"))&amp;IF(D449&lt;&gt;"",VLOOKUP(D449,Ops!$B$2:'Ops'!$C$23,2,FALSE),"0")&amp;_xlfn.IFS(ISNUMBER(SEARCH("BR",D449)),VLOOKUP(D449,Ops!$B$3:'Ops'!$D$22,3,FALSE),F449&lt;&gt;"",VLOOKUP(F449,Ops!$R$2:'Ops'!$S$11,2),L449&lt;&gt;"",VLOOKUP(L449,Ops!$R$2:'Ops'!$S$25,2,FALSE),TRUE,"0000"),2)</f>
        <v>00</v>
      </c>
      <c r="P449" s="26" t="str">
        <f>RIGHT(IF($E449&lt;&gt;"",_xlfn.XLOOKUP($E449,$C$4:$C$681,$B$4:$B$681,"NO LABEL"),BIN2HEX(IF(N449="CarryEn","1","0")&amp;IF(M449="SubXY","1","0")&amp;IF(H449&lt;&gt;"",VLOOKUP(H449,Ops!$F$2:'Ops'!$G$20,2,FALSE),"000000"),2)),2)</f>
        <v>00</v>
      </c>
      <c r="Q449" s="26" t="str" cm="1">
        <f t="array" ref="Q449">BIN2HEX(_xlfn.IFS(D449="HWINTEN","10",G449="KeyAck","01",G449="InitLp8","01",TRUE,"00")&amp;IF(OR(Ops!$O$2:'Ops'!$O$13=K449),VLOOKUP(K449,Ops!$O$2:'Ops'!$P$13,2,FALSE),"000")&amp;IF(E449&lt;&gt;"",IF(LEN(_xlfn.XLOOKUP($E449,$C$5:$C$681,$B$5:$B$681,0))=3,HEX2BIN(LEFT(_xlfn.XLOOKUP($E449,$C$5:$C$681,$B$5:$B$681,0),1),3),IF(OR(Ops!$L$2:'Ops'!$L$11=J449),VLOOKUP(J449,Ops!$L$2:'Ops'!$M$11,2,FALSE),"000")),IF(OR(Ops!$L$2:'Ops'!$L$11=J449),VLOOKUP(J449,Ops!$L$2:'Ops'!$M$11,2,FALSE),"000")),2)</f>
        <v>01</v>
      </c>
      <c r="R449" s="27"/>
      <c r="S449" s="4" t="s">
        <v>542</v>
      </c>
      <c r="Z449" s="74" t="str">
        <f t="shared" si="137"/>
        <v>0x00,</v>
      </c>
      <c r="AA449" s="75" t="str">
        <f t="shared" si="138"/>
        <v>0x00,</v>
      </c>
      <c r="AB449" s="75" t="str">
        <f t="shared" si="139"/>
        <v>0x01,</v>
      </c>
      <c r="AC449" s="76"/>
    </row>
    <row r="450" spans="1:29" x14ac:dyDescent="0.3">
      <c r="A450" s="79">
        <f t="shared" si="136"/>
        <v>1356</v>
      </c>
      <c r="B450" s="80" t="str">
        <f t="shared" si="140"/>
        <v>54C</v>
      </c>
      <c r="D450" s="29" t="s">
        <v>0</v>
      </c>
      <c r="E450" s="12" t="s">
        <v>600</v>
      </c>
      <c r="F450" s="29"/>
      <c r="G450" s="24"/>
      <c r="H450" s="29"/>
      <c r="M450" s="14"/>
      <c r="O450" s="25" t="str" cm="1">
        <f t="array" ref="O450">BIN2HEX(IF(I450&lt;&gt;"",VLOOKUP(I450,Ops!$I$2:'Ops'!$J$15,2,FALSE),IF(ISNUMBER(SEARCH("BR",D450)),"001","000"))&amp;IF(D450&lt;&gt;"",VLOOKUP(D450,Ops!$B$2:'Ops'!$C$23,2,FALSE),"0")&amp;_xlfn.IFS(ISNUMBER(SEARCH("BR",D450)),VLOOKUP(D450,Ops!$B$3:'Ops'!$D$22,3,FALSE),F450&lt;&gt;"",VLOOKUP(F450,Ops!$R$2:'Ops'!$S$11,2),L450&lt;&gt;"",VLOOKUP(L450,Ops!$R$2:'Ops'!$S$25,2,FALSE),TRUE,"0000"),2)</f>
        <v>10</v>
      </c>
      <c r="P450" s="26" t="str">
        <f>RIGHT(IF($E450&lt;&gt;"",_xlfn.XLOOKUP($E450,$C$4:$C$681,$B$4:$B$681,"NO LABEL"),BIN2HEX(IF(N450="CarryEn","1","0")&amp;IF(M450="SubXY","1","0")&amp;IF(H450&lt;&gt;"",VLOOKUP(H450,Ops!$F$2:'Ops'!$G$20,2,FALSE),"000000"),2)),2)</f>
        <v>17</v>
      </c>
      <c r="Q450" s="26" t="str" cm="1">
        <f t="array" ref="Q450">BIN2HEX(_xlfn.IFS(D450="HWINTEN","10",G450="KeyAck","01",G450="InitLp8","01",TRUE,"00")&amp;IF(OR(Ops!$O$2:'Ops'!$O$13=K450),VLOOKUP(K450,Ops!$O$2:'Ops'!$P$13,2,FALSE),"000")&amp;IF(E450&lt;&gt;"",IF(LEN(_xlfn.XLOOKUP($E450,$C$5:$C$681,$B$5:$B$681,0))=3,HEX2BIN(LEFT(_xlfn.XLOOKUP($E450,$C$5:$C$681,$B$5:$B$681,0),1),3),IF(OR(Ops!$L$2:'Ops'!$L$11=J450),VLOOKUP(J450,Ops!$L$2:'Ops'!$M$11,2,FALSE),"000")),IF(OR(Ops!$L$2:'Ops'!$L$11=J450),VLOOKUP(J450,Ops!$L$2:'Ops'!$M$11,2,FALSE),"000")),2)</f>
        <v>07</v>
      </c>
      <c r="R450" s="27"/>
      <c r="Z450" s="74" t="str">
        <f t="shared" si="137"/>
        <v>0x10,</v>
      </c>
      <c r="AA450" s="75" t="str">
        <f t="shared" si="138"/>
        <v>0x17,</v>
      </c>
      <c r="AB450" s="75" t="str">
        <f t="shared" si="139"/>
        <v>0x07,</v>
      </c>
      <c r="AC450" s="76"/>
    </row>
    <row r="451" spans="1:29" x14ac:dyDescent="0.3">
      <c r="A451" s="79">
        <f t="shared" si="136"/>
        <v>1359</v>
      </c>
      <c r="B451" s="80" t="str">
        <f t="shared" ref="B451:B459" si="141">DEC2HEX(A451)</f>
        <v>54F</v>
      </c>
      <c r="C451" s="4" t="s">
        <v>295</v>
      </c>
      <c r="D451" s="29" t="s">
        <v>175</v>
      </c>
      <c r="E451" s="4" t="s">
        <v>281</v>
      </c>
      <c r="F451" s="29"/>
      <c r="G451" s="24"/>
      <c r="H451" s="29"/>
      <c r="M451" s="14"/>
      <c r="O451" s="25" t="str" cm="1">
        <f t="array" ref="O451">BIN2HEX(IF(I451&lt;&gt;"",VLOOKUP(I451,Ops!$I$2:'Ops'!$J$15,2,FALSE),IF(ISNUMBER(SEARCH("BR",D451)),"001","000"))&amp;IF(D451&lt;&gt;"",VLOOKUP(D451,Ops!$B$2:'Ops'!$C$23,2,FALSE),"0")&amp;_xlfn.IFS(ISNUMBER(SEARCH("BR",D451)),VLOOKUP(D451,Ops!$B$3:'Ops'!$D$22,3,FALSE),F451&lt;&gt;"",VLOOKUP(F451,Ops!$R$2:'Ops'!$S$11,2),L451&lt;&gt;"",VLOOKUP(L451,Ops!$R$2:'Ops'!$S$25,2,FALSE),TRUE,"0000"),2)</f>
        <v>3A</v>
      </c>
      <c r="P451" s="26" t="str">
        <f>RIGHT(IF($E451&lt;&gt;"",_xlfn.XLOOKUP($E451,$C$4:$C$681,$B$4:$B$681,"NO LABEL"),BIN2HEX(IF(N451="CarryEn","1","0")&amp;IF(M451="SubXY","1","0")&amp;IF(H451&lt;&gt;"",VLOOKUP(H451,Ops!$F$2:'Ops'!$G$20,2,FALSE),"000000"),2)),2)</f>
        <v>55</v>
      </c>
      <c r="Q451" s="26" t="str" cm="1">
        <f t="array" ref="Q451">BIN2HEX(_xlfn.IFS(D451="HWINTEN","10",G451="KeyAck","01",G451="InitLp8","01",TRUE,"00")&amp;IF(OR(Ops!$O$2:'Ops'!$O$13=K451),VLOOKUP(K451,Ops!$O$2:'Ops'!$P$13,2,FALSE),"000")&amp;IF(E451&lt;&gt;"",IF(LEN(_xlfn.XLOOKUP($E451,$C$5:$C$681,$B$5:$B$681,0))=3,HEX2BIN(LEFT(_xlfn.XLOOKUP($E451,$C$5:$C$681,$B$5:$B$681,0),1),3),IF(OR(Ops!$L$2:'Ops'!$L$11=J451),VLOOKUP(J451,Ops!$L$2:'Ops'!$M$11,2,FALSE),"000")),IF(OR(Ops!$L$2:'Ops'!$L$11=J451),VLOOKUP(J451,Ops!$L$2:'Ops'!$M$11,2,FALSE),"000")),2)</f>
        <v>05</v>
      </c>
      <c r="R451" s="27"/>
      <c r="S451" s="4" t="s">
        <v>369</v>
      </c>
      <c r="Z451" s="74" t="str">
        <f t="shared" si="137"/>
        <v>0x3A,</v>
      </c>
      <c r="AA451" s="75" t="str">
        <f t="shared" si="138"/>
        <v>0x55,</v>
      </c>
      <c r="AB451" s="75" t="str">
        <f t="shared" si="139"/>
        <v>0x05,</v>
      </c>
      <c r="AC451" s="76"/>
    </row>
    <row r="452" spans="1:29" x14ac:dyDescent="0.3">
      <c r="A452" s="79">
        <f t="shared" si="136"/>
        <v>1362</v>
      </c>
      <c r="B452" s="80" t="str">
        <f t="shared" si="141"/>
        <v>552</v>
      </c>
      <c r="D452" s="29" t="s">
        <v>0</v>
      </c>
      <c r="E452" s="4" t="s">
        <v>365</v>
      </c>
      <c r="F452" s="29"/>
      <c r="G452" s="24"/>
      <c r="H452" s="29"/>
      <c r="M452" s="14"/>
      <c r="O452" s="25" t="str" cm="1">
        <f t="array" ref="O452">BIN2HEX(IF(I452&lt;&gt;"",VLOOKUP(I452,Ops!$I$2:'Ops'!$J$15,2,FALSE),IF(ISNUMBER(SEARCH("BR",D452)),"001","000"))&amp;IF(D452&lt;&gt;"",VLOOKUP(D452,Ops!$B$2:'Ops'!$C$23,2,FALSE),"0")&amp;_xlfn.IFS(ISNUMBER(SEARCH("BR",D452)),VLOOKUP(D452,Ops!$B$3:'Ops'!$D$22,3,FALSE),F452&lt;&gt;"",VLOOKUP(F452,Ops!$R$2:'Ops'!$S$11,2),L452&lt;&gt;"",VLOOKUP(L452,Ops!$R$2:'Ops'!$S$25,2,FALSE),TRUE,"0000"),2)</f>
        <v>10</v>
      </c>
      <c r="P452" s="26" t="str">
        <f>RIGHT(IF($E452&lt;&gt;"",_xlfn.XLOOKUP($E452,$C$4:$C$681,$B$4:$B$681,"NO LABEL"),BIN2HEX(IF(N452="CarryEn","1","0")&amp;IF(M452="SubXY","1","0")&amp;IF(H452&lt;&gt;"",VLOOKUP(H452,Ops!$F$2:'Ops'!$G$20,2,FALSE),"000000"),2)),2)</f>
        <v>5E</v>
      </c>
      <c r="Q452" s="26" t="str" cm="1">
        <f t="array" ref="Q452">BIN2HEX(_xlfn.IFS(D452="HWINTEN","10",G452="KeyAck","01",G452="InitLp8","01",TRUE,"00")&amp;IF(OR(Ops!$O$2:'Ops'!$O$13=K452),VLOOKUP(K452,Ops!$O$2:'Ops'!$P$13,2,FALSE),"000")&amp;IF(E452&lt;&gt;"",IF(LEN(_xlfn.XLOOKUP($E452,$C$5:$C$681,$B$5:$B$681,0))=3,HEX2BIN(LEFT(_xlfn.XLOOKUP($E452,$C$5:$C$681,$B$5:$B$681,0),1),3),IF(OR(Ops!$L$2:'Ops'!$L$11=J452),VLOOKUP(J452,Ops!$L$2:'Ops'!$M$11,2,FALSE),"000")),IF(OR(Ops!$L$2:'Ops'!$L$11=J452),VLOOKUP(J452,Ops!$L$2:'Ops'!$M$11,2,FALSE),"000")),2)</f>
        <v>05</v>
      </c>
      <c r="R452" s="27"/>
      <c r="S452" s="4" t="s">
        <v>370</v>
      </c>
      <c r="Z452" s="74" t="str">
        <f t="shared" si="133"/>
        <v>0x10,</v>
      </c>
      <c r="AA452" s="75" t="str">
        <f t="shared" si="134"/>
        <v>0x5E,</v>
      </c>
      <c r="AB452" s="75" t="str">
        <f t="shared" si="135"/>
        <v>0x05,</v>
      </c>
      <c r="AC452" s="76"/>
    </row>
    <row r="453" spans="1:29" x14ac:dyDescent="0.3">
      <c r="A453" s="79">
        <f t="shared" si="136"/>
        <v>1365</v>
      </c>
      <c r="B453" s="80" t="str">
        <f t="shared" si="141"/>
        <v>555</v>
      </c>
      <c r="C453" s="4" t="s">
        <v>281</v>
      </c>
      <c r="D453" s="29"/>
      <c r="F453" s="29"/>
      <c r="G453" s="24"/>
      <c r="H453" s="29" t="s">
        <v>486</v>
      </c>
      <c r="I453" s="4" t="s">
        <v>482</v>
      </c>
      <c r="J453" s="4" t="s">
        <v>191</v>
      </c>
      <c r="M453" s="14"/>
      <c r="O453" s="25" t="str" cm="1">
        <f t="array" ref="O453">BIN2HEX(IF(I453&lt;&gt;"",VLOOKUP(I453,Ops!$I$2:'Ops'!$J$15,2,FALSE),IF(ISNUMBER(SEARCH("BR",D453)),"001","000"))&amp;IF(D453&lt;&gt;"",VLOOKUP(D453,Ops!$B$2:'Ops'!$C$23,2,FALSE),"0")&amp;_xlfn.IFS(ISNUMBER(SEARCH("BR",D453)),VLOOKUP(D453,Ops!$B$3:'Ops'!$D$22,3,FALSE),F453&lt;&gt;"",VLOOKUP(F453,Ops!$R$2:'Ops'!$S$11,2),L453&lt;&gt;"",VLOOKUP(L453,Ops!$R$2:'Ops'!$S$25,2,FALSE),TRUE,"0000"),2)</f>
        <v>00</v>
      </c>
      <c r="P453" s="26" t="str">
        <f>RIGHT(IF($E453&lt;&gt;"",_xlfn.XLOOKUP($E453,$C$4:$C$681,$B$4:$B$681,"NO LABEL"),BIN2HEX(IF(N453="CarryEn","1","0")&amp;IF(M453="SubXY","1","0")&amp;IF(H453&lt;&gt;"",VLOOKUP(H453,Ops!$F$2:'Ops'!$G$20,2,FALSE),"000000"),2)),2)</f>
        <v>01</v>
      </c>
      <c r="Q453" s="26" t="str" cm="1">
        <f t="array" ref="Q453">BIN2HEX(_xlfn.IFS(D453="HWINTEN","10",G453="KeyAck","01",G453="InitLp8","01",TRUE,"00")&amp;IF(OR(Ops!$O$2:'Ops'!$O$13=K453),VLOOKUP(K453,Ops!$O$2:'Ops'!$P$13,2,FALSE),"000")&amp;IF(E453&lt;&gt;"",IF(LEN(_xlfn.XLOOKUP($E453,$C$5:$C$681,$B$5:$B$681,0))=3,HEX2BIN(LEFT(_xlfn.XLOOKUP($E453,$C$5:$C$681,$B$5:$B$681,0),1),3),IF(OR(Ops!$L$2:'Ops'!$L$11=J453),VLOOKUP(J453,Ops!$L$2:'Ops'!$M$11,2,FALSE),"000")),IF(OR(Ops!$L$2:'Ops'!$L$11=J453),VLOOKUP(J453,Ops!$L$2:'Ops'!$M$11,2,FALSE),"000")),2)</f>
        <v>00</v>
      </c>
      <c r="R453" s="27"/>
      <c r="S453" s="4" t="s">
        <v>371</v>
      </c>
      <c r="Z453" s="74" t="str">
        <f t="shared" si="133"/>
        <v>0x00,</v>
      </c>
      <c r="AA453" s="75" t="str">
        <f t="shared" si="134"/>
        <v>0x01,</v>
      </c>
      <c r="AB453" s="75" t="str">
        <f t="shared" si="135"/>
        <v>0x00,</v>
      </c>
      <c r="AC453" s="76"/>
    </row>
    <row r="454" spans="1:29" x14ac:dyDescent="0.3">
      <c r="A454" s="79">
        <f>A453+3</f>
        <v>1368</v>
      </c>
      <c r="B454" s="80" t="str">
        <f t="shared" si="141"/>
        <v>558</v>
      </c>
      <c r="D454" s="29"/>
      <c r="F454" s="29"/>
      <c r="G454" s="24"/>
      <c r="H454" s="29"/>
      <c r="J454" s="4" t="s">
        <v>314</v>
      </c>
      <c r="K454" s="4" t="s">
        <v>313</v>
      </c>
      <c r="L454" s="4" t="s">
        <v>181</v>
      </c>
      <c r="M454" s="14"/>
      <c r="O454" s="25" t="str" cm="1">
        <f t="array" ref="O454">BIN2HEX(IF(I454&lt;&gt;"",VLOOKUP(I454,Ops!$I$2:'Ops'!$J$15,2,FALSE),IF(ISNUMBER(SEARCH("BR",D454)),"001","000"))&amp;IF(D454&lt;&gt;"",VLOOKUP(D454,Ops!$B$2:'Ops'!$C$23,2,FALSE),"0")&amp;_xlfn.IFS(ISNUMBER(SEARCH("BR",D454)),VLOOKUP(D454,Ops!$B$3:'Ops'!$D$22,3,FALSE),F454&lt;&gt;"",VLOOKUP(F454,Ops!$R$2:'Ops'!$S$11,2),L454&lt;&gt;"",VLOOKUP(L454,Ops!$R$2:'Ops'!$S$25,2,FALSE),TRUE,"0000"),2)</f>
        <v>02</v>
      </c>
      <c r="P454" s="26" t="str">
        <f>RIGHT(IF($E454&lt;&gt;"",_xlfn.XLOOKUP($E454,$C$4:$C$681,$B$4:$B$681,"NO LABEL"),BIN2HEX(IF(N454="CarryEn","1","0")&amp;IF(M454="SubXY","1","0")&amp;IF(H454&lt;&gt;"",VLOOKUP(H454,Ops!$F$2:'Ops'!$G$20,2,FALSE),"000000"),2)),2)</f>
        <v>00</v>
      </c>
      <c r="Q454" s="26" t="str" cm="1">
        <f t="array" ref="Q454">BIN2HEX(_xlfn.IFS(D454="HWINTEN","10",G454="KeyAck","01",G454="InitLp8","01",TRUE,"00")&amp;IF(OR(Ops!$O$2:'Ops'!$O$13=K454),VLOOKUP(K454,Ops!$O$2:'Ops'!$P$13,2,FALSE),"000")&amp;IF(E454&lt;&gt;"",IF(LEN(_xlfn.XLOOKUP($E454,$C$5:$C$681,$B$5:$B$681,0))=3,HEX2BIN(LEFT(_xlfn.XLOOKUP($E454,$C$5:$C$681,$B$5:$B$681,0),1),3),IF(OR(Ops!$L$2:'Ops'!$L$11=J454),VLOOKUP(J454,Ops!$L$2:'Ops'!$M$11,2,FALSE),"000")),IF(OR(Ops!$L$2:'Ops'!$L$11=J454),VLOOKUP(J454,Ops!$L$2:'Ops'!$M$11,2,FALSE),"000")),2)</f>
        <v>36</v>
      </c>
      <c r="R454" s="27"/>
      <c r="S454" s="4" t="s">
        <v>372</v>
      </c>
      <c r="Z454" s="74" t="str">
        <f t="shared" si="133"/>
        <v>0x02,</v>
      </c>
      <c r="AA454" s="75" t="str">
        <f t="shared" si="134"/>
        <v>0x00,</v>
      </c>
      <c r="AB454" s="75" t="str">
        <f t="shared" si="135"/>
        <v>0x36,</v>
      </c>
      <c r="AC454" s="76"/>
    </row>
    <row r="455" spans="1:29" x14ac:dyDescent="0.3">
      <c r="A455" s="79">
        <f t="shared" ref="A455:A504" si="142">A454+3</f>
        <v>1371</v>
      </c>
      <c r="B455" s="80" t="str">
        <f t="shared" si="141"/>
        <v>55B</v>
      </c>
      <c r="D455" s="29" t="s">
        <v>0</v>
      </c>
      <c r="E455" s="4" t="s">
        <v>295</v>
      </c>
      <c r="F455" s="29"/>
      <c r="G455" s="24"/>
      <c r="H455" s="29"/>
      <c r="M455" s="14"/>
      <c r="O455" s="25" t="str" cm="1">
        <f t="array" ref="O455">BIN2HEX(IF(I455&lt;&gt;"",VLOOKUP(I455,Ops!$I$2:'Ops'!$J$15,2,FALSE),IF(ISNUMBER(SEARCH("BR",D455)),"001","000"))&amp;IF(D455&lt;&gt;"",VLOOKUP(D455,Ops!$B$2:'Ops'!$C$23,2,FALSE),"0")&amp;_xlfn.IFS(ISNUMBER(SEARCH("BR",D455)),VLOOKUP(D455,Ops!$B$3:'Ops'!$D$22,3,FALSE),F455&lt;&gt;"",VLOOKUP(F455,Ops!$R$2:'Ops'!$S$11,2),L455&lt;&gt;"",VLOOKUP(L455,Ops!$R$2:'Ops'!$S$25,2,FALSE),TRUE,"0000"),2)</f>
        <v>10</v>
      </c>
      <c r="P455" s="26" t="str">
        <f>RIGHT(IF($E455&lt;&gt;"",_xlfn.XLOOKUP($E455,$C$4:$C$681,$B$4:$B$681,"NO LABEL"),BIN2HEX(IF(N455="CarryEn","1","0")&amp;IF(M455="SubXY","1","0")&amp;IF(H455&lt;&gt;"",VLOOKUP(H455,Ops!$F$2:'Ops'!$G$20,2,FALSE),"000000"),2)),2)</f>
        <v>4F</v>
      </c>
      <c r="Q455" s="26" t="str" cm="1">
        <f t="array" ref="Q455">BIN2HEX(_xlfn.IFS(D455="HWINTEN","10",G455="KeyAck","01",G455="InitLp8","01",TRUE,"00")&amp;IF(OR(Ops!$O$2:'Ops'!$O$13=K455),VLOOKUP(K455,Ops!$O$2:'Ops'!$P$13,2,FALSE),"000")&amp;IF(E455&lt;&gt;"",IF(LEN(_xlfn.XLOOKUP($E455,$C$5:$C$681,$B$5:$B$681,0))=3,HEX2BIN(LEFT(_xlfn.XLOOKUP($E455,$C$5:$C$681,$B$5:$B$681,0),1),3),IF(OR(Ops!$L$2:'Ops'!$L$11=J455),VLOOKUP(J455,Ops!$L$2:'Ops'!$M$11,2,FALSE),"000")),IF(OR(Ops!$L$2:'Ops'!$L$11=J455),VLOOKUP(J455,Ops!$L$2:'Ops'!$M$11,2,FALSE),"000")),2)</f>
        <v>05</v>
      </c>
      <c r="R455" s="27"/>
      <c r="S455" s="4" t="s">
        <v>373</v>
      </c>
      <c r="Z455" s="74" t="str">
        <f t="shared" si="133"/>
        <v>0x10,</v>
      </c>
      <c r="AA455" s="75" t="str">
        <f t="shared" si="134"/>
        <v>0x4F,</v>
      </c>
      <c r="AB455" s="75" t="str">
        <f t="shared" si="135"/>
        <v>0x05,</v>
      </c>
      <c r="AC455" s="76"/>
    </row>
    <row r="456" spans="1:29" x14ac:dyDescent="0.3">
      <c r="A456" s="79">
        <f t="shared" si="142"/>
        <v>1374</v>
      </c>
      <c r="B456" s="80" t="str">
        <f t="shared" si="141"/>
        <v>55E</v>
      </c>
      <c r="C456" s="4" t="s">
        <v>365</v>
      </c>
      <c r="D456" s="29"/>
      <c r="F456" s="29"/>
      <c r="G456" s="24"/>
      <c r="H456" s="29"/>
      <c r="J456" s="4" t="s">
        <v>314</v>
      </c>
      <c r="L456" s="4" t="s">
        <v>181</v>
      </c>
      <c r="M456" s="14"/>
      <c r="O456" s="25" t="str" cm="1">
        <f t="array" ref="O456">BIN2HEX(IF(I456&lt;&gt;"",VLOOKUP(I456,Ops!$I$2:'Ops'!$J$15,2,FALSE),IF(ISNUMBER(SEARCH("BR",D456)),"001","000"))&amp;IF(D456&lt;&gt;"",VLOOKUP(D456,Ops!$B$2:'Ops'!$C$23,2,FALSE),"0")&amp;_xlfn.IFS(ISNUMBER(SEARCH("BR",D456)),VLOOKUP(D456,Ops!$B$3:'Ops'!$D$22,3,FALSE),F456&lt;&gt;"",VLOOKUP(F456,Ops!$R$2:'Ops'!$S$11,2),L456&lt;&gt;"",VLOOKUP(L456,Ops!$R$2:'Ops'!$S$25,2,FALSE),TRUE,"0000"),2)</f>
        <v>02</v>
      </c>
      <c r="P456" s="26" t="str">
        <f>RIGHT(IF($E456&lt;&gt;"",_xlfn.XLOOKUP($E456,$C$4:$C$681,$B$4:$B$681,"NO LABEL"),BIN2HEX(IF(N456="CarryEn","1","0")&amp;IF(M456="SubXY","1","0")&amp;IF(H456&lt;&gt;"",VLOOKUP(H456,Ops!$F$2:'Ops'!$G$20,2,FALSE),"000000"),2)),2)</f>
        <v>00</v>
      </c>
      <c r="Q456" s="26" t="str" cm="1">
        <f t="array" ref="Q456">BIN2HEX(_xlfn.IFS(D456="HWINTEN","10",G456="KeyAck","01",G456="InitLp8","01",TRUE,"00")&amp;IF(OR(Ops!$O$2:'Ops'!$O$13=K456),VLOOKUP(K456,Ops!$O$2:'Ops'!$P$13,2,FALSE),"000")&amp;IF(E456&lt;&gt;"",IF(LEN(_xlfn.XLOOKUP($E456,$C$5:$C$681,$B$5:$B$681,0))=3,HEX2BIN(LEFT(_xlfn.XLOOKUP($E456,$C$5:$C$681,$B$5:$B$681,0),1),3),IF(OR(Ops!$L$2:'Ops'!$L$11=J456),VLOOKUP(J456,Ops!$L$2:'Ops'!$M$11,2,FALSE),"000")),IF(OR(Ops!$L$2:'Ops'!$L$11=J456),VLOOKUP(J456,Ops!$L$2:'Ops'!$M$11,2,FALSE),"000")),2)</f>
        <v>06</v>
      </c>
      <c r="R456" s="27"/>
      <c r="S456" s="4" t="s">
        <v>374</v>
      </c>
      <c r="Z456" s="74" t="str">
        <f t="shared" si="133"/>
        <v>0x02,</v>
      </c>
      <c r="AA456" s="75" t="str">
        <f t="shared" si="134"/>
        <v>0x00,</v>
      </c>
      <c r="AB456" s="75" t="str">
        <f t="shared" si="135"/>
        <v>0x06,</v>
      </c>
      <c r="AC456" s="76"/>
    </row>
    <row r="457" spans="1:29" x14ac:dyDescent="0.3">
      <c r="A457" s="79">
        <f t="shared" si="142"/>
        <v>1377</v>
      </c>
      <c r="B457" s="80" t="str">
        <f t="shared" si="141"/>
        <v>561</v>
      </c>
      <c r="D457" s="29" t="s">
        <v>175</v>
      </c>
      <c r="E457" s="4" t="s">
        <v>366</v>
      </c>
      <c r="F457" s="29"/>
      <c r="G457" s="24"/>
      <c r="H457" s="29"/>
      <c r="M457" s="14"/>
      <c r="O457" s="25" t="str" cm="1">
        <f t="array" ref="O457">BIN2HEX(IF(I457&lt;&gt;"",VLOOKUP(I457,Ops!$I$2:'Ops'!$J$15,2,FALSE),IF(ISNUMBER(SEARCH("BR",D457)),"001","000"))&amp;IF(D457&lt;&gt;"",VLOOKUP(D457,Ops!$B$2:'Ops'!$C$23,2,FALSE),"0")&amp;_xlfn.IFS(ISNUMBER(SEARCH("BR",D457)),VLOOKUP(D457,Ops!$B$3:'Ops'!$D$22,3,FALSE),F457&lt;&gt;"",VLOOKUP(F457,Ops!$R$2:'Ops'!$S$11,2),L457&lt;&gt;"",VLOOKUP(L457,Ops!$R$2:'Ops'!$S$25,2,FALSE),TRUE,"0000"),2)</f>
        <v>3A</v>
      </c>
      <c r="P457" s="26" t="str">
        <f>RIGHT(IF($E457&lt;&gt;"",_xlfn.XLOOKUP($E457,$C$4:$C$681,$B$4:$B$681,"NO LABEL"),BIN2HEX(IF(N457="CarryEn","1","0")&amp;IF(M457="SubXY","1","0")&amp;IF(H457&lt;&gt;"",VLOOKUP(H457,Ops!$F$2:'Ops'!$G$20,2,FALSE),"000000"),2)),2)</f>
        <v>6A</v>
      </c>
      <c r="Q457" s="26" t="str" cm="1">
        <f t="array" ref="Q457">BIN2HEX(_xlfn.IFS(D457="HWINTEN","10",G457="KeyAck","01",G457="InitLp8","01",TRUE,"00")&amp;IF(OR(Ops!$O$2:'Ops'!$O$13=K457),VLOOKUP(K457,Ops!$O$2:'Ops'!$P$13,2,FALSE),"000")&amp;IF(E457&lt;&gt;"",IF(LEN(_xlfn.XLOOKUP($E457,$C$5:$C$681,$B$5:$B$681,0))=3,HEX2BIN(LEFT(_xlfn.XLOOKUP($E457,$C$5:$C$681,$B$5:$B$681,0),1),3),IF(OR(Ops!$L$2:'Ops'!$L$11=J457),VLOOKUP(J457,Ops!$L$2:'Ops'!$M$11,2,FALSE),"000")),IF(OR(Ops!$L$2:'Ops'!$L$11=J457),VLOOKUP(J457,Ops!$L$2:'Ops'!$M$11,2,FALSE),"000")),2)</f>
        <v>05</v>
      </c>
      <c r="R457" s="27"/>
      <c r="S457" s="4" t="s">
        <v>375</v>
      </c>
      <c r="Z457" s="74" t="str">
        <f t="shared" si="133"/>
        <v>0x3A,</v>
      </c>
      <c r="AA457" s="75" t="str">
        <f t="shared" si="134"/>
        <v>0x6A,</v>
      </c>
      <c r="AB457" s="75" t="str">
        <f t="shared" si="135"/>
        <v>0x05,</v>
      </c>
      <c r="AC457" s="76"/>
    </row>
    <row r="458" spans="1:29" x14ac:dyDescent="0.3">
      <c r="A458" s="79">
        <f t="shared" si="142"/>
        <v>1380</v>
      </c>
      <c r="B458" s="80" t="str">
        <f t="shared" si="141"/>
        <v>564</v>
      </c>
      <c r="D458" s="29"/>
      <c r="F458" s="29"/>
      <c r="G458" s="24"/>
      <c r="H458" s="29"/>
      <c r="I458" s="4" t="s">
        <v>290</v>
      </c>
      <c r="K458" s="4" t="s">
        <v>515</v>
      </c>
      <c r="M458" s="14"/>
      <c r="O458" s="25" t="str" cm="1">
        <f t="array" ref="O458">BIN2HEX(IF(I458&lt;&gt;"",VLOOKUP(I458,Ops!$I$2:'Ops'!$J$15,2,FALSE),IF(ISNUMBER(SEARCH("BR",D458)),"001","000"))&amp;IF(D458&lt;&gt;"",VLOOKUP(D458,Ops!$B$2:'Ops'!$C$23,2,FALSE),"0")&amp;_xlfn.IFS(ISNUMBER(SEARCH("BR",D458)),VLOOKUP(D458,Ops!$B$3:'Ops'!$D$22,3,FALSE),F458&lt;&gt;"",VLOOKUP(F458,Ops!$R$2:'Ops'!$S$11,2),L458&lt;&gt;"",VLOOKUP(L458,Ops!$R$2:'Ops'!$S$25,2,FALSE),TRUE,"0000"),2)</f>
        <v>40</v>
      </c>
      <c r="P458" s="26" t="str">
        <f>RIGHT(IF($E458&lt;&gt;"",_xlfn.XLOOKUP($E458,$C$4:$C$681,$B$4:$B$681,"NO LABEL"),BIN2HEX(IF(N458="CarryEn","1","0")&amp;IF(M458="SubXY","1","0")&amp;IF(H458&lt;&gt;"",VLOOKUP(H458,Ops!$F$2:'Ops'!$G$20,2,FALSE),"000000"),2)),2)</f>
        <v>00</v>
      </c>
      <c r="Q458" s="26" t="str" cm="1">
        <f t="array" ref="Q458">BIN2HEX(_xlfn.IFS(D458="HWINTEN","10",G458="KeyAck","01",G458="InitLp8","01",TRUE,"00")&amp;IF(OR(Ops!$O$2:'Ops'!$O$13=K458),VLOOKUP(K458,Ops!$O$2:'Ops'!$P$13,2,FALSE),"000")&amp;IF(E458&lt;&gt;"",IF(LEN(_xlfn.XLOOKUP($E458,$C$5:$C$681,$B$5:$B$681,0))=3,HEX2BIN(LEFT(_xlfn.XLOOKUP($E458,$C$5:$C$681,$B$5:$B$681,0),1),3),IF(OR(Ops!$L$2:'Ops'!$L$11=J458),VLOOKUP(J458,Ops!$L$2:'Ops'!$M$11,2,FALSE),"000")),IF(OR(Ops!$L$2:'Ops'!$L$11=J458),VLOOKUP(J458,Ops!$L$2:'Ops'!$M$11,2,FALSE),"000")),2)</f>
        <v>20</v>
      </c>
      <c r="R458" s="27"/>
      <c r="S458" s="4" t="s">
        <v>376</v>
      </c>
      <c r="Z458" s="74" t="str">
        <f t="shared" si="133"/>
        <v>0x40,</v>
      </c>
      <c r="AA458" s="75" t="str">
        <f t="shared" si="134"/>
        <v>0x00,</v>
      </c>
      <c r="AB458" s="75" t="str">
        <f t="shared" si="135"/>
        <v>0x20,</v>
      </c>
      <c r="AC458" s="76"/>
    </row>
    <row r="459" spans="1:29" x14ac:dyDescent="0.3">
      <c r="A459" s="79">
        <f t="shared" si="142"/>
        <v>1383</v>
      </c>
      <c r="B459" s="80" t="str">
        <f t="shared" si="141"/>
        <v>567</v>
      </c>
      <c r="D459" s="29" t="s">
        <v>99</v>
      </c>
      <c r="E459" s="4" t="s">
        <v>367</v>
      </c>
      <c r="F459" s="29"/>
      <c r="G459" s="24"/>
      <c r="H459" s="29"/>
      <c r="M459" s="14"/>
      <c r="O459" s="25" t="str" cm="1">
        <f t="array" ref="O459">BIN2HEX(IF(I459&lt;&gt;"",VLOOKUP(I459,Ops!$I$2:'Ops'!$J$15,2,FALSE),IF(ISNUMBER(SEARCH("BR",D459)),"001","000"))&amp;IF(D459&lt;&gt;"",VLOOKUP(D459,Ops!$B$2:'Ops'!$C$23,2,FALSE),"0")&amp;_xlfn.IFS(ISNUMBER(SEARCH("BR",D459)),VLOOKUP(D459,Ops!$B$3:'Ops'!$D$22,3,FALSE),F459&lt;&gt;"",VLOOKUP(F459,Ops!$R$2:'Ops'!$S$11,2),L459&lt;&gt;"",VLOOKUP(L459,Ops!$R$2:'Ops'!$S$25,2,FALSE),TRUE,"0000"),2)</f>
        <v>39</v>
      </c>
      <c r="P459" s="26" t="str">
        <f>RIGHT(IF($E459&lt;&gt;"",_xlfn.XLOOKUP($E459,$C$4:$C$681,$B$4:$B$681,"NO LABEL"),BIN2HEX(IF(N459="CarryEn","1","0")&amp;IF(M459="SubXY","1","0")&amp;IF(H459&lt;&gt;"",VLOOKUP(H459,Ops!$F$2:'Ops'!$G$20,2,FALSE),"000000"),2)),2)</f>
        <v>70</v>
      </c>
      <c r="Q459" s="26" t="str" cm="1">
        <f t="array" ref="Q459">BIN2HEX(_xlfn.IFS(D459="HWINTEN","10",G459="KeyAck","01",G459="InitLp8","01",TRUE,"00")&amp;IF(OR(Ops!$O$2:'Ops'!$O$13=K459),VLOOKUP(K459,Ops!$O$2:'Ops'!$P$13,2,FALSE),"000")&amp;IF(E459&lt;&gt;"",IF(LEN(_xlfn.XLOOKUP($E459,$C$5:$C$681,$B$5:$B$681,0))=3,HEX2BIN(LEFT(_xlfn.XLOOKUP($E459,$C$5:$C$681,$B$5:$B$681,0),1),3),IF(OR(Ops!$L$2:'Ops'!$L$11=J459),VLOOKUP(J459,Ops!$L$2:'Ops'!$M$11,2,FALSE),"000")),IF(OR(Ops!$L$2:'Ops'!$L$11=J459),VLOOKUP(J459,Ops!$L$2:'Ops'!$M$11,2,FALSE),"000")),2)</f>
        <v>05</v>
      </c>
      <c r="R459" s="27"/>
      <c r="S459" s="4" t="s">
        <v>377</v>
      </c>
      <c r="Z459" s="74" t="str">
        <f t="shared" si="133"/>
        <v>0x39,</v>
      </c>
      <c r="AA459" s="75" t="str">
        <f t="shared" si="134"/>
        <v>0x70,</v>
      </c>
      <c r="AB459" s="75" t="str">
        <f t="shared" si="135"/>
        <v>0x05,</v>
      </c>
      <c r="AC459" s="76"/>
    </row>
    <row r="460" spans="1:29" x14ac:dyDescent="0.3">
      <c r="A460" s="79">
        <f t="shared" si="142"/>
        <v>1386</v>
      </c>
      <c r="B460" s="80" t="str">
        <f t="shared" ref="B460:B488" si="143">DEC2HEX(A460)</f>
        <v>56A</v>
      </c>
      <c r="C460" s="4" t="s">
        <v>366</v>
      </c>
      <c r="D460" s="29"/>
      <c r="F460" s="29"/>
      <c r="G460" s="24"/>
      <c r="H460" s="29"/>
      <c r="J460" s="4" t="s">
        <v>314</v>
      </c>
      <c r="K460" s="4" t="s">
        <v>313</v>
      </c>
      <c r="L460" s="4" t="s">
        <v>181</v>
      </c>
      <c r="M460" s="14"/>
      <c r="O460" s="25" t="str" cm="1">
        <f t="array" ref="O460">BIN2HEX(IF(I460&lt;&gt;"",VLOOKUP(I460,Ops!$I$2:'Ops'!$J$15,2,FALSE),IF(ISNUMBER(SEARCH("BR",D460)),"001","000"))&amp;IF(D460&lt;&gt;"",VLOOKUP(D460,Ops!$B$2:'Ops'!$C$23,2,FALSE),"0")&amp;_xlfn.IFS(ISNUMBER(SEARCH("BR",D460)),VLOOKUP(D460,Ops!$B$3:'Ops'!$D$22,3,FALSE),F460&lt;&gt;"",VLOOKUP(F460,Ops!$R$2:'Ops'!$S$11,2),L460&lt;&gt;"",VLOOKUP(L460,Ops!$R$2:'Ops'!$S$25,2,FALSE),TRUE,"0000"),2)</f>
        <v>02</v>
      </c>
      <c r="P460" s="26" t="str">
        <f>RIGHT(IF($E460&lt;&gt;"",_xlfn.XLOOKUP($E460,$C$4:$C$681,$B$4:$B$681,"NO LABEL"),BIN2HEX(IF(N460="CarryEn","1","0")&amp;IF(M460="SubXY","1","0")&amp;IF(H460&lt;&gt;"",VLOOKUP(H460,Ops!$F$2:'Ops'!$G$20,2,FALSE),"000000"),2)),2)</f>
        <v>00</v>
      </c>
      <c r="Q460" s="26" t="str" cm="1">
        <f t="array" ref="Q460">BIN2HEX(_xlfn.IFS(D460="HWINTEN","10",G460="KeyAck","01",G460="InitLp8","01",TRUE,"00")&amp;IF(OR(Ops!$O$2:'Ops'!$O$13=K460),VLOOKUP(K460,Ops!$O$2:'Ops'!$P$13,2,FALSE),"000")&amp;IF(E460&lt;&gt;"",IF(LEN(_xlfn.XLOOKUP($E460,$C$5:$C$681,$B$5:$B$681,0))=3,HEX2BIN(LEFT(_xlfn.XLOOKUP($E460,$C$5:$C$681,$B$5:$B$681,0),1),3),IF(OR(Ops!$L$2:'Ops'!$L$11=J460),VLOOKUP(J460,Ops!$L$2:'Ops'!$M$11,2,FALSE),"000")),IF(OR(Ops!$L$2:'Ops'!$L$11=J460),VLOOKUP(J460,Ops!$L$2:'Ops'!$M$11,2,FALSE),"000")),2)</f>
        <v>36</v>
      </c>
      <c r="R460" s="27"/>
      <c r="S460" s="4" t="s">
        <v>378</v>
      </c>
      <c r="Z460" s="74" t="str">
        <f t="shared" si="133"/>
        <v>0x02,</v>
      </c>
      <c r="AA460" s="75" t="str">
        <f t="shared" si="134"/>
        <v>0x00,</v>
      </c>
      <c r="AB460" s="75" t="str">
        <f t="shared" si="135"/>
        <v>0x36,</v>
      </c>
      <c r="AC460" s="76"/>
    </row>
    <row r="461" spans="1:29" x14ac:dyDescent="0.3">
      <c r="A461" s="79">
        <f t="shared" si="142"/>
        <v>1389</v>
      </c>
      <c r="B461" s="80" t="str">
        <f t="shared" si="143"/>
        <v>56D</v>
      </c>
      <c r="D461" s="29" t="s">
        <v>0</v>
      </c>
      <c r="E461" s="12" t="s">
        <v>600</v>
      </c>
      <c r="F461" s="29"/>
      <c r="G461" s="24"/>
      <c r="H461" s="29"/>
      <c r="M461" s="14"/>
      <c r="O461" s="25" t="str" cm="1">
        <f t="array" ref="O461">BIN2HEX(IF(I461&lt;&gt;"",VLOOKUP(I461,Ops!$I$2:'Ops'!$J$15,2,FALSE),IF(ISNUMBER(SEARCH("BR",D461)),"001","000"))&amp;IF(D461&lt;&gt;"",VLOOKUP(D461,Ops!$B$2:'Ops'!$C$23,2,FALSE),"0")&amp;_xlfn.IFS(ISNUMBER(SEARCH("BR",D461)),VLOOKUP(D461,Ops!$B$3:'Ops'!$D$22,3,FALSE),F461&lt;&gt;"",VLOOKUP(F461,Ops!$R$2:'Ops'!$S$11,2),L461&lt;&gt;"",VLOOKUP(L461,Ops!$R$2:'Ops'!$S$25,2,FALSE),TRUE,"0000"),2)</f>
        <v>10</v>
      </c>
      <c r="P461" s="26" t="str">
        <f>RIGHT(IF($E461&lt;&gt;"",_xlfn.XLOOKUP($E461,$C$4:$C$681,$B$4:$B$681,"NO LABEL"),BIN2HEX(IF(N461="CarryEn","1","0")&amp;IF(M461="SubXY","1","0")&amp;IF(H461&lt;&gt;"",VLOOKUP(H461,Ops!$F$2:'Ops'!$G$20,2,FALSE),"000000"),2)),2)</f>
        <v>17</v>
      </c>
      <c r="Q461" s="26" t="str" cm="1">
        <f t="array" ref="Q461">BIN2HEX(_xlfn.IFS(D461="HWINTEN","10",G461="KeyAck","01",G461="InitLp8","01",TRUE,"00")&amp;IF(OR(Ops!$O$2:'Ops'!$O$13=K461),VLOOKUP(K461,Ops!$O$2:'Ops'!$P$13,2,FALSE),"000")&amp;IF(E461&lt;&gt;"",IF(LEN(_xlfn.XLOOKUP($E461,$C$5:$C$681,$B$5:$B$681,0))=3,HEX2BIN(LEFT(_xlfn.XLOOKUP($E461,$C$5:$C$681,$B$5:$B$681,0),1),3),IF(OR(Ops!$L$2:'Ops'!$L$11=J461),VLOOKUP(J461,Ops!$L$2:'Ops'!$M$11,2,FALSE),"000")),IF(OR(Ops!$L$2:'Ops'!$L$11=J461),VLOOKUP(J461,Ops!$L$2:'Ops'!$M$11,2,FALSE),"000")),2)</f>
        <v>07</v>
      </c>
      <c r="R461" s="27"/>
      <c r="S461" s="4" t="s">
        <v>284</v>
      </c>
      <c r="Z461" s="74" t="str">
        <f t="shared" si="133"/>
        <v>0x10,</v>
      </c>
      <c r="AA461" s="75" t="str">
        <f t="shared" si="134"/>
        <v>0x17,</v>
      </c>
      <c r="AB461" s="75" t="str">
        <f t="shared" si="135"/>
        <v>0x07,</v>
      </c>
      <c r="AC461" s="76"/>
    </row>
    <row r="462" spans="1:29" x14ac:dyDescent="0.3">
      <c r="A462" s="79">
        <f t="shared" si="142"/>
        <v>1392</v>
      </c>
      <c r="B462" s="80" t="str">
        <f t="shared" si="143"/>
        <v>570</v>
      </c>
      <c r="C462" s="4" t="s">
        <v>367</v>
      </c>
      <c r="D462" s="29"/>
      <c r="F462" s="29"/>
      <c r="G462" s="24"/>
      <c r="H462" s="29" t="s">
        <v>468</v>
      </c>
      <c r="I462" s="4" t="s">
        <v>481</v>
      </c>
      <c r="L462" s="121">
        <v>0</v>
      </c>
      <c r="M462" s="14"/>
      <c r="O462" s="25" t="str" cm="1">
        <f t="array" ref="O462">BIN2HEX(IF(I462&lt;&gt;"",VLOOKUP(I462,Ops!$I$2:'Ops'!$J$15,2,FALSE),IF(ISNUMBER(SEARCH("BR",D462)),"001","000"))&amp;IF(D462&lt;&gt;"",VLOOKUP(D462,Ops!$B$2:'Ops'!$C$23,2,FALSE),"0")&amp;_xlfn.IFS(ISNUMBER(SEARCH("BR",D462)),VLOOKUP(D462,Ops!$B$3:'Ops'!$D$22,3,FALSE),F462&lt;&gt;"",VLOOKUP(F462,Ops!$R$2:'Ops'!$S$11,2),L462&lt;&gt;"",VLOOKUP(L462,Ops!$R$2:'Ops'!$S$25,2,FALSE),TRUE,"0000"),2)</f>
        <v>00</v>
      </c>
      <c r="P462" s="26" t="str">
        <f>RIGHT(IF($E462&lt;&gt;"",_xlfn.XLOOKUP($E462,$C$4:$C$681,$B$4:$B$681,"NO LABEL"),BIN2HEX(IF(N462="CarryEn","1","0")&amp;IF(M462="SubXY","1","0")&amp;IF(H462&lt;&gt;"",VLOOKUP(H462,Ops!$F$2:'Ops'!$G$20,2,FALSE),"000000"),2)),2)</f>
        <v>02</v>
      </c>
      <c r="Q462" s="26" t="str" cm="1">
        <f t="array" ref="Q462">BIN2HEX(_xlfn.IFS(D462="HWINTEN","10",G462="KeyAck","01",G462="InitLp8","01",TRUE,"00")&amp;IF(OR(Ops!$O$2:'Ops'!$O$13=K462),VLOOKUP(K462,Ops!$O$2:'Ops'!$P$13,2,FALSE),"000")&amp;IF(E462&lt;&gt;"",IF(LEN(_xlfn.XLOOKUP($E462,$C$5:$C$681,$B$5:$B$681,0))=3,HEX2BIN(LEFT(_xlfn.XLOOKUP($E462,$C$5:$C$681,$B$5:$B$681,0),1),3),IF(OR(Ops!$L$2:'Ops'!$L$11=J462),VLOOKUP(J462,Ops!$L$2:'Ops'!$M$11,2,FALSE),"000")),IF(OR(Ops!$L$2:'Ops'!$L$11=J462),VLOOKUP(J462,Ops!$L$2:'Ops'!$M$11,2,FALSE),"000")),2)</f>
        <v>00</v>
      </c>
      <c r="R462" s="27"/>
      <c r="S462" s="4" t="s">
        <v>379</v>
      </c>
      <c r="Z462" s="74" t="str">
        <f t="shared" si="133"/>
        <v>0x00,</v>
      </c>
      <c r="AA462" s="75" t="str">
        <f t="shared" si="134"/>
        <v>0x02,</v>
      </c>
      <c r="AB462" s="75" t="str">
        <f t="shared" si="135"/>
        <v>0x00,</v>
      </c>
      <c r="AC462" s="76"/>
    </row>
    <row r="463" spans="1:29" x14ac:dyDescent="0.3">
      <c r="A463" s="79">
        <f t="shared" si="142"/>
        <v>1395</v>
      </c>
      <c r="B463" s="80" t="str">
        <f t="shared" si="143"/>
        <v>573</v>
      </c>
      <c r="D463" s="29" t="s">
        <v>0</v>
      </c>
      <c r="E463" s="4" t="s">
        <v>365</v>
      </c>
      <c r="F463" s="29"/>
      <c r="G463" s="24"/>
      <c r="H463" s="29"/>
      <c r="M463" s="14"/>
      <c r="O463" s="25" t="str" cm="1">
        <f t="array" ref="O463">BIN2HEX(IF(I463&lt;&gt;"",VLOOKUP(I463,Ops!$I$2:'Ops'!$J$15,2,FALSE),IF(ISNUMBER(SEARCH("BR",D463)),"001","000"))&amp;IF(D463&lt;&gt;"",VLOOKUP(D463,Ops!$B$2:'Ops'!$C$23,2,FALSE),"0")&amp;_xlfn.IFS(ISNUMBER(SEARCH("BR",D463)),VLOOKUP(D463,Ops!$B$3:'Ops'!$D$22,3,FALSE),F463&lt;&gt;"",VLOOKUP(F463,Ops!$R$2:'Ops'!$S$11,2),L463&lt;&gt;"",VLOOKUP(L463,Ops!$R$2:'Ops'!$S$25,2,FALSE),TRUE,"0000"),2)</f>
        <v>10</v>
      </c>
      <c r="P463" s="26" t="str">
        <f>RIGHT(IF($E463&lt;&gt;"",_xlfn.XLOOKUP($E463,$C$4:$C$681,$B$4:$B$681,"NO LABEL"),BIN2HEX(IF(N463="CarryEn","1","0")&amp;IF(M463="SubXY","1","0")&amp;IF(H463&lt;&gt;"",VLOOKUP(H463,Ops!$F$2:'Ops'!$G$20,2,FALSE),"000000"),2)),2)</f>
        <v>5E</v>
      </c>
      <c r="Q463" s="26" t="str" cm="1">
        <f t="array" ref="Q463">BIN2HEX(_xlfn.IFS(D463="HWINTEN","10",G463="KeyAck","01",G463="InitLp8","01",TRUE,"00")&amp;IF(OR(Ops!$O$2:'Ops'!$O$13=K463),VLOOKUP(K463,Ops!$O$2:'Ops'!$P$13,2,FALSE),"000")&amp;IF(E463&lt;&gt;"",IF(LEN(_xlfn.XLOOKUP($E463,$C$5:$C$681,$B$5:$B$681,0))=3,HEX2BIN(LEFT(_xlfn.XLOOKUP($E463,$C$5:$C$681,$B$5:$B$681,0),1),3),IF(OR(Ops!$L$2:'Ops'!$L$11=J463),VLOOKUP(J463,Ops!$L$2:'Ops'!$M$11,2,FALSE),"000")),IF(OR(Ops!$L$2:'Ops'!$L$11=J463),VLOOKUP(J463,Ops!$L$2:'Ops'!$M$11,2,FALSE),"000")),2)</f>
        <v>05</v>
      </c>
      <c r="R463" s="27"/>
      <c r="S463" s="4" t="s">
        <v>380</v>
      </c>
      <c r="Z463" s="74" t="str">
        <f t="shared" si="133"/>
        <v>0x10,</v>
      </c>
      <c r="AA463" s="75" t="str">
        <f t="shared" si="134"/>
        <v>0x5E,</v>
      </c>
      <c r="AB463" s="75" t="str">
        <f t="shared" si="135"/>
        <v>0x05,</v>
      </c>
      <c r="AC463" s="76"/>
    </row>
    <row r="464" spans="1:29" x14ac:dyDescent="0.3">
      <c r="A464" s="79">
        <f t="shared" si="142"/>
        <v>1398</v>
      </c>
      <c r="B464" s="80" t="str">
        <f t="shared" si="143"/>
        <v>576</v>
      </c>
      <c r="C464" s="4" t="s">
        <v>326</v>
      </c>
      <c r="D464" s="29"/>
      <c r="F464" s="29"/>
      <c r="G464" s="24"/>
      <c r="H464" s="29"/>
      <c r="J464" s="4" t="s">
        <v>421</v>
      </c>
      <c r="K464" s="4" t="s">
        <v>422</v>
      </c>
      <c r="L464" s="4" t="s">
        <v>325</v>
      </c>
      <c r="M464" s="14"/>
      <c r="O464" s="25" t="str" cm="1">
        <f t="array" ref="O464">BIN2HEX(IF(I464&lt;&gt;"",VLOOKUP(I464,Ops!$I$2:'Ops'!$J$15,2,FALSE),IF(ISNUMBER(SEARCH("BR",D464)),"001","000"))&amp;IF(D464&lt;&gt;"",VLOOKUP(D464,Ops!$B$2:'Ops'!$C$23,2,FALSE),"0")&amp;_xlfn.IFS(ISNUMBER(SEARCH("BR",D464)),VLOOKUP(D464,Ops!$B$3:'Ops'!$D$22,3,FALSE),F464&lt;&gt;"",VLOOKUP(F464,Ops!$R$2:'Ops'!$S$11,2),L464&lt;&gt;"",VLOOKUP(L464,Ops!$R$2:'Ops'!$S$25,2,FALSE),TRUE,"0000"),2)</f>
        <v>06</v>
      </c>
      <c r="P464" s="26" t="str">
        <f>RIGHT(IF($E464&lt;&gt;"",_xlfn.XLOOKUP($E464,$C$4:$C$681,$B$4:$B$681,"NO LABEL"),BIN2HEX(IF(N464="CarryEn","1","0")&amp;IF(M464="SubXY","1","0")&amp;IF(H464&lt;&gt;"",VLOOKUP(H464,Ops!$F$2:'Ops'!$G$20,2,FALSE),"000000"),2)),2)</f>
        <v>00</v>
      </c>
      <c r="Q464" s="26" t="str" cm="1">
        <f t="array" ref="Q464">BIN2HEX(_xlfn.IFS(D464="HWINTEN","10",G464="KeyAck","01",G464="InitLp8","01",TRUE,"00")&amp;IF(OR(Ops!$O$2:'Ops'!$O$13=K464),VLOOKUP(K464,Ops!$O$2:'Ops'!$P$13,2,FALSE),"000")&amp;IF(E464&lt;&gt;"",IF(LEN(_xlfn.XLOOKUP($E464,$C$5:$C$681,$B$5:$B$681,0))=3,HEX2BIN(LEFT(_xlfn.XLOOKUP($E464,$C$5:$C$681,$B$5:$B$681,0),1),3),IF(OR(Ops!$L$2:'Ops'!$L$11=J464),VLOOKUP(J464,Ops!$L$2:'Ops'!$M$11,2,FALSE),"000")),IF(OR(Ops!$L$2:'Ops'!$L$11=J464),VLOOKUP(J464,Ops!$L$2:'Ops'!$M$11,2,FALSE),"000")),2)</f>
        <v>1B</v>
      </c>
      <c r="R464" s="27"/>
      <c r="S464" s="4" t="s">
        <v>381</v>
      </c>
      <c r="Z464" s="74" t="str">
        <f t="shared" si="133"/>
        <v>0x06,</v>
      </c>
      <c r="AA464" s="75" t="str">
        <f t="shared" si="134"/>
        <v>0x00,</v>
      </c>
      <c r="AB464" s="75" t="str">
        <f t="shared" si="135"/>
        <v>0x1B,</v>
      </c>
      <c r="AC464" s="76"/>
    </row>
    <row r="465" spans="1:29" x14ac:dyDescent="0.3">
      <c r="A465" s="79">
        <f t="shared" si="142"/>
        <v>1401</v>
      </c>
      <c r="B465" s="80" t="str">
        <f t="shared" si="143"/>
        <v>579</v>
      </c>
      <c r="D465" s="29" t="s">
        <v>0</v>
      </c>
      <c r="E465" s="12" t="s">
        <v>1</v>
      </c>
      <c r="F465" s="29"/>
      <c r="G465" s="35"/>
      <c r="H465" s="29"/>
      <c r="M465" s="14"/>
      <c r="O465" s="55" t="str" cm="1">
        <f t="array" ref="O465">BIN2HEX(IF(I465&lt;&gt;"",VLOOKUP(I465,Ops!$I$2:'Ops'!$J$15,2,FALSE),IF(ISNUMBER(SEARCH("BR",D465)),"001","000"))&amp;IF(D465&lt;&gt;"",VLOOKUP(D465,Ops!$B$2:'Ops'!$C$23,2,FALSE),"0")&amp;_xlfn.IFS(ISNUMBER(SEARCH("BR",D465)),VLOOKUP(D465,Ops!$B$3:'Ops'!$D$22,3,FALSE),F465&lt;&gt;"",VLOOKUP(F465,Ops!$R$2:'Ops'!$S$11,2),L465&lt;&gt;"",VLOOKUP(L465,Ops!$R$2:'Ops'!$S$25,2,FALSE),TRUE,"0000"),2)</f>
        <v>10</v>
      </c>
      <c r="P465" s="44" t="str">
        <f>RIGHT(IF($E465&lt;&gt;"",_xlfn.XLOOKUP($E465,$C$4:$C$681,$B$4:$B$681,"NO LABEL"),BIN2HEX(IF(N465="CarryEn","1","0")&amp;IF(M465="SubXY","1","0")&amp;IF(H465&lt;&gt;"",VLOOKUP(H465,Ops!$F$2:'Ops'!$G$20,2,FALSE),"000000"),2)),2)</f>
        <v>60</v>
      </c>
      <c r="Q465" s="44" t="str" cm="1">
        <f t="array" ref="Q465">BIN2HEX(_xlfn.IFS(D465="HWINTEN","10",G465="KeyAck","01",G465="InitLp8","01",TRUE,"00")&amp;IF(OR(Ops!$O$2:'Ops'!$O$13=K465),VLOOKUP(K465,Ops!$O$2:'Ops'!$P$13,2,FALSE),"000")&amp;IF(E465&lt;&gt;"",IF(LEN(_xlfn.XLOOKUP($E465,$C$5:$C$681,$B$5:$B$681,0))=3,HEX2BIN(LEFT(_xlfn.XLOOKUP($E465,$C$5:$C$681,$B$5:$B$681,0),1),3),IF(OR(Ops!$L$2:'Ops'!$L$11=J465),VLOOKUP(J465,Ops!$L$2:'Ops'!$M$11,2,FALSE),"000")),IF(OR(Ops!$L$2:'Ops'!$L$11=J465),VLOOKUP(J465,Ops!$L$2:'Ops'!$M$11,2,FALSE),"000")),2)</f>
        <v>00</v>
      </c>
      <c r="R465" s="45"/>
      <c r="S465" s="4" t="s">
        <v>382</v>
      </c>
      <c r="Z465" s="74" t="str">
        <f t="shared" si="133"/>
        <v>0x10,</v>
      </c>
      <c r="AA465" s="75" t="str">
        <f t="shared" si="134"/>
        <v>0x60,</v>
      </c>
      <c r="AB465" s="75" t="str">
        <f t="shared" si="135"/>
        <v>0x00,</v>
      </c>
      <c r="AC465" s="76"/>
    </row>
    <row r="466" spans="1:29" x14ac:dyDescent="0.3">
      <c r="A466" s="79">
        <f t="shared" si="142"/>
        <v>1404</v>
      </c>
      <c r="B466" s="80" t="str">
        <f t="shared" si="143"/>
        <v>57C</v>
      </c>
      <c r="C466" s="47" t="s">
        <v>18</v>
      </c>
      <c r="D466" s="39"/>
      <c r="E466" s="48"/>
      <c r="F466" s="39"/>
      <c r="G466" s="24" t="s">
        <v>692</v>
      </c>
      <c r="H466" s="39"/>
      <c r="I466" s="48"/>
      <c r="J466" s="48"/>
      <c r="K466" s="48"/>
      <c r="L466" s="48"/>
      <c r="M466" s="57"/>
      <c r="N466" s="48"/>
      <c r="O466" s="25" t="str" cm="1">
        <f t="array" ref="O466">BIN2HEX(IF(I466&lt;&gt;"",VLOOKUP(I466,Ops!$I$2:'Ops'!$J$15,2,FALSE),IF(ISNUMBER(SEARCH("BR",D466)),"001","000"))&amp;IF(D466&lt;&gt;"",VLOOKUP(D466,Ops!$B$2:'Ops'!$C$23,2,FALSE),"0")&amp;_xlfn.IFS(ISNUMBER(SEARCH("BR",D466)),VLOOKUP(D466,Ops!$B$3:'Ops'!$D$22,3,FALSE),F466&lt;&gt;"",VLOOKUP(F466,Ops!$R$2:'Ops'!$S$11,2),L466&lt;&gt;"",VLOOKUP(L466,Ops!$R$2:'Ops'!$S$25,2,FALSE),TRUE,"0000"),2)</f>
        <v>00</v>
      </c>
      <c r="P466" s="26" t="str">
        <f>RIGHT(IF($E466&lt;&gt;"",_xlfn.XLOOKUP($E466,$C$4:$C$681,$B$4:$B$681,"NO LABEL"),BIN2HEX(IF(N466="CarryEn","1","0")&amp;IF(M466="SubXY","1","0")&amp;IF(H466&lt;&gt;"",VLOOKUP(H466,Ops!$F$2:'Ops'!$G$20,2,FALSE),"000000"),2)),2)</f>
        <v>00</v>
      </c>
      <c r="Q466" s="26" t="str" cm="1">
        <f t="array" ref="Q466">BIN2HEX(_xlfn.IFS(D466="HWINTEN","10",G466="KeyAck","01",G466="InitLp8","01",TRUE,"00")&amp;IF(OR(Ops!$O$2:'Ops'!$O$13=K466),VLOOKUP(K466,Ops!$O$2:'Ops'!$P$13,2,FALSE),"000")&amp;IF(E466&lt;&gt;"",IF(LEN(_xlfn.XLOOKUP($E466,$C$5:$C$681,$B$5:$B$681,0))=3,HEX2BIN(LEFT(_xlfn.XLOOKUP($E466,$C$5:$C$681,$B$5:$B$681,0),1),3),IF(OR(Ops!$L$2:'Ops'!$L$11=J466),VLOOKUP(J466,Ops!$L$2:'Ops'!$M$11,2,FALSE),"000")),IF(OR(Ops!$L$2:'Ops'!$L$11=J466),VLOOKUP(J466,Ops!$L$2:'Ops'!$M$11,2,FALSE),"000")),2)</f>
        <v>40</v>
      </c>
      <c r="R466" s="27"/>
      <c r="S466" s="4" t="s">
        <v>584</v>
      </c>
      <c r="Z466" s="74" t="str">
        <f t="shared" si="133"/>
        <v>0x00,</v>
      </c>
      <c r="AA466" s="75" t="str">
        <f t="shared" si="134"/>
        <v>0x00,</v>
      </c>
      <c r="AB466" s="75" t="str">
        <f t="shared" si="135"/>
        <v>0x40,</v>
      </c>
      <c r="AC466" s="76"/>
    </row>
    <row r="467" spans="1:29" x14ac:dyDescent="0.3">
      <c r="A467" s="79">
        <f t="shared" si="142"/>
        <v>1407</v>
      </c>
      <c r="B467" s="80" t="str">
        <f t="shared" ref="B467:B479" si="144">DEC2HEX(A467)</f>
        <v>57F</v>
      </c>
      <c r="C467" s="12"/>
      <c r="D467" s="29" t="s">
        <v>251</v>
      </c>
      <c r="E467" s="4" t="s">
        <v>570</v>
      </c>
      <c r="F467" s="29"/>
      <c r="G467" s="24"/>
      <c r="H467" s="29"/>
      <c r="M467" s="14"/>
      <c r="O467" s="25" t="str" cm="1">
        <f t="array" ref="O467">BIN2HEX(IF(I467&lt;&gt;"",VLOOKUP(I467,Ops!$I$2:'Ops'!$J$15,2,FALSE),IF(ISNUMBER(SEARCH("BR",D467)),"001","000"))&amp;IF(D467&lt;&gt;"",VLOOKUP(D467,Ops!$B$2:'Ops'!$C$23,2,FALSE),"0")&amp;_xlfn.IFS(ISNUMBER(SEARCH("BR",D467)),VLOOKUP(D467,Ops!$B$3:'Ops'!$D$22,3,FALSE),F467&lt;&gt;"",VLOOKUP(F467,Ops!$R$2:'Ops'!$S$11,2),L467&lt;&gt;"",VLOOKUP(L467,Ops!$R$2:'Ops'!$S$25,2,FALSE),TRUE,"0000"),2)</f>
        <v>3F</v>
      </c>
      <c r="P467" s="26" t="str">
        <f>RIGHT(IF($E467&lt;&gt;"",_xlfn.XLOOKUP($E467,$C$4:$C$681,$B$4:$B$681,"NO LABEL"),BIN2HEX(IF(N467="CarryEn","1","0")&amp;IF(M467="SubXY","1","0")&amp;IF(H467&lt;&gt;"",VLOOKUP(H467,Ops!$F$2:'Ops'!$G$20,2,FALSE),"000000"),2)),2)</f>
        <v>82</v>
      </c>
      <c r="Q467" s="26" t="str" cm="1">
        <f t="array" ref="Q467">BIN2HEX(_xlfn.IFS(D467="HWINTEN","10",G467="KeyAck","01",G467="InitLp8","01",TRUE,"00")&amp;IF(OR(Ops!$O$2:'Ops'!$O$13=K467),VLOOKUP(K467,Ops!$O$2:'Ops'!$P$13,2,FALSE),"000")&amp;IF(E467&lt;&gt;"",IF(LEN(_xlfn.XLOOKUP($E467,$C$5:$C$681,$B$5:$B$681,0))=3,HEX2BIN(LEFT(_xlfn.XLOOKUP($E467,$C$5:$C$681,$B$5:$B$681,0),1),3),IF(OR(Ops!$L$2:'Ops'!$L$11=J467),VLOOKUP(J467,Ops!$L$2:'Ops'!$M$11,2,FALSE),"000")),IF(OR(Ops!$L$2:'Ops'!$L$11=J467),VLOOKUP(J467,Ops!$L$2:'Ops'!$M$11,2,FALSE),"000")),2)</f>
        <v>05</v>
      </c>
      <c r="R467" s="27"/>
      <c r="S467" s="4" t="s">
        <v>583</v>
      </c>
      <c r="Z467" s="74" t="str">
        <f t="shared" ref="Z467:Z489" si="145">IF(O467="", "};", "0x"&amp;O467&amp;",")</f>
        <v>0x3F,</v>
      </c>
      <c r="AA467" s="75" t="str">
        <f t="shared" ref="AA467:AA489" si="146">"0x"&amp;P467&amp;","</f>
        <v>0x82,</v>
      </c>
      <c r="AB467" s="75" t="str">
        <f t="shared" ref="AB467:AB489" si="147">"0x"&amp;Q467&amp;","</f>
        <v>0x05,</v>
      </c>
      <c r="AC467" s="76"/>
    </row>
    <row r="468" spans="1:29" x14ac:dyDescent="0.3">
      <c r="A468" s="79">
        <f t="shared" si="142"/>
        <v>1410</v>
      </c>
      <c r="B468" s="80" t="str">
        <f t="shared" si="144"/>
        <v>582</v>
      </c>
      <c r="C468" s="4" t="s">
        <v>570</v>
      </c>
      <c r="D468" s="29"/>
      <c r="F468" s="29"/>
      <c r="G468" s="24"/>
      <c r="H468" s="29" t="s">
        <v>53</v>
      </c>
      <c r="I468" s="4" t="s">
        <v>478</v>
      </c>
      <c r="J468" s="4" t="s">
        <v>475</v>
      </c>
      <c r="M468" s="14"/>
      <c r="O468" s="25" t="str" cm="1">
        <f t="array" ref="O468">BIN2HEX(IF(I468&lt;&gt;"",VLOOKUP(I468,Ops!$I$2:'Ops'!$J$15,2,FALSE),IF(ISNUMBER(SEARCH("BR",D468)),"001","000"))&amp;IF(D468&lt;&gt;"",VLOOKUP(D468,Ops!$B$2:'Ops'!$C$23,2,FALSE),"0")&amp;_xlfn.IFS(ISNUMBER(SEARCH("BR",D468)),VLOOKUP(D468,Ops!$B$3:'Ops'!$D$22,3,FALSE),F468&lt;&gt;"",VLOOKUP(F468,Ops!$R$2:'Ops'!$S$11,2),L468&lt;&gt;"",VLOOKUP(L468,Ops!$R$2:'Ops'!$S$25,2,FALSE),TRUE,"0000"),2)</f>
        <v>20</v>
      </c>
      <c r="P468" s="26" t="str">
        <f>RIGHT(IF($E468&lt;&gt;"",_xlfn.XLOOKUP($E468,$C$4:$C$681,$B$4:$B$681,"NO LABEL"),BIN2HEX(IF(N468="CarryEn","1","0")&amp;IF(M468="SubXY","1","0")&amp;IF(H468&lt;&gt;"",VLOOKUP(H468,Ops!$F$2:'Ops'!$G$20,2,FALSE),"000000"),2)),2)</f>
        <v>01</v>
      </c>
      <c r="Q468" s="26" t="str" cm="1">
        <f t="array" ref="Q468">BIN2HEX(_xlfn.IFS(D468="HWINTEN","10",G468="KeyAck","01",G468="InitLp8","01",TRUE,"00")&amp;IF(OR(Ops!$O$2:'Ops'!$O$13=K468),VLOOKUP(K468,Ops!$O$2:'Ops'!$P$13,2,FALSE),"000")&amp;IF(E468&lt;&gt;"",IF(LEN(_xlfn.XLOOKUP($E468,$C$5:$C$681,$B$5:$B$681,0))=3,HEX2BIN(LEFT(_xlfn.XLOOKUP($E468,$C$5:$C$681,$B$5:$B$681,0),1),3),IF(OR(Ops!$L$2:'Ops'!$L$11=J468),VLOOKUP(J468,Ops!$L$2:'Ops'!$M$11,2,FALSE),"000")),IF(OR(Ops!$L$2:'Ops'!$L$11=J468),VLOOKUP(J468,Ops!$L$2:'Ops'!$M$11,2,FALSE),"000")),2)</f>
        <v>00</v>
      </c>
      <c r="R468" s="27"/>
      <c r="S468" s="4" t="s">
        <v>585</v>
      </c>
      <c r="Z468" s="74" t="str">
        <f t="shared" si="145"/>
        <v>0x20,</v>
      </c>
      <c r="AA468" s="75" t="str">
        <f t="shared" si="146"/>
        <v>0x01,</v>
      </c>
      <c r="AB468" s="75" t="str">
        <f t="shared" si="147"/>
        <v>0x00,</v>
      </c>
      <c r="AC468" s="76"/>
    </row>
    <row r="469" spans="1:29" x14ac:dyDescent="0.3">
      <c r="A469" s="79">
        <f t="shared" si="142"/>
        <v>1413</v>
      </c>
      <c r="B469" s="80" t="str">
        <f t="shared" si="144"/>
        <v>585</v>
      </c>
      <c r="D469" s="29"/>
      <c r="F469" s="29"/>
      <c r="G469" s="24"/>
      <c r="H469" s="29"/>
      <c r="I469" s="4" t="s">
        <v>290</v>
      </c>
      <c r="K469" s="4" t="s">
        <v>515</v>
      </c>
      <c r="M469" s="14"/>
      <c r="O469" s="25" t="str" cm="1">
        <f t="array" ref="O469">BIN2HEX(IF(I469&lt;&gt;"",VLOOKUP(I469,Ops!$I$2:'Ops'!$J$15,2,FALSE),IF(ISNUMBER(SEARCH("BR",D469)),"001","000"))&amp;IF(D469&lt;&gt;"",VLOOKUP(D469,Ops!$B$2:'Ops'!$C$23,2,FALSE),"0")&amp;_xlfn.IFS(ISNUMBER(SEARCH("BR",D469)),VLOOKUP(D469,Ops!$B$3:'Ops'!$D$22,3,FALSE),F469&lt;&gt;"",VLOOKUP(F469,Ops!$R$2:'Ops'!$S$11,2),L469&lt;&gt;"",VLOOKUP(L469,Ops!$R$2:'Ops'!$S$25,2,FALSE),TRUE,"0000"),2)</f>
        <v>40</v>
      </c>
      <c r="P469" s="26" t="str">
        <f>RIGHT(IF($E469&lt;&gt;"",_xlfn.XLOOKUP($E469,$C$4:$C$681,$B$4:$B$681,"NO LABEL"),BIN2HEX(IF(N469="CarryEn","1","0")&amp;IF(M469="SubXY","1","0")&amp;IF(H469&lt;&gt;"",VLOOKUP(H469,Ops!$F$2:'Ops'!$G$20,2,FALSE),"000000"),2)),2)</f>
        <v>00</v>
      </c>
      <c r="Q469" s="26" t="str" cm="1">
        <f t="array" ref="Q469">BIN2HEX(_xlfn.IFS(D469="HWINTEN","10",G469="KeyAck","01",G469="InitLp8","01",TRUE,"00")&amp;IF(OR(Ops!$O$2:'Ops'!$O$13=K469),VLOOKUP(K469,Ops!$O$2:'Ops'!$P$13,2,FALSE),"000")&amp;IF(E469&lt;&gt;"",IF(LEN(_xlfn.XLOOKUP($E469,$C$5:$C$681,$B$5:$B$681,0))=3,HEX2BIN(LEFT(_xlfn.XLOOKUP($E469,$C$5:$C$681,$B$5:$B$681,0),1),3),IF(OR(Ops!$L$2:'Ops'!$L$11=J469),VLOOKUP(J469,Ops!$L$2:'Ops'!$M$11,2,FALSE),"000")),IF(OR(Ops!$L$2:'Ops'!$L$11=J469),VLOOKUP(J469,Ops!$L$2:'Ops'!$M$11,2,FALSE),"000")),2)</f>
        <v>20</v>
      </c>
      <c r="R469" s="27"/>
      <c r="S469" s="4" t="s">
        <v>586</v>
      </c>
      <c r="Z469" s="74" t="str">
        <f t="shared" si="145"/>
        <v>0x40,</v>
      </c>
      <c r="AA469" s="75" t="str">
        <f t="shared" si="146"/>
        <v>0x00,</v>
      </c>
      <c r="AB469" s="75" t="str">
        <f t="shared" si="147"/>
        <v>0x20,</v>
      </c>
      <c r="AC469" s="76"/>
    </row>
    <row r="470" spans="1:29" x14ac:dyDescent="0.3">
      <c r="A470" s="79">
        <f t="shared" si="142"/>
        <v>1416</v>
      </c>
      <c r="B470" s="80" t="str">
        <f t="shared" si="144"/>
        <v>588</v>
      </c>
      <c r="D470" s="29"/>
      <c r="F470" s="29"/>
      <c r="G470" s="24"/>
      <c r="H470" s="29"/>
      <c r="J470" s="4" t="s">
        <v>314</v>
      </c>
      <c r="K470" s="4" t="s">
        <v>313</v>
      </c>
      <c r="L470" s="4" t="s">
        <v>292</v>
      </c>
      <c r="M470" s="14"/>
      <c r="O470" s="25" t="str" cm="1">
        <f t="array" ref="O470">BIN2HEX(IF(I470&lt;&gt;"",VLOOKUP(I470,Ops!$I$2:'Ops'!$J$15,2,FALSE),IF(ISNUMBER(SEARCH("BR",D470)),"001","000"))&amp;IF(D470&lt;&gt;"",VLOOKUP(D470,Ops!$B$2:'Ops'!$C$23,2,FALSE),"0")&amp;_xlfn.IFS(ISNUMBER(SEARCH("BR",D470)),VLOOKUP(D470,Ops!$B$3:'Ops'!$D$22,3,FALSE),F470&lt;&gt;"",VLOOKUP(F470,Ops!$R$2:'Ops'!$S$11,2),L470&lt;&gt;"",VLOOKUP(L470,Ops!$R$2:'Ops'!$S$25,2,FALSE),TRUE,"0000"),2)</f>
        <v>05</v>
      </c>
      <c r="P470" s="26" t="str">
        <f>RIGHT(IF($E470&lt;&gt;"",_xlfn.XLOOKUP($E470,$C$4:$C$681,$B$4:$B$681,"NO LABEL"),BIN2HEX(IF(N470="CarryEn","1","0")&amp;IF(M470="SubXY","1","0")&amp;IF(H470&lt;&gt;"",VLOOKUP(H470,Ops!$F$2:'Ops'!$G$20,2,FALSE),"000000"),2)),2)</f>
        <v>00</v>
      </c>
      <c r="Q470" s="26" t="str" cm="1">
        <f t="array" ref="Q470">BIN2HEX(_xlfn.IFS(D470="HWINTEN","10",G470="KeyAck","01",G470="InitLp8","01",TRUE,"00")&amp;IF(OR(Ops!$O$2:'Ops'!$O$13=K470),VLOOKUP(K470,Ops!$O$2:'Ops'!$P$13,2,FALSE),"000")&amp;IF(E470&lt;&gt;"",IF(LEN(_xlfn.XLOOKUP($E470,$C$5:$C$681,$B$5:$B$681,0))=3,HEX2BIN(LEFT(_xlfn.XLOOKUP($E470,$C$5:$C$681,$B$5:$B$681,0),1),3),IF(OR(Ops!$L$2:'Ops'!$L$11=J470),VLOOKUP(J470,Ops!$L$2:'Ops'!$M$11,2,FALSE),"000")),IF(OR(Ops!$L$2:'Ops'!$L$11=J470),VLOOKUP(J470,Ops!$L$2:'Ops'!$M$11,2,FALSE),"000")),2)</f>
        <v>36</v>
      </c>
      <c r="R470" s="27"/>
      <c r="Z470" s="74" t="str">
        <f t="shared" si="145"/>
        <v>0x05,</v>
      </c>
      <c r="AA470" s="75" t="str">
        <f t="shared" si="146"/>
        <v>0x00,</v>
      </c>
      <c r="AB470" s="75" t="str">
        <f t="shared" si="147"/>
        <v>0x36,</v>
      </c>
      <c r="AC470" s="76"/>
    </row>
    <row r="471" spans="1:29" x14ac:dyDescent="0.3">
      <c r="A471" s="79">
        <f t="shared" si="142"/>
        <v>1419</v>
      </c>
      <c r="B471" s="80" t="str">
        <f t="shared" si="144"/>
        <v>58B</v>
      </c>
      <c r="D471" s="29" t="s">
        <v>99</v>
      </c>
      <c r="E471" s="4" t="s">
        <v>571</v>
      </c>
      <c r="F471" s="29"/>
      <c r="G471" s="24"/>
      <c r="H471" s="29"/>
      <c r="M471" s="14"/>
      <c r="O471" s="25" t="str" cm="1">
        <f t="array" ref="O471">BIN2HEX(IF(I471&lt;&gt;"",VLOOKUP(I471,Ops!$I$2:'Ops'!$J$15,2,FALSE),IF(ISNUMBER(SEARCH("BR",D471)),"001","000"))&amp;IF(D471&lt;&gt;"",VLOOKUP(D471,Ops!$B$2:'Ops'!$C$23,2,FALSE),"0")&amp;_xlfn.IFS(ISNUMBER(SEARCH("BR",D471)),VLOOKUP(D471,Ops!$B$3:'Ops'!$D$22,3,FALSE),F471&lt;&gt;"",VLOOKUP(F471,Ops!$R$2:'Ops'!$S$11,2),L471&lt;&gt;"",VLOOKUP(L471,Ops!$R$2:'Ops'!$S$25,2,FALSE),TRUE,"0000"),2)</f>
        <v>39</v>
      </c>
      <c r="P471" s="26" t="str">
        <f>RIGHT(IF($E471&lt;&gt;"",_xlfn.XLOOKUP($E471,$C$4:$C$681,$B$4:$B$681,"NO LABEL"),BIN2HEX(IF(N471="CarryEn","1","0")&amp;IF(M471="SubXY","1","0")&amp;IF(H471&lt;&gt;"",VLOOKUP(H471,Ops!$F$2:'Ops'!$G$20,2,FALSE),"000000"),2)),2)</f>
        <v>94</v>
      </c>
      <c r="Q471" s="26" t="str" cm="1">
        <f t="array" ref="Q471">BIN2HEX(_xlfn.IFS(D471="HWINTEN","10",G471="KeyAck","01",G471="InitLp8","01",TRUE,"00")&amp;IF(OR(Ops!$O$2:'Ops'!$O$13=K471),VLOOKUP(K471,Ops!$O$2:'Ops'!$P$13,2,FALSE),"000")&amp;IF(E471&lt;&gt;"",IF(LEN(_xlfn.XLOOKUP($E471,$C$5:$C$681,$B$5:$B$681,0))=3,HEX2BIN(LEFT(_xlfn.XLOOKUP($E471,$C$5:$C$681,$B$5:$B$681,0),1),3),IF(OR(Ops!$L$2:'Ops'!$L$11=J471),VLOOKUP(J471,Ops!$L$2:'Ops'!$M$11,2,FALSE),"000")),IF(OR(Ops!$L$2:'Ops'!$L$11=J471),VLOOKUP(J471,Ops!$L$2:'Ops'!$M$11,2,FALSE),"000")),2)</f>
        <v>05</v>
      </c>
      <c r="R471" s="27"/>
      <c r="S471" s="4" t="s">
        <v>587</v>
      </c>
      <c r="Z471" s="74" t="str">
        <f t="shared" si="145"/>
        <v>0x39,</v>
      </c>
      <c r="AA471" s="75" t="str">
        <f t="shared" si="146"/>
        <v>0x94,</v>
      </c>
      <c r="AB471" s="75" t="str">
        <f t="shared" si="147"/>
        <v>0x05,</v>
      </c>
      <c r="AC471" s="76"/>
    </row>
    <row r="472" spans="1:29" x14ac:dyDescent="0.3">
      <c r="A472" s="79">
        <f t="shared" si="142"/>
        <v>1422</v>
      </c>
      <c r="B472" s="80" t="str">
        <f t="shared" si="144"/>
        <v>58E</v>
      </c>
      <c r="D472" s="29"/>
      <c r="F472" s="29"/>
      <c r="G472" s="24"/>
      <c r="H472" s="29"/>
      <c r="J472" s="4" t="s">
        <v>314</v>
      </c>
      <c r="L472" s="4" t="s">
        <v>292</v>
      </c>
      <c r="M472" s="14"/>
      <c r="O472" s="25" t="str" cm="1">
        <f t="array" ref="O472">BIN2HEX(IF(I472&lt;&gt;"",VLOOKUP(I472,Ops!$I$2:'Ops'!$J$15,2,FALSE),IF(ISNUMBER(SEARCH("BR",D472)),"001","000"))&amp;IF(D472&lt;&gt;"",VLOOKUP(D472,Ops!$B$2:'Ops'!$C$23,2,FALSE),"0")&amp;_xlfn.IFS(ISNUMBER(SEARCH("BR",D472)),VLOOKUP(D472,Ops!$B$3:'Ops'!$D$22,3,FALSE),F472&lt;&gt;"",VLOOKUP(F472,Ops!$R$2:'Ops'!$S$11,2),L472&lt;&gt;"",VLOOKUP(L472,Ops!$R$2:'Ops'!$S$25,2,FALSE),TRUE,"0000"),2)</f>
        <v>05</v>
      </c>
      <c r="P472" s="26" t="str">
        <f>RIGHT(IF($E472&lt;&gt;"",_xlfn.XLOOKUP($E472,$C$4:$C$681,$B$4:$B$681,"NO LABEL"),BIN2HEX(IF(N472="CarryEn","1","0")&amp;IF(M472="SubXY","1","0")&amp;IF(H472&lt;&gt;"",VLOOKUP(H472,Ops!$F$2:'Ops'!$G$20,2,FALSE),"000000"),2)),2)</f>
        <v>00</v>
      </c>
      <c r="Q472" s="26" t="str" cm="1">
        <f t="array" ref="Q472">BIN2HEX(_xlfn.IFS(D472="HWINTEN","10",G472="KeyAck","01",G472="InitLp8","01",TRUE,"00")&amp;IF(OR(Ops!$O$2:'Ops'!$O$13=K472),VLOOKUP(K472,Ops!$O$2:'Ops'!$P$13,2,FALSE),"000")&amp;IF(E472&lt;&gt;"",IF(LEN(_xlfn.XLOOKUP($E472,$C$5:$C$681,$B$5:$B$681,0))=3,HEX2BIN(LEFT(_xlfn.XLOOKUP($E472,$C$5:$C$681,$B$5:$B$681,0),1),3),IF(OR(Ops!$L$2:'Ops'!$L$11=J472),VLOOKUP(J472,Ops!$L$2:'Ops'!$M$11,2,FALSE),"000")),IF(OR(Ops!$L$2:'Ops'!$L$11=J472),VLOOKUP(J472,Ops!$L$2:'Ops'!$M$11,2,FALSE),"000")),2)</f>
        <v>06</v>
      </c>
      <c r="R472" s="27"/>
      <c r="S472" s="4" t="s">
        <v>588</v>
      </c>
      <c r="Z472" s="74" t="str">
        <f t="shared" si="145"/>
        <v>0x05,</v>
      </c>
      <c r="AA472" s="75" t="str">
        <f t="shared" si="146"/>
        <v>0x00,</v>
      </c>
      <c r="AB472" s="75" t="str">
        <f t="shared" si="147"/>
        <v>0x06,</v>
      </c>
      <c r="AC472" s="76"/>
    </row>
    <row r="473" spans="1:29" x14ac:dyDescent="0.3">
      <c r="A473" s="79">
        <f t="shared" si="142"/>
        <v>1425</v>
      </c>
      <c r="B473" s="80" t="str">
        <f t="shared" si="144"/>
        <v>591</v>
      </c>
      <c r="D473" s="29" t="s">
        <v>251</v>
      </c>
      <c r="E473" s="4" t="s">
        <v>570</v>
      </c>
      <c r="F473" s="29"/>
      <c r="G473" s="24"/>
      <c r="H473" s="29"/>
      <c r="M473" s="14"/>
      <c r="O473" s="25" t="str" cm="1">
        <f t="array" ref="O473">BIN2HEX(IF(I473&lt;&gt;"",VLOOKUP(I473,Ops!$I$2:'Ops'!$J$15,2,FALSE),IF(ISNUMBER(SEARCH("BR",D473)),"001","000"))&amp;IF(D473&lt;&gt;"",VLOOKUP(D473,Ops!$B$2:'Ops'!$C$23,2,FALSE),"0")&amp;_xlfn.IFS(ISNUMBER(SEARCH("BR",D473)),VLOOKUP(D473,Ops!$B$3:'Ops'!$D$22,3,FALSE),F473&lt;&gt;"",VLOOKUP(F473,Ops!$R$2:'Ops'!$S$11,2),L473&lt;&gt;"",VLOOKUP(L473,Ops!$R$2:'Ops'!$S$25,2,FALSE),TRUE,"0000"),2)</f>
        <v>3F</v>
      </c>
      <c r="P473" s="26" t="str">
        <f>RIGHT(IF($E473&lt;&gt;"",_xlfn.XLOOKUP($E473,$C$4:$C$681,$B$4:$B$681,"NO LABEL"),BIN2HEX(IF(N473="CarryEn","1","0")&amp;IF(M473="SubXY","1","0")&amp;IF(H473&lt;&gt;"",VLOOKUP(H473,Ops!$F$2:'Ops'!$G$20,2,FALSE),"000000"),2)),2)</f>
        <v>82</v>
      </c>
      <c r="Q473" s="26" t="str" cm="1">
        <f t="array" ref="Q473">BIN2HEX(_xlfn.IFS(D473="HWINTEN","10",G473="KeyAck","01",G473="InitLp8","01",TRUE,"00")&amp;IF(OR(Ops!$O$2:'Ops'!$O$13=K473),VLOOKUP(K473,Ops!$O$2:'Ops'!$P$13,2,FALSE),"000")&amp;IF(E473&lt;&gt;"",IF(LEN(_xlfn.XLOOKUP($E473,$C$5:$C$681,$B$5:$B$681,0))=3,HEX2BIN(LEFT(_xlfn.XLOOKUP($E473,$C$5:$C$681,$B$5:$B$681,0),1),3),IF(OR(Ops!$L$2:'Ops'!$L$11=J473),VLOOKUP(J473,Ops!$L$2:'Ops'!$M$11,2,FALSE),"000")),IF(OR(Ops!$L$2:'Ops'!$L$11=J473),VLOOKUP(J473,Ops!$L$2:'Ops'!$M$11,2,FALSE),"000")),2)</f>
        <v>05</v>
      </c>
      <c r="R473" s="27"/>
      <c r="Z473" s="74" t="str">
        <f t="shared" si="145"/>
        <v>0x3F,</v>
      </c>
      <c r="AA473" s="75" t="str">
        <f t="shared" si="146"/>
        <v>0x82,</v>
      </c>
      <c r="AB473" s="75" t="str">
        <f t="shared" si="147"/>
        <v>0x05,</v>
      </c>
      <c r="AC473" s="76"/>
    </row>
    <row r="474" spans="1:29" x14ac:dyDescent="0.3">
      <c r="A474" s="79">
        <f t="shared" si="142"/>
        <v>1428</v>
      </c>
      <c r="B474" s="80" t="str">
        <f t="shared" si="144"/>
        <v>594</v>
      </c>
      <c r="C474" s="4" t="s">
        <v>571</v>
      </c>
      <c r="D474" s="29"/>
      <c r="F474" s="29"/>
      <c r="G474" s="24"/>
      <c r="H474" s="29" t="s">
        <v>569</v>
      </c>
      <c r="I474" s="4" t="s">
        <v>481</v>
      </c>
      <c r="L474" s="4">
        <v>0</v>
      </c>
      <c r="M474" s="14"/>
      <c r="O474" s="25" t="str" cm="1">
        <f t="array" ref="O474">BIN2HEX(IF(I474&lt;&gt;"",VLOOKUP(I474,Ops!$I$2:'Ops'!$J$15,2,FALSE),IF(ISNUMBER(SEARCH("BR",D474)),"001","000"))&amp;IF(D474&lt;&gt;"",VLOOKUP(D474,Ops!$B$2:'Ops'!$C$23,2,FALSE),"0")&amp;_xlfn.IFS(ISNUMBER(SEARCH("BR",D474)),VLOOKUP(D474,Ops!$B$3:'Ops'!$D$22,3,FALSE),F474&lt;&gt;"",VLOOKUP(F474,Ops!$R$2:'Ops'!$S$11,2),L474&lt;&gt;"",VLOOKUP(L474,Ops!$R$2:'Ops'!$S$25,2,FALSE),TRUE,"0000"),2)</f>
        <v>00</v>
      </c>
      <c r="P474" s="26" t="str">
        <f>RIGHT(IF($E474&lt;&gt;"",_xlfn.XLOOKUP($E474,$C$4:$C$681,$B$4:$B$681,"NO LABEL"),BIN2HEX(IF(N474="CarryEn","1","0")&amp;IF(M474="SubXY","1","0")&amp;IF(H474&lt;&gt;"",VLOOKUP(H474,Ops!$F$2:'Ops'!$G$20,2,FALSE),"000000"),2)),2)</f>
        <v>02</v>
      </c>
      <c r="Q474" s="26" t="str" cm="1">
        <f t="array" ref="Q474">BIN2HEX(_xlfn.IFS(D474="HWINTEN","10",G474="KeyAck","01",G474="InitLp8","01",TRUE,"00")&amp;IF(OR(Ops!$O$2:'Ops'!$O$13=K474),VLOOKUP(K474,Ops!$O$2:'Ops'!$P$13,2,FALSE),"000")&amp;IF(E474&lt;&gt;"",IF(LEN(_xlfn.XLOOKUP($E474,$C$5:$C$681,$B$5:$B$681,0))=3,HEX2BIN(LEFT(_xlfn.XLOOKUP($E474,$C$5:$C$681,$B$5:$B$681,0),1),3),IF(OR(Ops!$L$2:'Ops'!$L$11=J474),VLOOKUP(J474,Ops!$L$2:'Ops'!$M$11,2,FALSE),"000")),IF(OR(Ops!$L$2:'Ops'!$L$11=J474),VLOOKUP(J474,Ops!$L$2:'Ops'!$M$11,2,FALSE),"000")),2)</f>
        <v>00</v>
      </c>
      <c r="R474" s="27"/>
      <c r="S474" s="4" t="s">
        <v>589</v>
      </c>
      <c r="Z474" s="74" t="str">
        <f t="shared" si="145"/>
        <v>0x00,</v>
      </c>
      <c r="AA474" s="75" t="str">
        <f t="shared" si="146"/>
        <v>0x02,</v>
      </c>
      <c r="AB474" s="75" t="str">
        <f t="shared" si="147"/>
        <v>0x00,</v>
      </c>
      <c r="AC474" s="76"/>
    </row>
    <row r="475" spans="1:29" x14ac:dyDescent="0.3">
      <c r="A475" s="79">
        <f t="shared" si="142"/>
        <v>1431</v>
      </c>
      <c r="B475" s="80" t="str">
        <f t="shared" si="144"/>
        <v>597</v>
      </c>
      <c r="D475" s="29"/>
      <c r="F475" s="29"/>
      <c r="G475" s="24"/>
      <c r="H475" s="29" t="s">
        <v>486</v>
      </c>
      <c r="I475" s="4" t="s">
        <v>482</v>
      </c>
      <c r="J475" s="4" t="s">
        <v>191</v>
      </c>
      <c r="M475" s="14"/>
      <c r="O475" s="25" t="str" cm="1">
        <f t="array" ref="O475">BIN2HEX(IF(I475&lt;&gt;"",VLOOKUP(I475,Ops!$I$2:'Ops'!$J$15,2,FALSE),IF(ISNUMBER(SEARCH("BR",D475)),"001","000"))&amp;IF(D475&lt;&gt;"",VLOOKUP(D475,Ops!$B$2:'Ops'!$C$23,2,FALSE),"0")&amp;_xlfn.IFS(ISNUMBER(SEARCH("BR",D475)),VLOOKUP(D475,Ops!$B$3:'Ops'!$D$22,3,FALSE),F475&lt;&gt;"",VLOOKUP(F475,Ops!$R$2:'Ops'!$S$11,2),L475&lt;&gt;"",VLOOKUP(L475,Ops!$R$2:'Ops'!$S$25,2,FALSE),TRUE,"0000"),2)</f>
        <v>00</v>
      </c>
      <c r="P475" s="26" t="str">
        <f>RIGHT(IF($E475&lt;&gt;"",_xlfn.XLOOKUP($E475,$C$4:$C$681,$B$4:$B$681,"NO LABEL"),BIN2HEX(IF(N475="CarryEn","1","0")&amp;IF(M475="SubXY","1","0")&amp;IF(H475&lt;&gt;"",VLOOKUP(H475,Ops!$F$2:'Ops'!$G$20,2,FALSE),"000000"),2)),2)</f>
        <v>01</v>
      </c>
      <c r="Q475" s="26" t="str" cm="1">
        <f t="array" ref="Q475">BIN2HEX(_xlfn.IFS(D475="HWINTEN","10",G475="KeyAck","01",G475="InitLp8","01",TRUE,"00")&amp;IF(OR(Ops!$O$2:'Ops'!$O$13=K475),VLOOKUP(K475,Ops!$O$2:'Ops'!$P$13,2,FALSE),"000")&amp;IF(E475&lt;&gt;"",IF(LEN(_xlfn.XLOOKUP($E475,$C$5:$C$681,$B$5:$B$681,0))=3,HEX2BIN(LEFT(_xlfn.XLOOKUP($E475,$C$5:$C$681,$B$5:$B$681,0),1),3),IF(OR(Ops!$L$2:'Ops'!$L$11=J475),VLOOKUP(J475,Ops!$L$2:'Ops'!$M$11,2,FALSE),"000")),IF(OR(Ops!$L$2:'Ops'!$L$11=J475),VLOOKUP(J475,Ops!$L$2:'Ops'!$M$11,2,FALSE),"000")),2)</f>
        <v>00</v>
      </c>
      <c r="R475" s="27"/>
      <c r="S475" s="4" t="s">
        <v>590</v>
      </c>
      <c r="Z475" s="74" t="str">
        <f t="shared" si="145"/>
        <v>0x00,</v>
      </c>
      <c r="AA475" s="75" t="str">
        <f t="shared" si="146"/>
        <v>0x01,</v>
      </c>
      <c r="AB475" s="75" t="str">
        <f t="shared" si="147"/>
        <v>0x00,</v>
      </c>
      <c r="AC475" s="76"/>
    </row>
    <row r="476" spans="1:29" x14ac:dyDescent="0.3">
      <c r="A476" s="79">
        <f t="shared" si="142"/>
        <v>1434</v>
      </c>
      <c r="B476" s="80" t="str">
        <f t="shared" si="144"/>
        <v>59A</v>
      </c>
      <c r="D476" s="29" t="s">
        <v>251</v>
      </c>
      <c r="E476" s="4" t="s">
        <v>570</v>
      </c>
      <c r="F476" s="29"/>
      <c r="G476" s="24"/>
      <c r="H476" s="29"/>
      <c r="M476" s="14"/>
      <c r="O476" s="25" t="str" cm="1">
        <f t="array" ref="O476">BIN2HEX(IF(I476&lt;&gt;"",VLOOKUP(I476,Ops!$I$2:'Ops'!$J$15,2,FALSE),IF(ISNUMBER(SEARCH("BR",D476)),"001","000"))&amp;IF(D476&lt;&gt;"",VLOOKUP(D476,Ops!$B$2:'Ops'!$C$23,2,FALSE),"0")&amp;_xlfn.IFS(ISNUMBER(SEARCH("BR",D476)),VLOOKUP(D476,Ops!$B$3:'Ops'!$D$22,3,FALSE),F476&lt;&gt;"",VLOOKUP(F476,Ops!$R$2:'Ops'!$S$11,2),L476&lt;&gt;"",VLOOKUP(L476,Ops!$R$2:'Ops'!$S$25,2,FALSE),TRUE,"0000"),2)</f>
        <v>3F</v>
      </c>
      <c r="P476" s="26" t="str">
        <f>RIGHT(IF($E476&lt;&gt;"",_xlfn.XLOOKUP($E476,$C$4:$C$681,$B$4:$B$681,"NO LABEL"),BIN2HEX(IF(N476="CarryEn","1","0")&amp;IF(M476="SubXY","1","0")&amp;IF(H476&lt;&gt;"",VLOOKUP(H476,Ops!$F$2:'Ops'!$G$20,2,FALSE),"000000"),2)),2)</f>
        <v>82</v>
      </c>
      <c r="Q476" s="26" t="str" cm="1">
        <f t="array" ref="Q476">BIN2HEX(_xlfn.IFS(D476="HWINTEN","10",G476="KeyAck","01",G476="InitLp8","01",TRUE,"00")&amp;IF(OR(Ops!$O$2:'Ops'!$O$13=K476),VLOOKUP(K476,Ops!$O$2:'Ops'!$P$13,2,FALSE),"000")&amp;IF(E476&lt;&gt;"",IF(LEN(_xlfn.XLOOKUP($E476,$C$5:$C$681,$B$5:$B$681,0))=3,HEX2BIN(LEFT(_xlfn.XLOOKUP($E476,$C$5:$C$681,$B$5:$B$681,0),1),3),IF(OR(Ops!$L$2:'Ops'!$L$11=J476),VLOOKUP(J476,Ops!$L$2:'Ops'!$M$11,2,FALSE),"000")),IF(OR(Ops!$L$2:'Ops'!$L$11=J476),VLOOKUP(J476,Ops!$L$2:'Ops'!$M$11,2,FALSE),"000")),2)</f>
        <v>05</v>
      </c>
      <c r="R476" s="27"/>
      <c r="Z476" s="74" t="str">
        <f t="shared" si="145"/>
        <v>0x3F,</v>
      </c>
      <c r="AA476" s="75" t="str">
        <f t="shared" si="146"/>
        <v>0x82,</v>
      </c>
      <c r="AB476" s="75" t="str">
        <f t="shared" si="147"/>
        <v>0x05,</v>
      </c>
      <c r="AC476" s="76"/>
    </row>
    <row r="477" spans="1:29" x14ac:dyDescent="0.3">
      <c r="A477" s="79">
        <f t="shared" si="142"/>
        <v>1437</v>
      </c>
      <c r="B477" s="80" t="str">
        <f>DEC2HEX(A477)</f>
        <v>59D</v>
      </c>
      <c r="D477" s="29"/>
      <c r="F477" s="29"/>
      <c r="G477" s="24" t="s">
        <v>692</v>
      </c>
      <c r="H477" s="29"/>
      <c r="M477" s="14"/>
      <c r="O477" s="25" t="str" cm="1">
        <f t="array" ref="O477">BIN2HEX(IF(I477&lt;&gt;"",VLOOKUP(I477,Ops!$I$2:'Ops'!$J$15,2,FALSE),IF(ISNUMBER(SEARCH("BR",D477)),"001","000"))&amp;IF(D477&lt;&gt;"",VLOOKUP(D477,Ops!$B$2:'Ops'!$C$23,2,FALSE),"0")&amp;_xlfn.IFS(ISNUMBER(SEARCH("BR",D477)),VLOOKUP(D477,Ops!$B$3:'Ops'!$D$22,3,FALSE),F477&lt;&gt;"",VLOOKUP(F477,Ops!$R$2:'Ops'!$S$11,2),L477&lt;&gt;"",VLOOKUP(L477,Ops!$R$2:'Ops'!$S$25,2,FALSE),TRUE,"0000"),2)</f>
        <v>00</v>
      </c>
      <c r="P477" s="26" t="str">
        <f>RIGHT(IF($E477&lt;&gt;"",_xlfn.XLOOKUP($E477,$C$4:$C$681,$B$4:$B$681,"NO LABEL"),BIN2HEX(IF(N477="CarryEn","1","0")&amp;IF(M477="SubXY","1","0")&amp;IF(H477&lt;&gt;"",VLOOKUP(H477,Ops!$F$2:'Ops'!$G$20,2,FALSE),"000000"),2)),2)</f>
        <v>00</v>
      </c>
      <c r="Q477" s="26" t="str" cm="1">
        <f t="array" ref="Q477">BIN2HEX(_xlfn.IFS(D477="HWINTEN","10",G477="KeyAck","01",G477="InitLp8","01",TRUE,"00")&amp;IF(OR(Ops!$O$2:'Ops'!$O$13=K477),VLOOKUP(K477,Ops!$O$2:'Ops'!$P$13,2,FALSE),"000")&amp;IF(E477&lt;&gt;"",IF(LEN(_xlfn.XLOOKUP($E477,$C$5:$C$681,$B$5:$B$681,0))=3,HEX2BIN(LEFT(_xlfn.XLOOKUP($E477,$C$5:$C$681,$B$5:$B$681,0),1),3),IF(OR(Ops!$L$2:'Ops'!$L$11=J477),VLOOKUP(J477,Ops!$L$2:'Ops'!$M$11,2,FALSE),"000")),IF(OR(Ops!$L$2:'Ops'!$L$11=J477),VLOOKUP(J477,Ops!$L$2:'Ops'!$M$11,2,FALSE),"000")),2)</f>
        <v>40</v>
      </c>
      <c r="R477" s="27"/>
      <c r="Z477" s="74" t="str">
        <f t="shared" si="145"/>
        <v>0x00,</v>
      </c>
      <c r="AA477" s="75" t="str">
        <f t="shared" si="146"/>
        <v>0x00,</v>
      </c>
      <c r="AB477" s="75" t="str">
        <f t="shared" si="147"/>
        <v>0x40,</v>
      </c>
      <c r="AC477" s="76"/>
    </row>
    <row r="478" spans="1:29" x14ac:dyDescent="0.3">
      <c r="A478" s="79">
        <f t="shared" si="142"/>
        <v>1440</v>
      </c>
      <c r="B478" s="80" t="str">
        <f>DEC2HEX(A478)</f>
        <v>5A0</v>
      </c>
      <c r="D478" s="29" t="s">
        <v>251</v>
      </c>
      <c r="E478" s="4" t="s">
        <v>331</v>
      </c>
      <c r="F478" s="29"/>
      <c r="G478" s="24"/>
      <c r="H478" s="29"/>
      <c r="M478" s="14"/>
      <c r="N478" s="49"/>
      <c r="O478" s="25" t="str" cm="1">
        <f t="array" ref="O478">BIN2HEX(IF(I478&lt;&gt;"",VLOOKUP(I478,Ops!$I$2:'Ops'!$J$15,2,FALSE),IF(ISNUMBER(SEARCH("BR",D478)),"001","000"))&amp;IF(D478&lt;&gt;"",VLOOKUP(D478,Ops!$B$2:'Ops'!$C$23,2,FALSE),"0")&amp;_xlfn.IFS(ISNUMBER(SEARCH("BR",D478)),VLOOKUP(D478,Ops!$B$3:'Ops'!$D$22,3,FALSE),F478&lt;&gt;"",VLOOKUP(F478,Ops!$R$2:'Ops'!$S$11,2),L478&lt;&gt;"",VLOOKUP(L478,Ops!$R$2:'Ops'!$S$25,2,FALSE),TRUE,"0000"),2)</f>
        <v>3F</v>
      </c>
      <c r="P478" s="26" t="str">
        <f>RIGHT(IF($E478&lt;&gt;"",_xlfn.XLOOKUP($E478,$C$4:$C$681,$B$4:$B$681,"NO LABEL"),BIN2HEX(IF(N478="CarryEn","1","0")&amp;IF(M478="SubXY","1","0")&amp;IF(H478&lt;&gt;"",VLOOKUP(H478,Ops!$F$2:'Ops'!$G$20,2,FALSE),"000000"),2)),2)</f>
        <v>A3</v>
      </c>
      <c r="Q478" s="26" t="str" cm="1">
        <f t="array" ref="Q478">BIN2HEX(_xlfn.IFS(D478="HWINTEN","10",G478="KeyAck","01",G478="InitLp8","01",TRUE,"00")&amp;IF(OR(Ops!$O$2:'Ops'!$O$13=K478),VLOOKUP(K478,Ops!$O$2:'Ops'!$P$13,2,FALSE),"000")&amp;IF(E478&lt;&gt;"",IF(LEN(_xlfn.XLOOKUP($E478,$C$5:$C$681,$B$5:$B$681,0))=3,HEX2BIN(LEFT(_xlfn.XLOOKUP($E478,$C$5:$C$681,$B$5:$B$681,0),1),3),IF(OR(Ops!$L$2:'Ops'!$L$11=J478),VLOOKUP(J478,Ops!$L$2:'Ops'!$M$11,2,FALSE),"000")),IF(OR(Ops!$L$2:'Ops'!$L$11=J478),VLOOKUP(J478,Ops!$L$2:'Ops'!$M$11,2,FALSE),"000")),2)</f>
        <v>05</v>
      </c>
      <c r="R478" s="27"/>
      <c r="S478" s="4" t="s">
        <v>334</v>
      </c>
      <c r="Z478" s="74" t="str">
        <f t="shared" si="145"/>
        <v>0x3F,</v>
      </c>
      <c r="AA478" s="75" t="str">
        <f t="shared" si="146"/>
        <v>0xA3,</v>
      </c>
      <c r="AB478" s="75" t="str">
        <f t="shared" si="147"/>
        <v>0x05,</v>
      </c>
      <c r="AC478" s="76"/>
    </row>
    <row r="479" spans="1:29" x14ac:dyDescent="0.3">
      <c r="A479" s="79">
        <f t="shared" si="142"/>
        <v>1443</v>
      </c>
      <c r="B479" s="80" t="str">
        <f t="shared" si="144"/>
        <v>5A3</v>
      </c>
      <c r="C479" s="4" t="s">
        <v>331</v>
      </c>
      <c r="D479" s="29"/>
      <c r="F479" s="29"/>
      <c r="G479" s="24"/>
      <c r="H479" s="29"/>
      <c r="I479" s="4" t="s">
        <v>290</v>
      </c>
      <c r="K479" s="4" t="s">
        <v>515</v>
      </c>
      <c r="M479" s="14"/>
      <c r="N479" s="49"/>
      <c r="O479" s="25" t="str" cm="1">
        <f t="array" ref="O479">BIN2HEX(IF(I479&lt;&gt;"",VLOOKUP(I479,Ops!$I$2:'Ops'!$J$15,2,FALSE),IF(ISNUMBER(SEARCH("BR",D479)),"001","000"))&amp;IF(D479&lt;&gt;"",VLOOKUP(D479,Ops!$B$2:'Ops'!$C$23,2,FALSE),"0")&amp;_xlfn.IFS(ISNUMBER(SEARCH("BR",D479)),VLOOKUP(D479,Ops!$B$3:'Ops'!$D$22,3,FALSE),F479&lt;&gt;"",VLOOKUP(F479,Ops!$R$2:'Ops'!$S$11,2),L479&lt;&gt;"",VLOOKUP(L479,Ops!$R$2:'Ops'!$S$25,2,FALSE),TRUE,"0000"),2)</f>
        <v>40</v>
      </c>
      <c r="P479" s="26" t="str">
        <f>RIGHT(IF($E479&lt;&gt;"",_xlfn.XLOOKUP($E479,$C$4:$C$681,$B$4:$B$681,"NO LABEL"),BIN2HEX(IF(N479="CarryEn","1","0")&amp;IF(M479="SubXY","1","0")&amp;IF(H479&lt;&gt;"",VLOOKUP(H479,Ops!$F$2:'Ops'!$G$20,2,FALSE),"000000"),2)),2)</f>
        <v>00</v>
      </c>
      <c r="Q479" s="26" t="str" cm="1">
        <f t="array" ref="Q479">BIN2HEX(_xlfn.IFS(D479="HWINTEN","10",G479="KeyAck","01",G479="InitLp8","01",TRUE,"00")&amp;IF(OR(Ops!$O$2:'Ops'!$O$13=K479),VLOOKUP(K479,Ops!$O$2:'Ops'!$P$13,2,FALSE),"000")&amp;IF(E479&lt;&gt;"",IF(LEN(_xlfn.XLOOKUP($E479,$C$5:$C$681,$B$5:$B$681,0))=3,HEX2BIN(LEFT(_xlfn.XLOOKUP($E479,$C$5:$C$681,$B$5:$B$681,0),1),3),IF(OR(Ops!$L$2:'Ops'!$L$11=J479),VLOOKUP(J479,Ops!$L$2:'Ops'!$M$11,2,FALSE),"000")),IF(OR(Ops!$L$2:'Ops'!$L$11=J479),VLOOKUP(J479,Ops!$L$2:'Ops'!$M$11,2,FALSE),"000")),2)</f>
        <v>20</v>
      </c>
      <c r="R479" s="27"/>
      <c r="S479" s="4" t="s">
        <v>327</v>
      </c>
      <c r="Z479" s="74" t="str">
        <f t="shared" si="145"/>
        <v>0x40,</v>
      </c>
      <c r="AA479" s="75" t="str">
        <f t="shared" si="146"/>
        <v>0x00,</v>
      </c>
      <c r="AB479" s="75" t="str">
        <f t="shared" si="147"/>
        <v>0x20,</v>
      </c>
      <c r="AC479" s="76"/>
    </row>
    <row r="480" spans="1:29" x14ac:dyDescent="0.3">
      <c r="A480" s="79">
        <f t="shared" si="142"/>
        <v>1446</v>
      </c>
      <c r="B480" s="80" t="str">
        <f t="shared" si="143"/>
        <v>5A6</v>
      </c>
      <c r="D480" s="29" t="s">
        <v>99</v>
      </c>
      <c r="E480" s="4" t="s">
        <v>332</v>
      </c>
      <c r="F480" s="29"/>
      <c r="G480" s="24"/>
      <c r="H480" s="29"/>
      <c r="M480" s="14"/>
      <c r="N480" s="49"/>
      <c r="O480" s="25" t="str" cm="1">
        <f t="array" ref="O480">BIN2HEX(IF(I480&lt;&gt;"",VLOOKUP(I480,Ops!$I$2:'Ops'!$J$15,2,FALSE),IF(ISNUMBER(SEARCH("BR",D480)),"001","000"))&amp;IF(D480&lt;&gt;"",VLOOKUP(D480,Ops!$B$2:'Ops'!$C$23,2,FALSE),"0")&amp;_xlfn.IFS(ISNUMBER(SEARCH("BR",D480)),VLOOKUP(D480,Ops!$B$3:'Ops'!$D$22,3,FALSE),F480&lt;&gt;"",VLOOKUP(F480,Ops!$R$2:'Ops'!$S$11,2),L480&lt;&gt;"",VLOOKUP(L480,Ops!$R$2:'Ops'!$S$25,2,FALSE),TRUE,"0000"),2)</f>
        <v>39</v>
      </c>
      <c r="P480" s="26" t="str">
        <f>RIGHT(IF($E480&lt;&gt;"",_xlfn.XLOOKUP($E480,$C$4:$C$681,$B$4:$B$681,"NO LABEL"),BIN2HEX(IF(N480="CarryEn","1","0")&amp;IF(M480="SubXY","1","0")&amp;IF(H480&lt;&gt;"",VLOOKUP(H480,Ops!$F$2:'Ops'!$G$20,2,FALSE),"000000"),2)),2)</f>
        <v>AC</v>
      </c>
      <c r="Q480" s="26" t="str" cm="1">
        <f t="array" ref="Q480">BIN2HEX(_xlfn.IFS(D480="HWINTEN","10",G480="KeyAck","01",G480="InitLp8","01",TRUE,"00")&amp;IF(OR(Ops!$O$2:'Ops'!$O$13=K480),VLOOKUP(K480,Ops!$O$2:'Ops'!$P$13,2,FALSE),"000")&amp;IF(E480&lt;&gt;"",IF(LEN(_xlfn.XLOOKUP($E480,$C$5:$C$681,$B$5:$B$681,0))=3,HEX2BIN(LEFT(_xlfn.XLOOKUP($E480,$C$5:$C$681,$B$5:$B$681,0),1),3),IF(OR(Ops!$L$2:'Ops'!$L$11=J480),VLOOKUP(J480,Ops!$L$2:'Ops'!$M$11,2,FALSE),"000")),IF(OR(Ops!$L$2:'Ops'!$L$11=J480),VLOOKUP(J480,Ops!$L$2:'Ops'!$M$11,2,FALSE),"000")),2)</f>
        <v>05</v>
      </c>
      <c r="R480" s="27"/>
      <c r="Z480" s="74" t="str">
        <f t="shared" si="145"/>
        <v>0x39,</v>
      </c>
      <c r="AA480" s="75" t="str">
        <f t="shared" si="146"/>
        <v>0xAC,</v>
      </c>
      <c r="AB480" s="75" t="str">
        <f t="shared" si="147"/>
        <v>0x05,</v>
      </c>
      <c r="AC480" s="76"/>
    </row>
    <row r="481" spans="1:29" x14ac:dyDescent="0.3">
      <c r="A481" s="79">
        <f t="shared" si="142"/>
        <v>1449</v>
      </c>
      <c r="B481" s="80" t="str">
        <f t="shared" si="143"/>
        <v>5A9</v>
      </c>
      <c r="D481" s="29" t="s">
        <v>0</v>
      </c>
      <c r="E481" s="4" t="s">
        <v>335</v>
      </c>
      <c r="F481" s="29"/>
      <c r="G481" s="24"/>
      <c r="H481" s="29"/>
      <c r="M481" s="14"/>
      <c r="N481" s="49"/>
      <c r="O481" s="25" t="str" cm="1">
        <f t="array" ref="O481">BIN2HEX(IF(I481&lt;&gt;"",VLOOKUP(I481,Ops!$I$2:'Ops'!$J$15,2,FALSE),IF(ISNUMBER(SEARCH("BR",D481)),"001","000"))&amp;IF(D481&lt;&gt;"",VLOOKUP(D481,Ops!$B$2:'Ops'!$C$23,2,FALSE),"0")&amp;_xlfn.IFS(ISNUMBER(SEARCH("BR",D481)),VLOOKUP(D481,Ops!$B$3:'Ops'!$D$22,3,FALSE),F481&lt;&gt;"",VLOOKUP(F481,Ops!$R$2:'Ops'!$S$11,2),L481&lt;&gt;"",VLOOKUP(L481,Ops!$R$2:'Ops'!$S$25,2,FALSE),TRUE,"0000"),2)</f>
        <v>10</v>
      </c>
      <c r="P481" s="26" t="str">
        <f>RIGHT(IF($E481&lt;&gt;"",_xlfn.XLOOKUP($E481,$C$4:$C$681,$B$4:$B$681,"NO LABEL"),BIN2HEX(IF(N481="CarryEn","1","0")&amp;IF(M481="SubXY","1","0")&amp;IF(H481&lt;&gt;"",VLOOKUP(H481,Ops!$F$2:'Ops'!$G$20,2,FALSE),"000000"),2)),2)</f>
        <v>BB</v>
      </c>
      <c r="Q481" s="26" t="str" cm="1">
        <f t="array" ref="Q481">BIN2HEX(_xlfn.IFS(D481="HWINTEN","10",G481="KeyAck","01",G481="InitLp8","01",TRUE,"00")&amp;IF(OR(Ops!$O$2:'Ops'!$O$13=K481),VLOOKUP(K481,Ops!$O$2:'Ops'!$P$13,2,FALSE),"000")&amp;IF(E481&lt;&gt;"",IF(LEN(_xlfn.XLOOKUP($E481,$C$5:$C$681,$B$5:$B$681,0))=3,HEX2BIN(LEFT(_xlfn.XLOOKUP($E481,$C$5:$C$681,$B$5:$B$681,0),1),3),IF(OR(Ops!$L$2:'Ops'!$L$11=J481),VLOOKUP(J481,Ops!$L$2:'Ops'!$M$11,2,FALSE),"000")),IF(OR(Ops!$L$2:'Ops'!$L$11=J481),VLOOKUP(J481,Ops!$L$2:'Ops'!$M$11,2,FALSE),"000")),2)</f>
        <v>05</v>
      </c>
      <c r="R481" s="27"/>
      <c r="Z481" s="74" t="str">
        <f t="shared" si="145"/>
        <v>0x10,</v>
      </c>
      <c r="AA481" s="75" t="str">
        <f t="shared" si="146"/>
        <v>0xBB,</v>
      </c>
      <c r="AB481" s="75" t="str">
        <f t="shared" si="147"/>
        <v>0x05,</v>
      </c>
      <c r="AC481" s="76"/>
    </row>
    <row r="482" spans="1:29" x14ac:dyDescent="0.3">
      <c r="A482" s="79">
        <f t="shared" si="142"/>
        <v>1452</v>
      </c>
      <c r="B482" s="80" t="str">
        <f t="shared" si="143"/>
        <v>5AC</v>
      </c>
      <c r="C482" s="4" t="s">
        <v>332</v>
      </c>
      <c r="D482" s="29"/>
      <c r="F482" s="29"/>
      <c r="G482" s="24"/>
      <c r="H482" s="29" t="s">
        <v>53</v>
      </c>
      <c r="I482" t="s">
        <v>478</v>
      </c>
      <c r="J482" s="4" t="s">
        <v>475</v>
      </c>
      <c r="M482" s="14"/>
      <c r="N482" s="49"/>
      <c r="O482" s="25" t="str" cm="1">
        <f t="array" ref="O482">BIN2HEX(IF(I482&lt;&gt;"",VLOOKUP(I482,Ops!$I$2:'Ops'!$J$15,2,FALSE),IF(ISNUMBER(SEARCH("BR",D482)),"001","000"))&amp;IF(D482&lt;&gt;"",VLOOKUP(D482,Ops!$B$2:'Ops'!$C$23,2,FALSE),"0")&amp;_xlfn.IFS(ISNUMBER(SEARCH("BR",D482)),VLOOKUP(D482,Ops!$B$3:'Ops'!$D$22,3,FALSE),F482&lt;&gt;"",VLOOKUP(F482,Ops!$R$2:'Ops'!$S$11,2),L482&lt;&gt;"",VLOOKUP(L482,Ops!$R$2:'Ops'!$S$25,2,FALSE),TRUE,"0000"),2)</f>
        <v>20</v>
      </c>
      <c r="P482" s="26" t="str">
        <f>RIGHT(IF($E482&lt;&gt;"",_xlfn.XLOOKUP($E482,$C$4:$C$681,$B$4:$B$681,"NO LABEL"),BIN2HEX(IF(N482="CarryEn","1","0")&amp;IF(M482="SubXY","1","0")&amp;IF(H482&lt;&gt;"",VLOOKUP(H482,Ops!$F$2:'Ops'!$G$20,2,FALSE),"000000"),2)),2)</f>
        <v>01</v>
      </c>
      <c r="Q482" s="26" t="str" cm="1">
        <f t="array" ref="Q482">BIN2HEX(_xlfn.IFS(D482="HWINTEN","10",G482="KeyAck","01",G482="InitLp8","01",TRUE,"00")&amp;IF(OR(Ops!$O$2:'Ops'!$O$13=K482),VLOOKUP(K482,Ops!$O$2:'Ops'!$P$13,2,FALSE),"000")&amp;IF(E482&lt;&gt;"",IF(LEN(_xlfn.XLOOKUP($E482,$C$5:$C$681,$B$5:$B$681,0))=3,HEX2BIN(LEFT(_xlfn.XLOOKUP($E482,$C$5:$C$681,$B$5:$B$681,0),1),3),IF(OR(Ops!$L$2:'Ops'!$L$11=J482),VLOOKUP(J482,Ops!$L$2:'Ops'!$M$11,2,FALSE),"000")),IF(OR(Ops!$L$2:'Ops'!$L$11=J482),VLOOKUP(J482,Ops!$L$2:'Ops'!$M$11,2,FALSE),"000")),2)</f>
        <v>00</v>
      </c>
      <c r="R482" s="27"/>
      <c r="Z482" s="74" t="str">
        <f t="shared" si="145"/>
        <v>0x20,</v>
      </c>
      <c r="AA482" s="75" t="str">
        <f t="shared" si="146"/>
        <v>0x01,</v>
      </c>
      <c r="AB482" s="75" t="str">
        <f t="shared" si="147"/>
        <v>0x00,</v>
      </c>
      <c r="AC482" s="76"/>
    </row>
    <row r="483" spans="1:29" x14ac:dyDescent="0.3">
      <c r="A483" s="79">
        <f t="shared" si="142"/>
        <v>1455</v>
      </c>
      <c r="B483" s="80" t="str">
        <f t="shared" si="143"/>
        <v>5AF</v>
      </c>
      <c r="D483" s="29" t="s">
        <v>251</v>
      </c>
      <c r="E483" s="4" t="s">
        <v>331</v>
      </c>
      <c r="F483" s="29"/>
      <c r="G483" s="24"/>
      <c r="H483" s="29"/>
      <c r="M483" s="14"/>
      <c r="N483" s="49"/>
      <c r="O483" s="25" t="str" cm="1">
        <f t="array" ref="O483">BIN2HEX(IF(I483&lt;&gt;"",VLOOKUP(I483,Ops!$I$2:'Ops'!$J$15,2,FALSE),IF(ISNUMBER(SEARCH("BR",D483)),"001","000"))&amp;IF(D483&lt;&gt;"",VLOOKUP(D483,Ops!$B$2:'Ops'!$C$23,2,FALSE),"0")&amp;_xlfn.IFS(ISNUMBER(SEARCH("BR",D483)),VLOOKUP(D483,Ops!$B$3:'Ops'!$D$22,3,FALSE),F483&lt;&gt;"",VLOOKUP(F483,Ops!$R$2:'Ops'!$S$11,2),L483&lt;&gt;"",VLOOKUP(L483,Ops!$R$2:'Ops'!$S$25,2,FALSE),TRUE,"0000"),2)</f>
        <v>3F</v>
      </c>
      <c r="P483" s="26" t="str">
        <f>RIGHT(IF($E483&lt;&gt;"",_xlfn.XLOOKUP($E483,$C$4:$C$681,$B$4:$B$681,"NO LABEL"),BIN2HEX(IF(N483="CarryEn","1","0")&amp;IF(M483="SubXY","1","0")&amp;IF(H483&lt;&gt;"",VLOOKUP(H483,Ops!$F$2:'Ops'!$G$20,2,FALSE),"000000"),2)),2)</f>
        <v>A3</v>
      </c>
      <c r="Q483" s="26" t="str" cm="1">
        <f t="array" ref="Q483">BIN2HEX(_xlfn.IFS(D483="HWINTEN","10",G483="KeyAck","01",G483="InitLp8","01",TRUE,"00")&amp;IF(OR(Ops!$O$2:'Ops'!$O$13=K483),VLOOKUP(K483,Ops!$O$2:'Ops'!$P$13,2,FALSE),"000")&amp;IF(E483&lt;&gt;"",IF(LEN(_xlfn.XLOOKUP($E483,$C$5:$C$681,$B$5:$B$681,0))=3,HEX2BIN(LEFT(_xlfn.XLOOKUP($E483,$C$5:$C$681,$B$5:$B$681,0),1),3),IF(OR(Ops!$L$2:'Ops'!$L$11=J483),VLOOKUP(J483,Ops!$L$2:'Ops'!$M$11,2,FALSE),"000")),IF(OR(Ops!$L$2:'Ops'!$L$11=J483),VLOOKUP(J483,Ops!$L$2:'Ops'!$M$11,2,FALSE),"000")),2)</f>
        <v>05</v>
      </c>
      <c r="R483" s="27"/>
      <c r="Z483" s="74" t="str">
        <f t="shared" si="145"/>
        <v>0x3F,</v>
      </c>
      <c r="AA483" s="75" t="str">
        <f t="shared" si="146"/>
        <v>0xA3,</v>
      </c>
      <c r="AB483" s="75" t="str">
        <f t="shared" si="147"/>
        <v>0x05,</v>
      </c>
      <c r="AC483" s="76"/>
    </row>
    <row r="484" spans="1:29" x14ac:dyDescent="0.3">
      <c r="A484" s="79">
        <f t="shared" si="142"/>
        <v>1458</v>
      </c>
      <c r="B484" s="80" t="str">
        <f t="shared" si="143"/>
        <v>5B2</v>
      </c>
      <c r="D484" s="29"/>
      <c r="F484" s="29"/>
      <c r="G484" s="24"/>
      <c r="H484" s="29"/>
      <c r="J484" s="56" t="s">
        <v>56</v>
      </c>
      <c r="M484" s="14"/>
      <c r="N484" s="49"/>
      <c r="O484" s="25" t="str" cm="1">
        <f t="array" ref="O484">BIN2HEX(IF(I484&lt;&gt;"",VLOOKUP(I484,Ops!$I$2:'Ops'!$J$15,2,FALSE),IF(ISNUMBER(SEARCH("BR",D484)),"001","000"))&amp;IF(D484&lt;&gt;"",VLOOKUP(D484,Ops!$B$2:'Ops'!$C$23,2,FALSE),"0")&amp;_xlfn.IFS(ISNUMBER(SEARCH("BR",D484)),VLOOKUP(D484,Ops!$B$3:'Ops'!$D$22,3,FALSE),F484&lt;&gt;"",VLOOKUP(F484,Ops!$R$2:'Ops'!$S$11,2),L484&lt;&gt;"",VLOOKUP(L484,Ops!$R$2:'Ops'!$S$25,2,FALSE),TRUE,"0000"),2)</f>
        <v>00</v>
      </c>
      <c r="P484" s="26" t="str">
        <f>RIGHT(IF($E484&lt;&gt;"",_xlfn.XLOOKUP($E484,$C$4:$C$681,$B$4:$B$681,"NO LABEL"),BIN2HEX(IF(N484="CarryEn","1","0")&amp;IF(M484="SubXY","1","0")&amp;IF(H484&lt;&gt;"",VLOOKUP(H484,Ops!$F$2:'Ops'!$G$20,2,FALSE),"000000"),2)),2)</f>
        <v>00</v>
      </c>
      <c r="Q484" s="26" t="str" cm="1">
        <f t="array" ref="Q484">BIN2HEX(_xlfn.IFS(D484="HWINTEN","10",G484="KeyAck","01",G484="InitLp8","01",TRUE,"00")&amp;IF(OR(Ops!$O$2:'Ops'!$O$13=K484),VLOOKUP(K484,Ops!$O$2:'Ops'!$P$13,2,FALSE),"000")&amp;IF(E484&lt;&gt;"",IF(LEN(_xlfn.XLOOKUP($E484,$C$5:$C$681,$B$5:$B$681,0))=3,HEX2BIN(LEFT(_xlfn.XLOOKUP($E484,$C$5:$C$681,$B$5:$B$681,0),1),3),IF(OR(Ops!$L$2:'Ops'!$L$11=J484),VLOOKUP(J484,Ops!$L$2:'Ops'!$M$11,2,FALSE),"000")),IF(OR(Ops!$L$2:'Ops'!$L$11=J484),VLOOKUP(J484,Ops!$L$2:'Ops'!$M$11,2,FALSE),"000")),2)</f>
        <v>05</v>
      </c>
      <c r="R484" s="27"/>
      <c r="Z484" s="74" t="str">
        <f t="shared" si="145"/>
        <v>0x00,</v>
      </c>
      <c r="AA484" s="75" t="str">
        <f t="shared" si="146"/>
        <v>0x00,</v>
      </c>
      <c r="AB484" s="75" t="str">
        <f t="shared" si="147"/>
        <v>0x05,</v>
      </c>
      <c r="AC484" s="76"/>
    </row>
    <row r="485" spans="1:29" x14ac:dyDescent="0.3">
      <c r="A485" s="79">
        <f t="shared" si="142"/>
        <v>1461</v>
      </c>
      <c r="B485" s="80" t="str">
        <f t="shared" si="143"/>
        <v>5B5</v>
      </c>
      <c r="D485" s="29"/>
      <c r="F485" s="29"/>
      <c r="G485" s="24"/>
      <c r="H485" s="29"/>
      <c r="J485" s="4" t="s">
        <v>421</v>
      </c>
      <c r="K485" s="4" t="s">
        <v>422</v>
      </c>
      <c r="L485" s="4" t="s">
        <v>325</v>
      </c>
      <c r="M485" s="14"/>
      <c r="N485" s="49"/>
      <c r="O485" s="25" t="str" cm="1">
        <f t="array" ref="O485">BIN2HEX(IF(I485&lt;&gt;"",VLOOKUP(I485,Ops!$I$2:'Ops'!$J$15,2,FALSE),IF(ISNUMBER(SEARCH("BR",D485)),"001","000"))&amp;IF(D485&lt;&gt;"",VLOOKUP(D485,Ops!$B$2:'Ops'!$C$23,2,FALSE),"0")&amp;_xlfn.IFS(ISNUMBER(SEARCH("BR",D485)),VLOOKUP(D485,Ops!$B$3:'Ops'!$D$22,3,FALSE),F485&lt;&gt;"",VLOOKUP(F485,Ops!$R$2:'Ops'!$S$11,2),L485&lt;&gt;"",VLOOKUP(L485,Ops!$R$2:'Ops'!$S$25,2,FALSE),TRUE,"0000"),2)</f>
        <v>06</v>
      </c>
      <c r="P485" s="26" t="str">
        <f>RIGHT(IF($E485&lt;&gt;"",_xlfn.XLOOKUP($E485,$C$4:$C$681,$B$4:$B$681,"NO LABEL"),BIN2HEX(IF(N485="CarryEn","1","0")&amp;IF(M485="SubXY","1","0")&amp;IF(H485&lt;&gt;"",VLOOKUP(H485,Ops!$F$2:'Ops'!$G$20,2,FALSE),"000000"),2)),2)</f>
        <v>00</v>
      </c>
      <c r="Q485" s="26" t="str" cm="1">
        <f t="array" ref="Q485">BIN2HEX(_xlfn.IFS(D485="HWINTEN","10",G485="KeyAck","01",G485="InitLp8","01",TRUE,"00")&amp;IF(OR(Ops!$O$2:'Ops'!$O$13=K485),VLOOKUP(K485,Ops!$O$2:'Ops'!$P$13,2,FALSE),"000")&amp;IF(E485&lt;&gt;"",IF(LEN(_xlfn.XLOOKUP($E485,$C$5:$C$681,$B$5:$B$681,0))=3,HEX2BIN(LEFT(_xlfn.XLOOKUP($E485,$C$5:$C$681,$B$5:$B$681,0),1),3),IF(OR(Ops!$L$2:'Ops'!$L$11=J485),VLOOKUP(J485,Ops!$L$2:'Ops'!$M$11,2,FALSE),"000")),IF(OR(Ops!$L$2:'Ops'!$L$11=J485),VLOOKUP(J485,Ops!$L$2:'Ops'!$M$11,2,FALSE),"000")),2)</f>
        <v>1B</v>
      </c>
      <c r="R485" s="27"/>
      <c r="S485" s="4" t="s">
        <v>329</v>
      </c>
      <c r="Z485" s="74" t="str">
        <f t="shared" si="145"/>
        <v>0x06,</v>
      </c>
      <c r="AA485" s="75" t="str">
        <f t="shared" si="146"/>
        <v>0x00,</v>
      </c>
      <c r="AB485" s="75" t="str">
        <f t="shared" si="147"/>
        <v>0x1B,</v>
      </c>
      <c r="AC485" s="76"/>
    </row>
    <row r="486" spans="1:29" x14ac:dyDescent="0.3">
      <c r="A486" s="79">
        <f t="shared" si="142"/>
        <v>1464</v>
      </c>
      <c r="B486" s="80" t="str">
        <f t="shared" si="143"/>
        <v>5B8</v>
      </c>
      <c r="D486" s="29" t="s">
        <v>0</v>
      </c>
      <c r="E486" s="4" t="s">
        <v>1</v>
      </c>
      <c r="F486" s="29"/>
      <c r="G486" s="24"/>
      <c r="H486" s="29"/>
      <c r="M486" s="14"/>
      <c r="N486" s="49"/>
      <c r="O486" s="25" t="str" cm="1">
        <f t="array" ref="O486">BIN2HEX(IF(I486&lt;&gt;"",VLOOKUP(I486,Ops!$I$2:'Ops'!$J$15,2,FALSE),IF(ISNUMBER(SEARCH("BR",D486)),"001","000"))&amp;IF(D486&lt;&gt;"",VLOOKUP(D486,Ops!$B$2:'Ops'!$C$23,2,FALSE),"0")&amp;_xlfn.IFS(ISNUMBER(SEARCH("BR",D486)),VLOOKUP(D486,Ops!$B$3:'Ops'!$D$22,3,FALSE),F486&lt;&gt;"",VLOOKUP(F486,Ops!$R$2:'Ops'!$S$11,2),L486&lt;&gt;"",VLOOKUP(L486,Ops!$R$2:'Ops'!$S$25,2,FALSE),TRUE,"0000"),2)</f>
        <v>10</v>
      </c>
      <c r="P486" s="26" t="str">
        <f>RIGHT(IF($E486&lt;&gt;"",_xlfn.XLOOKUP($E486,$C$4:$C$681,$B$4:$B$681,"NO LABEL"),BIN2HEX(IF(N486="CarryEn","1","0")&amp;IF(M486="SubXY","1","0")&amp;IF(H486&lt;&gt;"",VLOOKUP(H486,Ops!$F$2:'Ops'!$G$20,2,FALSE),"000000"),2)),2)</f>
        <v>60</v>
      </c>
      <c r="Q486" s="26" t="str" cm="1">
        <f t="array" ref="Q486">BIN2HEX(_xlfn.IFS(D486="HWINTEN","10",G486="KeyAck","01",G486="InitLp8","01",TRUE,"00")&amp;IF(OR(Ops!$O$2:'Ops'!$O$13=K486),VLOOKUP(K486,Ops!$O$2:'Ops'!$P$13,2,FALSE),"000")&amp;IF(E486&lt;&gt;"",IF(LEN(_xlfn.XLOOKUP($E486,$C$5:$C$681,$B$5:$B$681,0))=3,HEX2BIN(LEFT(_xlfn.XLOOKUP($E486,$C$5:$C$681,$B$5:$B$681,0),1),3),IF(OR(Ops!$L$2:'Ops'!$L$11=J486),VLOOKUP(J486,Ops!$L$2:'Ops'!$M$11,2,FALSE),"000")),IF(OR(Ops!$L$2:'Ops'!$L$11=J486),VLOOKUP(J486,Ops!$L$2:'Ops'!$M$11,2,FALSE),"000")),2)</f>
        <v>00</v>
      </c>
      <c r="R486" s="27"/>
      <c r="Z486" s="74" t="str">
        <f t="shared" si="145"/>
        <v>0x10,</v>
      </c>
      <c r="AA486" s="75" t="str">
        <f t="shared" si="146"/>
        <v>0x60,</v>
      </c>
      <c r="AB486" s="75" t="str">
        <f t="shared" si="147"/>
        <v>0x00,</v>
      </c>
      <c r="AC486" s="76"/>
    </row>
    <row r="487" spans="1:29" x14ac:dyDescent="0.3">
      <c r="A487" s="79">
        <f t="shared" si="142"/>
        <v>1467</v>
      </c>
      <c r="B487" s="80" t="str">
        <f t="shared" si="143"/>
        <v>5BB</v>
      </c>
      <c r="C487" s="4" t="s">
        <v>335</v>
      </c>
      <c r="D487" s="29"/>
      <c r="F487" s="29"/>
      <c r="G487" s="24"/>
      <c r="H487" s="29" t="s">
        <v>53</v>
      </c>
      <c r="I487" t="s">
        <v>478</v>
      </c>
      <c r="J487" s="4" t="s">
        <v>475</v>
      </c>
      <c r="M487" s="14"/>
      <c r="N487" s="49"/>
      <c r="O487" s="25" t="str" cm="1">
        <f t="array" ref="O487">BIN2HEX(IF(I487&lt;&gt;"",VLOOKUP(I487,Ops!$I$2:'Ops'!$J$15,2,FALSE),IF(ISNUMBER(SEARCH("BR",D487)),"001","000"))&amp;IF(D487&lt;&gt;"",VLOOKUP(D487,Ops!$B$2:'Ops'!$C$23,2,FALSE),"0")&amp;_xlfn.IFS(ISNUMBER(SEARCH("BR",D487)),VLOOKUP(D487,Ops!$B$3:'Ops'!$D$22,3,FALSE),F487&lt;&gt;"",VLOOKUP(F487,Ops!$R$2:'Ops'!$S$11,2),L487&lt;&gt;"",VLOOKUP(L487,Ops!$R$2:'Ops'!$S$25,2,FALSE),TRUE,"0000"),2)</f>
        <v>20</v>
      </c>
      <c r="P487" s="26" t="str">
        <f>RIGHT(IF($E487&lt;&gt;"",_xlfn.XLOOKUP($E487,$C$4:$C$681,$B$4:$B$681,"NO LABEL"),BIN2HEX(IF(N487="CarryEn","1","0")&amp;IF(M487="SubXY","1","0")&amp;IF(H487&lt;&gt;"",VLOOKUP(H487,Ops!$F$2:'Ops'!$G$20,2,FALSE),"000000"),2)),2)</f>
        <v>01</v>
      </c>
      <c r="Q487" s="26" t="str" cm="1">
        <f t="array" ref="Q487">BIN2HEX(_xlfn.IFS(D487="HWINTEN","10",G487="KeyAck","01",G487="InitLp8","01",TRUE,"00")&amp;IF(OR(Ops!$O$2:'Ops'!$O$13=K487),VLOOKUP(K487,Ops!$O$2:'Ops'!$P$13,2,FALSE),"000")&amp;IF(E487&lt;&gt;"",IF(LEN(_xlfn.XLOOKUP($E487,$C$5:$C$681,$B$5:$B$681,0))=3,HEX2BIN(LEFT(_xlfn.XLOOKUP($E487,$C$5:$C$681,$B$5:$B$681,0),1),3),IF(OR(Ops!$L$2:'Ops'!$L$11=J487),VLOOKUP(J487,Ops!$L$2:'Ops'!$M$11,2,FALSE),"000")),IF(OR(Ops!$L$2:'Ops'!$L$11=J487),VLOOKUP(J487,Ops!$L$2:'Ops'!$M$11,2,FALSE),"000")),2)</f>
        <v>00</v>
      </c>
      <c r="R487" s="27"/>
      <c r="S487" s="4" t="s">
        <v>330</v>
      </c>
      <c r="Z487" s="74" t="str">
        <f t="shared" si="145"/>
        <v>0x20,</v>
      </c>
      <c r="AA487" s="75" t="str">
        <f t="shared" si="146"/>
        <v>0x01,</v>
      </c>
      <c r="AB487" s="75" t="str">
        <f t="shared" si="147"/>
        <v>0x00,</v>
      </c>
      <c r="AC487" s="76"/>
    </row>
    <row r="488" spans="1:29" x14ac:dyDescent="0.3">
      <c r="A488" s="79">
        <f t="shared" si="142"/>
        <v>1470</v>
      </c>
      <c r="B488" s="80" t="str">
        <f t="shared" si="143"/>
        <v>5BE</v>
      </c>
      <c r="D488" s="29" t="s">
        <v>251</v>
      </c>
      <c r="E488" s="4" t="s">
        <v>335</v>
      </c>
      <c r="F488" s="29"/>
      <c r="G488" s="24"/>
      <c r="H488" s="29"/>
      <c r="M488" s="14"/>
      <c r="N488" s="49"/>
      <c r="O488" s="25" t="str" cm="1">
        <f t="array" ref="O488">BIN2HEX(IF(I488&lt;&gt;"",VLOOKUP(I488,Ops!$I$2:'Ops'!$J$15,2,FALSE),IF(ISNUMBER(SEARCH("BR",D488)),"001","000"))&amp;IF(D488&lt;&gt;"",VLOOKUP(D488,Ops!$B$2:'Ops'!$C$23,2,FALSE),"0")&amp;_xlfn.IFS(ISNUMBER(SEARCH("BR",D488)),VLOOKUP(D488,Ops!$B$3:'Ops'!$D$22,3,FALSE),F488&lt;&gt;"",VLOOKUP(F488,Ops!$R$2:'Ops'!$S$11,2),L488&lt;&gt;"",VLOOKUP(L488,Ops!$R$2:'Ops'!$S$25,2,FALSE),TRUE,"0000"),2)</f>
        <v>3F</v>
      </c>
      <c r="P488" s="26" t="str">
        <f>RIGHT(IF($E488&lt;&gt;"",_xlfn.XLOOKUP($E488,$C$4:$C$681,$B$4:$B$681,"NO LABEL"),BIN2HEX(IF(N488="CarryEn","1","0")&amp;IF(M488="SubXY","1","0")&amp;IF(H488&lt;&gt;"",VLOOKUP(H488,Ops!$F$2:'Ops'!$G$20,2,FALSE),"000000"),2)),2)</f>
        <v>BB</v>
      </c>
      <c r="Q488" s="26" t="str" cm="1">
        <f t="array" ref="Q488">BIN2HEX(_xlfn.IFS(D488="HWINTEN","10",G488="KeyAck","01",G488="InitLp8","01",TRUE,"00")&amp;IF(OR(Ops!$O$2:'Ops'!$O$13=K488),VLOOKUP(K488,Ops!$O$2:'Ops'!$P$13,2,FALSE),"000")&amp;IF(E488&lt;&gt;"",IF(LEN(_xlfn.XLOOKUP($E488,$C$5:$C$681,$B$5:$B$681,0))=3,HEX2BIN(LEFT(_xlfn.XLOOKUP($E488,$C$5:$C$681,$B$5:$B$681,0),1),3),IF(OR(Ops!$L$2:'Ops'!$L$11=J488),VLOOKUP(J488,Ops!$L$2:'Ops'!$M$11,2,FALSE),"000")),IF(OR(Ops!$L$2:'Ops'!$L$11=J488),VLOOKUP(J488,Ops!$L$2:'Ops'!$M$11,2,FALSE),"000")),2)</f>
        <v>05</v>
      </c>
      <c r="R488" s="27"/>
      <c r="S488" s="4" t="s">
        <v>328</v>
      </c>
      <c r="Z488" s="74" t="str">
        <f t="shared" si="145"/>
        <v>0x3F,</v>
      </c>
      <c r="AA488" s="75" t="str">
        <f t="shared" si="146"/>
        <v>0xBB,</v>
      </c>
      <c r="AB488" s="75" t="str">
        <f t="shared" si="147"/>
        <v>0x05,</v>
      </c>
      <c r="AC488" s="76"/>
    </row>
    <row r="489" spans="1:29" x14ac:dyDescent="0.3">
      <c r="A489" s="79">
        <f t="shared" si="142"/>
        <v>1473</v>
      </c>
      <c r="B489" s="80" t="str">
        <f t="shared" ref="B489:B495" si="148">DEC2HEX(A489)</f>
        <v>5C1</v>
      </c>
      <c r="D489" s="29"/>
      <c r="F489" s="29"/>
      <c r="G489" s="24"/>
      <c r="H489" s="29"/>
      <c r="I489" s="4" t="s">
        <v>290</v>
      </c>
      <c r="K489" s="4" t="s">
        <v>480</v>
      </c>
      <c r="M489" s="14"/>
      <c r="N489" s="49"/>
      <c r="O489" s="25" t="str" cm="1">
        <f t="array" ref="O489">BIN2HEX(IF(I489&lt;&gt;"",VLOOKUP(I489,Ops!$I$2:'Ops'!$J$15,2,FALSE),IF(ISNUMBER(SEARCH("BR",D489)),"001","000"))&amp;IF(D489&lt;&gt;"",VLOOKUP(D489,Ops!$B$2:'Ops'!$C$23,2,FALSE),"0")&amp;_xlfn.IFS(ISNUMBER(SEARCH("BR",D489)),VLOOKUP(D489,Ops!$B$3:'Ops'!$D$22,3,FALSE),F489&lt;&gt;"",VLOOKUP(F489,Ops!$R$2:'Ops'!$S$11,2),L489&lt;&gt;"",VLOOKUP(L489,Ops!$R$2:'Ops'!$S$25,2,FALSE),TRUE,"0000"),2)</f>
        <v>40</v>
      </c>
      <c r="P489" s="26" t="str">
        <f>RIGHT(IF($E489&lt;&gt;"",_xlfn.XLOOKUP($E489,$C$4:$C$681,$B$4:$B$681,"NO LABEL"),BIN2HEX(IF(N489="CarryEn","1","0")&amp;IF(M489="SubXY","1","0")&amp;IF(H489&lt;&gt;"",VLOOKUP(H489,Ops!$F$2:'Ops'!$G$20,2,FALSE),"000000"),2)),2)</f>
        <v>00</v>
      </c>
      <c r="Q489" s="26" t="str" cm="1">
        <f t="array" ref="Q489">BIN2HEX(_xlfn.IFS(D489="HWINTEN","10",G489="KeyAck","01",G489="InitLp8","01",TRUE,"00")&amp;IF(OR(Ops!$O$2:'Ops'!$O$13=K489),VLOOKUP(K489,Ops!$O$2:'Ops'!$P$13,2,FALSE),"000")&amp;IF(E489&lt;&gt;"",IF(LEN(_xlfn.XLOOKUP($E489,$C$5:$C$681,$B$5:$B$681,0))=3,HEX2BIN(LEFT(_xlfn.XLOOKUP($E489,$C$5:$C$681,$B$5:$B$681,0),1),3),IF(OR(Ops!$L$2:'Ops'!$L$11=J489),VLOOKUP(J489,Ops!$L$2:'Ops'!$M$11,2,FALSE),"000")),IF(OR(Ops!$L$2:'Ops'!$L$11=J489),VLOOKUP(J489,Ops!$L$2:'Ops'!$M$11,2,FALSE),"000")),2)</f>
        <v>00</v>
      </c>
      <c r="R489" s="27"/>
      <c r="S489" s="4" t="s">
        <v>282</v>
      </c>
      <c r="Z489" s="74" t="str">
        <f t="shared" si="145"/>
        <v>0x40,</v>
      </c>
      <c r="AA489" s="75" t="str">
        <f t="shared" si="146"/>
        <v>0x00,</v>
      </c>
      <c r="AB489" s="75" t="str">
        <f t="shared" si="147"/>
        <v>0x00,</v>
      </c>
      <c r="AC489" s="76"/>
    </row>
    <row r="490" spans="1:29" x14ac:dyDescent="0.3">
      <c r="A490" s="79">
        <f t="shared" si="142"/>
        <v>1476</v>
      </c>
      <c r="B490" s="80" t="str">
        <f t="shared" si="148"/>
        <v>5C4</v>
      </c>
      <c r="C490" s="4" t="s">
        <v>333</v>
      </c>
      <c r="D490" s="29" t="s">
        <v>183</v>
      </c>
      <c r="E490" s="4" t="s">
        <v>306</v>
      </c>
      <c r="F490" s="29"/>
      <c r="G490" s="24"/>
      <c r="H490" s="29"/>
      <c r="M490" s="14"/>
      <c r="N490" s="49"/>
      <c r="O490" s="25" t="str" cm="1">
        <f t="array" ref="O490">BIN2HEX(IF(I490&lt;&gt;"",VLOOKUP(I490,Ops!$I$2:'Ops'!$J$15,2,FALSE),IF(ISNUMBER(SEARCH("BR",D490)),"001","000"))&amp;IF(D490&lt;&gt;"",VLOOKUP(D490,Ops!$B$2:'Ops'!$C$23,2,FALSE),"0")&amp;_xlfn.IFS(ISNUMBER(SEARCH("BR",D490)),VLOOKUP(D490,Ops!$B$3:'Ops'!$D$22,3,FALSE),F490&lt;&gt;"",VLOOKUP(F490,Ops!$R$2:'Ops'!$S$11,2),L490&lt;&gt;"",VLOOKUP(L490,Ops!$R$2:'Ops'!$S$25,2,FALSE),TRUE,"0000"),2)</f>
        <v>37</v>
      </c>
      <c r="P490" s="26" t="str">
        <f>RIGHT(IF($E490&lt;&gt;"",_xlfn.XLOOKUP($E490,$C$4:$C$681,$B$4:$B$681,"NO LABEL"),BIN2HEX(IF(N490="CarryEn","1","0")&amp;IF(M490="SubXY","1","0")&amp;IF(H490&lt;&gt;"",VLOOKUP(H490,Ops!$F$2:'Ops'!$G$20,2,FALSE),"000000"),2)),2)</f>
        <v>CA</v>
      </c>
      <c r="Q490" s="26" t="str" cm="1">
        <f t="array" ref="Q490">BIN2HEX(_xlfn.IFS(D490="HWINTEN","10",G490="KeyAck","01",G490="InitLp8","01",TRUE,"00")&amp;IF(OR(Ops!$O$2:'Ops'!$O$13=K490),VLOOKUP(K490,Ops!$O$2:'Ops'!$P$13,2,FALSE),"000")&amp;IF(E490&lt;&gt;"",IF(LEN(_xlfn.XLOOKUP($E490,$C$5:$C$681,$B$5:$B$681,0))=3,HEX2BIN(LEFT(_xlfn.XLOOKUP($E490,$C$5:$C$681,$B$5:$B$681,0),1),3),IF(OR(Ops!$L$2:'Ops'!$L$11=J490),VLOOKUP(J490,Ops!$L$2:'Ops'!$M$11,2,FALSE),"000")),IF(OR(Ops!$L$2:'Ops'!$L$11=J490),VLOOKUP(J490,Ops!$L$2:'Ops'!$M$11,2,FALSE),"000")),2)</f>
        <v>05</v>
      </c>
      <c r="R490" s="27"/>
      <c r="S490" s="4" t="s">
        <v>276</v>
      </c>
      <c r="Z490" s="74" t="str">
        <f t="shared" ref="Z490:Z514" si="149">IF(O490="", "};", "0x"&amp;O490&amp;",")</f>
        <v>0x37,</v>
      </c>
      <c r="AA490" s="75" t="str">
        <f t="shared" ref="AA490:AA514" si="150">"0x"&amp;P490&amp;","</f>
        <v>0xCA,</v>
      </c>
      <c r="AB490" s="75" t="str">
        <f t="shared" ref="AB490:AB514" si="151">"0x"&amp;Q490&amp;","</f>
        <v>0x05,</v>
      </c>
      <c r="AC490" s="76"/>
    </row>
    <row r="491" spans="1:29" x14ac:dyDescent="0.3">
      <c r="A491" s="79">
        <f>A490+3</f>
        <v>1479</v>
      </c>
      <c r="B491" s="80" t="str">
        <f t="shared" si="148"/>
        <v>5C7</v>
      </c>
      <c r="D491" s="29" t="s">
        <v>0</v>
      </c>
      <c r="E491" s="4" t="s">
        <v>308</v>
      </c>
      <c r="F491" s="29"/>
      <c r="G491" s="24"/>
      <c r="H491" s="29"/>
      <c r="M491" s="14"/>
      <c r="O491" s="25" t="str" cm="1">
        <f t="array" ref="O491">BIN2HEX(IF(I491&lt;&gt;"",VLOOKUP(I491,Ops!$I$2:'Ops'!$J$15,2,FALSE),IF(ISNUMBER(SEARCH("BR",D491)),"001","000"))&amp;IF(D491&lt;&gt;"",VLOOKUP(D491,Ops!$B$2:'Ops'!$C$23,2,FALSE),"0")&amp;_xlfn.IFS(ISNUMBER(SEARCH("BR",D491)),VLOOKUP(D491,Ops!$B$3:'Ops'!$D$22,3,FALSE),F491&lt;&gt;"",VLOOKUP(F491,Ops!$R$2:'Ops'!$S$11,2),L491&lt;&gt;"",VLOOKUP(L491,Ops!$R$2:'Ops'!$S$25,2,FALSE),TRUE,"0000"),2)</f>
        <v>10</v>
      </c>
      <c r="P491" s="26" t="str">
        <f>RIGHT(IF($E491&lt;&gt;"",_xlfn.XLOOKUP($E491,$C$4:$C$681,$B$4:$B$681,"NO LABEL"),BIN2HEX(IF(N491="CarryEn","1","0")&amp;IF(M491="SubXY","1","0")&amp;IF(H491&lt;&gt;"",VLOOKUP(H491,Ops!$F$2:'Ops'!$G$20,2,FALSE),"000000"),2)),2)</f>
        <v>D3</v>
      </c>
      <c r="Q491" s="26" t="str" cm="1">
        <f t="array" ref="Q491">BIN2HEX(_xlfn.IFS(D491="HWINTEN","10",G491="KeyAck","01",G491="InitLp8","01",TRUE,"00")&amp;IF(OR(Ops!$O$2:'Ops'!$O$13=K491),VLOOKUP(K491,Ops!$O$2:'Ops'!$P$13,2,FALSE),"000")&amp;IF(E491&lt;&gt;"",IF(LEN(_xlfn.XLOOKUP($E491,$C$5:$C$681,$B$5:$B$681,0))=3,HEX2BIN(LEFT(_xlfn.XLOOKUP($E491,$C$5:$C$681,$B$5:$B$681,0),1),3),IF(OR(Ops!$L$2:'Ops'!$L$11=J491),VLOOKUP(J491,Ops!$L$2:'Ops'!$M$11,2,FALSE),"000")),IF(OR(Ops!$L$2:'Ops'!$L$11=J491),VLOOKUP(J491,Ops!$L$2:'Ops'!$M$11,2,FALSE),"000")),2)</f>
        <v>05</v>
      </c>
      <c r="R491" s="27"/>
      <c r="S491" s="4" t="s">
        <v>277</v>
      </c>
      <c r="Z491" s="74" t="str">
        <f t="shared" si="149"/>
        <v>0x10,</v>
      </c>
      <c r="AA491" s="75" t="str">
        <f t="shared" si="150"/>
        <v>0xD3,</v>
      </c>
      <c r="AB491" s="75" t="str">
        <f t="shared" si="151"/>
        <v>0x05,</v>
      </c>
      <c r="AC491" s="76"/>
    </row>
    <row r="492" spans="1:29" x14ac:dyDescent="0.3">
      <c r="A492" s="79">
        <f t="shared" si="142"/>
        <v>1482</v>
      </c>
      <c r="B492" s="80" t="str">
        <f t="shared" si="148"/>
        <v>5CA</v>
      </c>
      <c r="C492" s="4" t="s">
        <v>306</v>
      </c>
      <c r="D492" s="29"/>
      <c r="F492" s="29"/>
      <c r="G492" s="24"/>
      <c r="H492" s="29"/>
      <c r="J492" s="4" t="s">
        <v>421</v>
      </c>
      <c r="K492" s="4" t="s">
        <v>422</v>
      </c>
      <c r="L492" s="4" t="s">
        <v>24</v>
      </c>
      <c r="M492" s="14"/>
      <c r="O492" s="25" t="str" cm="1">
        <f t="array" ref="O492">BIN2HEX(IF(I492&lt;&gt;"",VLOOKUP(I492,Ops!$I$2:'Ops'!$J$15,2,FALSE),IF(ISNUMBER(SEARCH("BR",D492)),"001","000"))&amp;IF(D492&lt;&gt;"",VLOOKUP(D492,Ops!$B$2:'Ops'!$C$23,2,FALSE),"0")&amp;_xlfn.IFS(ISNUMBER(SEARCH("BR",D492)),VLOOKUP(D492,Ops!$B$3:'Ops'!$D$22,3,FALSE),F492&lt;&gt;"",VLOOKUP(F492,Ops!$R$2:'Ops'!$S$11,2),L492&lt;&gt;"",VLOOKUP(L492,Ops!$R$2:'Ops'!$S$25,2,FALSE),TRUE,"0000"),2)</f>
        <v>00</v>
      </c>
      <c r="P492" s="26" t="str">
        <f>RIGHT(IF($E492&lt;&gt;"",_xlfn.XLOOKUP($E492,$C$4:$C$681,$B$4:$B$681,"NO LABEL"),BIN2HEX(IF(N492="CarryEn","1","0")&amp;IF(M492="SubXY","1","0")&amp;IF(H492&lt;&gt;"",VLOOKUP(H492,Ops!$F$2:'Ops'!$G$20,2,FALSE),"000000"),2)),2)</f>
        <v>00</v>
      </c>
      <c r="Q492" s="26" t="str" cm="1">
        <f t="array" ref="Q492">BIN2HEX(_xlfn.IFS(D492="HWINTEN","10",G492="KeyAck","01",G492="InitLp8","01",TRUE,"00")&amp;IF(OR(Ops!$O$2:'Ops'!$O$13=K492),VLOOKUP(K492,Ops!$O$2:'Ops'!$P$13,2,FALSE),"000")&amp;IF(E492&lt;&gt;"",IF(LEN(_xlfn.XLOOKUP($E492,$C$5:$C$681,$B$5:$B$681,0))=3,HEX2BIN(LEFT(_xlfn.XLOOKUP($E492,$C$5:$C$681,$B$5:$B$681,0),1),3),IF(OR(Ops!$L$2:'Ops'!$L$11=J492),VLOOKUP(J492,Ops!$L$2:'Ops'!$M$11,2,FALSE),"000")),IF(OR(Ops!$L$2:'Ops'!$L$11=J492),VLOOKUP(J492,Ops!$L$2:'Ops'!$M$11,2,FALSE),"000")),2)</f>
        <v>1B</v>
      </c>
      <c r="R492" s="27"/>
      <c r="S492" s="4" t="s">
        <v>278</v>
      </c>
      <c r="Z492" s="74" t="str">
        <f t="shared" si="149"/>
        <v>0x00,</v>
      </c>
      <c r="AA492" s="75" t="str">
        <f t="shared" si="150"/>
        <v>0x00,</v>
      </c>
      <c r="AB492" s="75" t="str">
        <f t="shared" si="151"/>
        <v>0x1B,</v>
      </c>
      <c r="AC492" s="76"/>
    </row>
    <row r="493" spans="1:29" x14ac:dyDescent="0.3">
      <c r="A493" s="79">
        <f>A492+3</f>
        <v>1485</v>
      </c>
      <c r="B493" s="80" t="str">
        <f t="shared" si="148"/>
        <v>5CD</v>
      </c>
      <c r="D493" s="29"/>
      <c r="F493" s="29"/>
      <c r="G493" s="24"/>
      <c r="H493" s="29"/>
      <c r="J493" s="4" t="s">
        <v>314</v>
      </c>
      <c r="L493" s="4" t="s">
        <v>311</v>
      </c>
      <c r="M493" s="14"/>
      <c r="O493" s="25" t="str" cm="1">
        <f t="array" ref="O493">BIN2HEX(IF(I493&lt;&gt;"",VLOOKUP(I493,Ops!$I$2:'Ops'!$J$15,2,FALSE),IF(ISNUMBER(SEARCH("BR",D493)),"001","000"))&amp;IF(D493&lt;&gt;"",VLOOKUP(D493,Ops!$B$2:'Ops'!$C$23,2,FALSE),"0")&amp;_xlfn.IFS(ISNUMBER(SEARCH("BR",D493)),VLOOKUP(D493,Ops!$B$3:'Ops'!$D$22,3,FALSE),F493&lt;&gt;"",VLOOKUP(F493,Ops!$R$2:'Ops'!$S$11,2),L493&lt;&gt;"",VLOOKUP(L493,Ops!$R$2:'Ops'!$S$25,2,FALSE),TRUE,"0000"),2)</f>
        <v>04</v>
      </c>
      <c r="P493" s="26" t="str">
        <f>RIGHT(IF($E493&lt;&gt;"",_xlfn.XLOOKUP($E493,$C$4:$C$681,$B$4:$B$681,"NO LABEL"),BIN2HEX(IF(N493="CarryEn","1","0")&amp;IF(M493="SubXY","1","0")&amp;IF(H493&lt;&gt;"",VLOOKUP(H493,Ops!$F$2:'Ops'!$G$20,2,FALSE),"000000"),2)),2)</f>
        <v>00</v>
      </c>
      <c r="Q493" s="26" t="str" cm="1">
        <f t="array" ref="Q493">BIN2HEX(_xlfn.IFS(D493="HWINTEN","10",G493="KeyAck","01",G493="InitLp8","01",TRUE,"00")&amp;IF(OR(Ops!$O$2:'Ops'!$O$13=K493),VLOOKUP(K493,Ops!$O$2:'Ops'!$P$13,2,FALSE),"000")&amp;IF(E493&lt;&gt;"",IF(LEN(_xlfn.XLOOKUP($E493,$C$5:$C$681,$B$5:$B$681,0))=3,HEX2BIN(LEFT(_xlfn.XLOOKUP($E493,$C$5:$C$681,$B$5:$B$681,0),1),3),IF(OR(Ops!$L$2:'Ops'!$L$11=J493),VLOOKUP(J493,Ops!$L$2:'Ops'!$M$11,2,FALSE),"000")),IF(OR(Ops!$L$2:'Ops'!$L$11=J493),VLOOKUP(J493,Ops!$L$2:'Ops'!$M$11,2,FALSE),"000")),2)</f>
        <v>06</v>
      </c>
      <c r="R493" s="27"/>
      <c r="S493" s="3"/>
      <c r="Z493" s="74" t="str">
        <f t="shared" si="149"/>
        <v>0x04,</v>
      </c>
      <c r="AA493" s="75" t="str">
        <f t="shared" si="150"/>
        <v>0x00,</v>
      </c>
      <c r="AB493" s="75" t="str">
        <f t="shared" si="151"/>
        <v>0x06,</v>
      </c>
      <c r="AC493" s="76"/>
    </row>
    <row r="494" spans="1:29" x14ac:dyDescent="0.3">
      <c r="A494" s="79">
        <f t="shared" si="142"/>
        <v>1488</v>
      </c>
      <c r="B494" s="80" t="str">
        <f t="shared" si="148"/>
        <v>5D0</v>
      </c>
      <c r="D494" s="29"/>
      <c r="F494" s="29"/>
      <c r="G494" s="24"/>
      <c r="H494" s="29"/>
      <c r="J494" s="4" t="s">
        <v>314</v>
      </c>
      <c r="K494" s="4" t="s">
        <v>313</v>
      </c>
      <c r="L494" s="4" t="s">
        <v>312</v>
      </c>
      <c r="M494" s="14"/>
      <c r="O494" s="25" t="str" cm="1">
        <f t="array" ref="O494">BIN2HEX(IF(I494&lt;&gt;"",VLOOKUP(I494,Ops!$I$2:'Ops'!$J$15,2,FALSE),IF(ISNUMBER(SEARCH("BR",D494)),"001","000"))&amp;IF(D494&lt;&gt;"",VLOOKUP(D494,Ops!$B$2:'Ops'!$C$23,2,FALSE),"0")&amp;_xlfn.IFS(ISNUMBER(SEARCH("BR",D494)),VLOOKUP(D494,Ops!$B$3:'Ops'!$D$22,3,FALSE),F494&lt;&gt;"",VLOOKUP(F494,Ops!$R$2:'Ops'!$S$11,2),L494&lt;&gt;"",VLOOKUP(L494,Ops!$R$2:'Ops'!$S$25,2,FALSE),TRUE,"0000"),2)</f>
        <v>03</v>
      </c>
      <c r="P494" s="26" t="str">
        <f>RIGHT(IF($E494&lt;&gt;"",_xlfn.XLOOKUP($E494,$C$4:$C$681,$B$4:$B$681,"NO LABEL"),BIN2HEX(IF(N494="CarryEn","1","0")&amp;IF(M494="SubXY","1","0")&amp;IF(H494&lt;&gt;"",VLOOKUP(H494,Ops!$F$2:'Ops'!$G$20,2,FALSE),"000000"),2)),2)</f>
        <v>00</v>
      </c>
      <c r="Q494" s="26" t="str" cm="1">
        <f t="array" ref="Q494">BIN2HEX(_xlfn.IFS(D494="HWINTEN","10",G494="KeyAck","01",G494="InitLp8","01",TRUE,"00")&amp;IF(OR(Ops!$O$2:'Ops'!$O$13=K494),VLOOKUP(K494,Ops!$O$2:'Ops'!$P$13,2,FALSE),"000")&amp;IF(E494&lt;&gt;"",IF(LEN(_xlfn.XLOOKUP($E494,$C$5:$C$681,$B$5:$B$681,0))=3,HEX2BIN(LEFT(_xlfn.XLOOKUP($E494,$C$5:$C$681,$B$5:$B$681,0),1),3),IF(OR(Ops!$L$2:'Ops'!$L$11=J494),VLOOKUP(J494,Ops!$L$2:'Ops'!$M$11,2,FALSE),"000")),IF(OR(Ops!$L$2:'Ops'!$L$11=J494),VLOOKUP(J494,Ops!$L$2:'Ops'!$M$11,2,FALSE),"000")),2)</f>
        <v>36</v>
      </c>
      <c r="R494" s="27"/>
      <c r="S494" s="3"/>
      <c r="Z494" s="74" t="str">
        <f t="shared" si="149"/>
        <v>0x03,</v>
      </c>
      <c r="AA494" s="75" t="str">
        <f t="shared" si="150"/>
        <v>0x00,</v>
      </c>
      <c r="AB494" s="75" t="str">
        <f t="shared" si="151"/>
        <v>0x36,</v>
      </c>
      <c r="AC494" s="76"/>
    </row>
    <row r="495" spans="1:29" x14ac:dyDescent="0.3">
      <c r="A495" s="79">
        <f t="shared" si="142"/>
        <v>1491</v>
      </c>
      <c r="B495" s="80" t="str">
        <f t="shared" si="148"/>
        <v>5D3</v>
      </c>
      <c r="C495" s="4" t="s">
        <v>308</v>
      </c>
      <c r="D495" s="29"/>
      <c r="F495" s="29"/>
      <c r="G495" s="24"/>
      <c r="H495" s="29"/>
      <c r="J495" s="56" t="s">
        <v>56</v>
      </c>
      <c r="M495" s="14"/>
      <c r="O495" s="25" t="str" cm="1">
        <f t="array" ref="O495">BIN2HEX(IF(I495&lt;&gt;"",VLOOKUP(I495,Ops!$I$2:'Ops'!$J$15,2,FALSE),IF(ISNUMBER(SEARCH("BR",D495)),"001","000"))&amp;IF(D495&lt;&gt;"",VLOOKUP(D495,Ops!$B$2:'Ops'!$C$23,2,FALSE),"0")&amp;_xlfn.IFS(ISNUMBER(SEARCH("BR",D495)),VLOOKUP(D495,Ops!$B$3:'Ops'!$D$22,3,FALSE),F495&lt;&gt;"",VLOOKUP(F495,Ops!$R$2:'Ops'!$S$11,2),L495&lt;&gt;"",VLOOKUP(L495,Ops!$R$2:'Ops'!$S$25,2,FALSE),TRUE,"0000"),2)</f>
        <v>00</v>
      </c>
      <c r="P495" s="26" t="str">
        <f>RIGHT(IF($E495&lt;&gt;"",_xlfn.XLOOKUP($E495,$C$4:$C$681,$B$4:$B$681,"NO LABEL"),BIN2HEX(IF(N495="CarryEn","1","0")&amp;IF(M495="SubXY","1","0")&amp;IF(H495&lt;&gt;"",VLOOKUP(H495,Ops!$F$2:'Ops'!$G$20,2,FALSE),"000000"),2)),2)</f>
        <v>00</v>
      </c>
      <c r="Q495" s="26" t="str" cm="1">
        <f t="array" ref="Q495">BIN2HEX(_xlfn.IFS(D495="HWINTEN","10",G495="KeyAck","01",G495="InitLp8","01",TRUE,"00")&amp;IF(OR(Ops!$O$2:'Ops'!$O$13=K495),VLOOKUP(K495,Ops!$O$2:'Ops'!$P$13,2,FALSE),"000")&amp;IF(E495&lt;&gt;"",IF(LEN(_xlfn.XLOOKUP($E495,$C$5:$C$681,$B$5:$B$681,0))=3,HEX2BIN(LEFT(_xlfn.XLOOKUP($E495,$C$5:$C$681,$B$5:$B$681,0),1),3),IF(OR(Ops!$L$2:'Ops'!$L$11=J495),VLOOKUP(J495,Ops!$L$2:'Ops'!$M$11,2,FALSE),"000")),IF(OR(Ops!$L$2:'Ops'!$L$11=J495),VLOOKUP(J495,Ops!$L$2:'Ops'!$M$11,2,FALSE),"000")),2)</f>
        <v>05</v>
      </c>
      <c r="R495" s="27"/>
      <c r="S495" s="4" t="s">
        <v>409</v>
      </c>
      <c r="Z495" s="74" t="str">
        <f t="shared" si="149"/>
        <v>0x00,</v>
      </c>
      <c r="AA495" s="75" t="str">
        <f t="shared" si="150"/>
        <v>0x00,</v>
      </c>
      <c r="AB495" s="75" t="str">
        <f t="shared" si="151"/>
        <v>0x05,</v>
      </c>
      <c r="AC495" s="76"/>
    </row>
    <row r="496" spans="1:29" x14ac:dyDescent="0.3">
      <c r="A496" s="79">
        <f t="shared" si="142"/>
        <v>1494</v>
      </c>
      <c r="B496" s="80" t="str">
        <f t="shared" ref="B496:B504" si="152">DEC2HEX(A496)</f>
        <v>5D6</v>
      </c>
      <c r="D496" s="29" t="s">
        <v>64</v>
      </c>
      <c r="E496" s="4" t="s">
        <v>450</v>
      </c>
      <c r="F496" s="29"/>
      <c r="G496" s="24"/>
      <c r="H496" s="29"/>
      <c r="M496" s="14"/>
      <c r="O496" s="25" t="str" cm="1">
        <f t="array" ref="O496">BIN2HEX(IF(I496&lt;&gt;"",VLOOKUP(I496,Ops!$I$2:'Ops'!$J$15,2,FALSE),IF(ISNUMBER(SEARCH("BR",D496)),"001","000"))&amp;IF(D496&lt;&gt;"",VLOOKUP(D496,Ops!$B$2:'Ops'!$C$23,2,FALSE),"0")&amp;_xlfn.IFS(ISNUMBER(SEARCH("BR",D496)),VLOOKUP(D496,Ops!$B$3:'Ops'!$D$22,3,FALSE),F496&lt;&gt;"",VLOOKUP(F496,Ops!$R$2:'Ops'!$S$11,2),L496&lt;&gt;"",VLOOKUP(L496,Ops!$R$2:'Ops'!$S$25,2,FALSE),TRUE,"0000"),2)</f>
        <v>34</v>
      </c>
      <c r="P496" s="26" t="str">
        <f>RIGHT(IF($E496&lt;&gt;"",_xlfn.XLOOKUP($E496,$C$4:$C$681,$B$4:$B$681,"NO LABEL"),BIN2HEX(IF(N496="CarryEn","1","0")&amp;IF(M496="SubXY","1","0")&amp;IF(H496&lt;&gt;"",VLOOKUP(H496,Ops!$F$2:'Ops'!$G$20,2,FALSE),"000000"),2)),2)</f>
        <v>DF</v>
      </c>
      <c r="Q496" s="26" t="str" cm="1">
        <f t="array" ref="Q496">BIN2HEX(_xlfn.IFS(D496="HWINTEN","10",G496="KeyAck","01",G496="InitLp8","01",TRUE,"00")&amp;IF(OR(Ops!$O$2:'Ops'!$O$13=K496),VLOOKUP(K496,Ops!$O$2:'Ops'!$P$13,2,FALSE),"000")&amp;IF(E496&lt;&gt;"",IF(LEN(_xlfn.XLOOKUP($E496,$C$5:$C$681,$B$5:$B$681,0))=3,HEX2BIN(LEFT(_xlfn.XLOOKUP($E496,$C$5:$C$681,$B$5:$B$681,0),1),3),IF(OR(Ops!$L$2:'Ops'!$L$11=J496),VLOOKUP(J496,Ops!$L$2:'Ops'!$M$11,2,FALSE),"000")),IF(OR(Ops!$L$2:'Ops'!$L$11=J496),VLOOKUP(J496,Ops!$L$2:'Ops'!$M$11,2,FALSE),"000")),2)</f>
        <v>05</v>
      </c>
      <c r="R496" s="27"/>
      <c r="S496" s="4" t="s">
        <v>453</v>
      </c>
      <c r="Z496" s="74" t="str">
        <f t="shared" si="149"/>
        <v>0x34,</v>
      </c>
      <c r="AA496" s="75" t="str">
        <f t="shared" si="150"/>
        <v>0xDF,</v>
      </c>
      <c r="AB496" s="75" t="str">
        <f t="shared" si="151"/>
        <v>0x05,</v>
      </c>
      <c r="AC496" s="76"/>
    </row>
    <row r="497" spans="1:29" x14ac:dyDescent="0.3">
      <c r="A497" s="79">
        <f t="shared" si="142"/>
        <v>1497</v>
      </c>
      <c r="B497" s="80" t="str">
        <f t="shared" si="152"/>
        <v>5D9</v>
      </c>
      <c r="D497" s="29" t="s">
        <v>67</v>
      </c>
      <c r="E497" s="4" t="s">
        <v>451</v>
      </c>
      <c r="F497" s="29"/>
      <c r="G497" s="24"/>
      <c r="H497" s="29"/>
      <c r="M497" s="14"/>
      <c r="O497" s="25" t="str" cm="1">
        <f t="array" ref="O497">BIN2HEX(IF(I497&lt;&gt;"",VLOOKUP(I497,Ops!$I$2:'Ops'!$J$15,2,FALSE),IF(ISNUMBER(SEARCH("BR",D497)),"001","000"))&amp;IF(D497&lt;&gt;"",VLOOKUP(D497,Ops!$B$2:'Ops'!$C$23,2,FALSE),"0")&amp;_xlfn.IFS(ISNUMBER(SEARCH("BR",D497)),VLOOKUP(D497,Ops!$B$3:'Ops'!$D$22,3,FALSE),F497&lt;&gt;"",VLOOKUP(F497,Ops!$R$2:'Ops'!$S$11,2),L497&lt;&gt;"",VLOOKUP(L497,Ops!$R$2:'Ops'!$S$25,2,FALSE),TRUE,"0000"),2)</f>
        <v>35</v>
      </c>
      <c r="P497" s="26" t="str">
        <f>RIGHT(IF($E497&lt;&gt;"",_xlfn.XLOOKUP($E497,$C$4:$C$681,$B$4:$B$681,"NO LABEL"),BIN2HEX(IF(N497="CarryEn","1","0")&amp;IF(M497="SubXY","1","0")&amp;IF(H497&lt;&gt;"",VLOOKUP(H497,Ops!$F$2:'Ops'!$G$20,2,FALSE),"000000"),2)),2)</f>
        <v>E2</v>
      </c>
      <c r="Q497" s="26" t="str" cm="1">
        <f t="array" ref="Q497">BIN2HEX(_xlfn.IFS(D497="HWINTEN","10",G497="KeyAck","01",G497="InitLp8","01",TRUE,"00")&amp;IF(OR(Ops!$O$2:'Ops'!$O$13=K497),VLOOKUP(K497,Ops!$O$2:'Ops'!$P$13,2,FALSE),"000")&amp;IF(E497&lt;&gt;"",IF(LEN(_xlfn.XLOOKUP($E497,$C$5:$C$681,$B$5:$B$681,0))=3,HEX2BIN(LEFT(_xlfn.XLOOKUP($E497,$C$5:$C$681,$B$5:$B$681,0),1),3),IF(OR(Ops!$L$2:'Ops'!$L$11=J497),VLOOKUP(J497,Ops!$L$2:'Ops'!$M$11,2,FALSE),"000")),IF(OR(Ops!$L$2:'Ops'!$L$11=J497),VLOOKUP(J497,Ops!$L$2:'Ops'!$M$11,2,FALSE),"000")),2)</f>
        <v>05</v>
      </c>
      <c r="R497" s="27"/>
      <c r="S497" s="4" t="s">
        <v>454</v>
      </c>
      <c r="Z497" s="74" t="str">
        <f t="shared" si="149"/>
        <v>0x35,</v>
      </c>
      <c r="AA497" s="75" t="str">
        <f t="shared" si="150"/>
        <v>0xE2,</v>
      </c>
      <c r="AB497" s="75" t="str">
        <f t="shared" si="151"/>
        <v>0x05,</v>
      </c>
      <c r="AC497" s="76"/>
    </row>
    <row r="498" spans="1:29" x14ac:dyDescent="0.3">
      <c r="A498" s="79">
        <f t="shared" si="142"/>
        <v>1500</v>
      </c>
      <c r="B498" s="80" t="str">
        <f t="shared" si="152"/>
        <v>5DC</v>
      </c>
      <c r="D498" s="29" t="s">
        <v>0</v>
      </c>
      <c r="E498" s="4" t="s">
        <v>452</v>
      </c>
      <c r="F498" s="29"/>
      <c r="G498" s="24"/>
      <c r="H498" s="29"/>
      <c r="M498" s="14"/>
      <c r="O498" s="25" t="str" cm="1">
        <f t="array" ref="O498">BIN2HEX(IF(I498&lt;&gt;"",VLOOKUP(I498,Ops!$I$2:'Ops'!$J$15,2,FALSE),IF(ISNUMBER(SEARCH("BR",D498)),"001","000"))&amp;IF(D498&lt;&gt;"",VLOOKUP(D498,Ops!$B$2:'Ops'!$C$23,2,FALSE),"0")&amp;_xlfn.IFS(ISNUMBER(SEARCH("BR",D498)),VLOOKUP(D498,Ops!$B$3:'Ops'!$D$22,3,FALSE),F498&lt;&gt;"",VLOOKUP(F498,Ops!$R$2:'Ops'!$S$11,2),L498&lt;&gt;"",VLOOKUP(L498,Ops!$R$2:'Ops'!$S$25,2,FALSE),TRUE,"0000"),2)</f>
        <v>10</v>
      </c>
      <c r="P498" s="26" t="str">
        <f>RIGHT(IF($E498&lt;&gt;"",_xlfn.XLOOKUP($E498,$C$4:$C$681,$B$4:$B$681,"NO LABEL"),BIN2HEX(IF(N498="CarryEn","1","0")&amp;IF(M498="SubXY","1","0")&amp;IF(H498&lt;&gt;"",VLOOKUP(H498,Ops!$F$2:'Ops'!$G$20,2,FALSE),"000000"),2)),2)</f>
        <v>E8</v>
      </c>
      <c r="Q498" s="26" t="str" cm="1">
        <f t="array" ref="Q498">BIN2HEX(_xlfn.IFS(D498="HWINTEN","10",G498="KeyAck","01",G498="InitLp8","01",TRUE,"00")&amp;IF(OR(Ops!$O$2:'Ops'!$O$13=K498),VLOOKUP(K498,Ops!$O$2:'Ops'!$P$13,2,FALSE),"000")&amp;IF(E498&lt;&gt;"",IF(LEN(_xlfn.XLOOKUP($E498,$C$5:$C$681,$B$5:$B$681,0))=3,HEX2BIN(LEFT(_xlfn.XLOOKUP($E498,$C$5:$C$681,$B$5:$B$681,0),1),3),IF(OR(Ops!$L$2:'Ops'!$L$11=J498),VLOOKUP(J498,Ops!$L$2:'Ops'!$M$11,2,FALSE),"000")),IF(OR(Ops!$L$2:'Ops'!$L$11=J498),VLOOKUP(J498,Ops!$L$2:'Ops'!$M$11,2,FALSE),"000")),2)</f>
        <v>05</v>
      </c>
      <c r="R498" s="27"/>
      <c r="S498" s="4" t="s">
        <v>455</v>
      </c>
      <c r="Z498" s="74" t="str">
        <f t="shared" si="149"/>
        <v>0x10,</v>
      </c>
      <c r="AA498" s="75" t="str">
        <f t="shared" si="150"/>
        <v>0xE8,</v>
      </c>
      <c r="AB498" s="75" t="str">
        <f t="shared" si="151"/>
        <v>0x05,</v>
      </c>
      <c r="AC498" s="76"/>
    </row>
    <row r="499" spans="1:29" x14ac:dyDescent="0.3">
      <c r="A499" s="79">
        <f t="shared" si="142"/>
        <v>1503</v>
      </c>
      <c r="B499" s="80" t="str">
        <f t="shared" si="152"/>
        <v>5DF</v>
      </c>
      <c r="C499" s="4" t="s">
        <v>450</v>
      </c>
      <c r="D499" s="29" t="s">
        <v>67</v>
      </c>
      <c r="E499" s="4" t="s">
        <v>452</v>
      </c>
      <c r="F499" s="29"/>
      <c r="G499" s="24"/>
      <c r="H499" s="29"/>
      <c r="M499" s="14"/>
      <c r="O499" s="25" t="str" cm="1">
        <f t="array" ref="O499">BIN2HEX(IF(I499&lt;&gt;"",VLOOKUP(I499,Ops!$I$2:'Ops'!$J$15,2,FALSE),IF(ISNUMBER(SEARCH("BR",D499)),"001","000"))&amp;IF(D499&lt;&gt;"",VLOOKUP(D499,Ops!$B$2:'Ops'!$C$23,2,FALSE),"0")&amp;_xlfn.IFS(ISNUMBER(SEARCH("BR",D499)),VLOOKUP(D499,Ops!$B$3:'Ops'!$D$22,3,FALSE),F499&lt;&gt;"",VLOOKUP(F499,Ops!$R$2:'Ops'!$S$11,2),L499&lt;&gt;"",VLOOKUP(L499,Ops!$R$2:'Ops'!$S$25,2,FALSE),TRUE,"0000"),2)</f>
        <v>35</v>
      </c>
      <c r="P499" s="26" t="str">
        <f>RIGHT(IF($E499&lt;&gt;"",_xlfn.XLOOKUP($E499,$C$4:$C$681,$B$4:$B$681,"NO LABEL"),BIN2HEX(IF(N499="CarryEn","1","0")&amp;IF(M499="SubXY","1","0")&amp;IF(H499&lt;&gt;"",VLOOKUP(H499,Ops!$F$2:'Ops'!$G$20,2,FALSE),"000000"),2)),2)</f>
        <v>E8</v>
      </c>
      <c r="Q499" s="26" t="str" cm="1">
        <f t="array" ref="Q499">BIN2HEX(_xlfn.IFS(D499="HWINTEN","10",G499="KeyAck","01",G499="InitLp8","01",TRUE,"00")&amp;IF(OR(Ops!$O$2:'Ops'!$O$13=K499),VLOOKUP(K499,Ops!$O$2:'Ops'!$P$13,2,FALSE),"000")&amp;IF(E499&lt;&gt;"",IF(LEN(_xlfn.XLOOKUP($E499,$C$5:$C$681,$B$5:$B$681,0))=3,HEX2BIN(LEFT(_xlfn.XLOOKUP($E499,$C$5:$C$681,$B$5:$B$681,0),1),3),IF(OR(Ops!$L$2:'Ops'!$L$11=J499),VLOOKUP(J499,Ops!$L$2:'Ops'!$M$11,2,FALSE),"000")),IF(OR(Ops!$L$2:'Ops'!$L$11=J499),VLOOKUP(J499,Ops!$L$2:'Ops'!$M$11,2,FALSE),"000")),2)</f>
        <v>05</v>
      </c>
      <c r="R499" s="27"/>
      <c r="S499" s="4" t="s">
        <v>456</v>
      </c>
      <c r="Z499" s="74" t="str">
        <f t="shared" si="149"/>
        <v>0x35,</v>
      </c>
      <c r="AA499" s="75" t="str">
        <f t="shared" si="150"/>
        <v>0xE8,</v>
      </c>
      <c r="AB499" s="75" t="str">
        <f t="shared" si="151"/>
        <v>0x05,</v>
      </c>
      <c r="AC499" s="76"/>
    </row>
    <row r="500" spans="1:29" x14ac:dyDescent="0.3">
      <c r="A500" s="79">
        <f t="shared" si="142"/>
        <v>1506</v>
      </c>
      <c r="B500" s="80" t="str">
        <f t="shared" si="152"/>
        <v>5E2</v>
      </c>
      <c r="C500" s="4" t="s">
        <v>451</v>
      </c>
      <c r="D500" s="29"/>
      <c r="F500" s="29"/>
      <c r="G500" s="24"/>
      <c r="H500" s="29"/>
      <c r="J500" s="4" t="s">
        <v>421</v>
      </c>
      <c r="K500" s="4" t="s">
        <v>422</v>
      </c>
      <c r="L500" s="4" t="s">
        <v>423</v>
      </c>
      <c r="M500" s="14"/>
      <c r="O500" s="25" t="str" cm="1">
        <f t="array" ref="O500">BIN2HEX(IF(I500&lt;&gt;"",VLOOKUP(I500,Ops!$I$2:'Ops'!$J$15,2,FALSE),IF(ISNUMBER(SEARCH("BR",D500)),"001","000"))&amp;IF(D500&lt;&gt;"",VLOOKUP(D500,Ops!$B$2:'Ops'!$C$23,2,FALSE),"0")&amp;_xlfn.IFS(ISNUMBER(SEARCH("BR",D500)),VLOOKUP(D500,Ops!$B$3:'Ops'!$D$22,3,FALSE),F500&lt;&gt;"",VLOOKUP(F500,Ops!$R$2:'Ops'!$S$11,2),L500&lt;&gt;"",VLOOKUP(L500,Ops!$R$2:'Ops'!$S$25,2,FALSE),TRUE,"0000"),2)</f>
        <v>03</v>
      </c>
      <c r="P500" s="26" t="str">
        <f>RIGHT(IF($E500&lt;&gt;"",_xlfn.XLOOKUP($E500,$C$4:$C$681,$B$4:$B$681,"NO LABEL"),BIN2HEX(IF(N500="CarryEn","1","0")&amp;IF(M500="SubXY","1","0")&amp;IF(H500&lt;&gt;"",VLOOKUP(H500,Ops!$F$2:'Ops'!$G$20,2,FALSE),"000000"),2)),2)</f>
        <v>00</v>
      </c>
      <c r="Q500" s="26" t="str" cm="1">
        <f t="array" ref="Q500">BIN2HEX(_xlfn.IFS(D500="HWINTEN","10",G500="KeyAck","01",G500="InitLp8","01",TRUE,"00")&amp;IF(OR(Ops!$O$2:'Ops'!$O$13=K500),VLOOKUP(K500,Ops!$O$2:'Ops'!$P$13,2,FALSE),"000")&amp;IF(E500&lt;&gt;"",IF(LEN(_xlfn.XLOOKUP($E500,$C$5:$C$681,$B$5:$B$681,0))=3,HEX2BIN(LEFT(_xlfn.XLOOKUP($E500,$C$5:$C$681,$B$5:$B$681,0),1),3),IF(OR(Ops!$L$2:'Ops'!$L$11=J500),VLOOKUP(J500,Ops!$L$2:'Ops'!$M$11,2,FALSE),"000")),IF(OR(Ops!$L$2:'Ops'!$L$11=J500),VLOOKUP(J500,Ops!$L$2:'Ops'!$M$11,2,FALSE),"000")),2)</f>
        <v>1B</v>
      </c>
      <c r="R500" s="27"/>
      <c r="S500" s="4" t="s">
        <v>457</v>
      </c>
      <c r="Z500" s="74" t="str">
        <f t="shared" si="149"/>
        <v>0x03,</v>
      </c>
      <c r="AA500" s="75" t="str">
        <f t="shared" si="150"/>
        <v>0x00,</v>
      </c>
      <c r="AB500" s="75" t="str">
        <f t="shared" si="151"/>
        <v>0x1B,</v>
      </c>
      <c r="AC500" s="76"/>
    </row>
    <row r="501" spans="1:29" x14ac:dyDescent="0.3">
      <c r="A501" s="79">
        <f t="shared" si="142"/>
        <v>1509</v>
      </c>
      <c r="B501" s="80" t="str">
        <f t="shared" si="152"/>
        <v>5E5</v>
      </c>
      <c r="D501" s="29" t="s">
        <v>0</v>
      </c>
      <c r="E501" s="4" t="s">
        <v>412</v>
      </c>
      <c r="F501" s="29"/>
      <c r="G501" s="24"/>
      <c r="H501" s="29"/>
      <c r="M501" s="14"/>
      <c r="O501" s="25" t="str" cm="1">
        <f t="array" ref="O501">BIN2HEX(IF(I501&lt;&gt;"",VLOOKUP(I501,Ops!$I$2:'Ops'!$J$15,2,FALSE),IF(ISNUMBER(SEARCH("BR",D501)),"001","000"))&amp;IF(D501&lt;&gt;"",VLOOKUP(D501,Ops!$B$2:'Ops'!$C$23,2,FALSE),"0")&amp;_xlfn.IFS(ISNUMBER(SEARCH("BR",D501)),VLOOKUP(D501,Ops!$B$3:'Ops'!$D$22,3,FALSE),F501&lt;&gt;"",VLOOKUP(F501,Ops!$R$2:'Ops'!$S$11,2),L501&lt;&gt;"",VLOOKUP(L501,Ops!$R$2:'Ops'!$S$25,2,FALSE),TRUE,"0000"),2)</f>
        <v>10</v>
      </c>
      <c r="P501" s="26" t="str">
        <f>RIGHT(IF($E501&lt;&gt;"",_xlfn.XLOOKUP($E501,$C$4:$C$681,$B$4:$B$681,"NO LABEL"),BIN2HEX(IF(N501="CarryEn","1","0")&amp;IF(M501="SubXY","1","0")&amp;IF(H501&lt;&gt;"",VLOOKUP(H501,Ops!$F$2:'Ops'!$G$20,2,FALSE),"000000"),2)),2)</f>
        <v>EB</v>
      </c>
      <c r="Q501" s="26" t="str" cm="1">
        <f t="array" ref="Q501">BIN2HEX(_xlfn.IFS(D501="HWINTEN","10",G501="KeyAck","01",G501="InitLp8","01",TRUE,"00")&amp;IF(OR(Ops!$O$2:'Ops'!$O$13=K501),VLOOKUP(K501,Ops!$O$2:'Ops'!$P$13,2,FALSE),"000")&amp;IF(E501&lt;&gt;"",IF(LEN(_xlfn.XLOOKUP($E501,$C$5:$C$681,$B$5:$B$681,0))=3,HEX2BIN(LEFT(_xlfn.XLOOKUP($E501,$C$5:$C$681,$B$5:$B$681,0),1),3),IF(OR(Ops!$L$2:'Ops'!$L$11=J501),VLOOKUP(J501,Ops!$L$2:'Ops'!$M$11,2,FALSE),"000")),IF(OR(Ops!$L$2:'Ops'!$L$11=J501),VLOOKUP(J501,Ops!$L$2:'Ops'!$M$11,2,FALSE),"000")),2)</f>
        <v>05</v>
      </c>
      <c r="R501" s="27"/>
      <c r="Z501" s="74" t="str">
        <f t="shared" si="149"/>
        <v>0x10,</v>
      </c>
      <c r="AA501" s="75" t="str">
        <f t="shared" si="150"/>
        <v>0xEB,</v>
      </c>
      <c r="AB501" s="75" t="str">
        <f t="shared" si="151"/>
        <v>0x05,</v>
      </c>
      <c r="AC501" s="76"/>
    </row>
    <row r="502" spans="1:29" x14ac:dyDescent="0.3">
      <c r="A502" s="79">
        <f t="shared" si="142"/>
        <v>1512</v>
      </c>
      <c r="B502" s="80" t="str">
        <f t="shared" si="152"/>
        <v>5E8</v>
      </c>
      <c r="C502" s="4" t="s">
        <v>452</v>
      </c>
      <c r="D502" s="29"/>
      <c r="F502" s="29"/>
      <c r="G502" s="24"/>
      <c r="H502" s="29"/>
      <c r="J502" s="4" t="s">
        <v>421</v>
      </c>
      <c r="K502" s="4" t="s">
        <v>424</v>
      </c>
      <c r="L502" s="4" t="s">
        <v>423</v>
      </c>
      <c r="M502" s="14"/>
      <c r="O502" s="25" t="str" cm="1">
        <f t="array" ref="O502">BIN2HEX(IF(I502&lt;&gt;"",VLOOKUP(I502,Ops!$I$2:'Ops'!$J$15,2,FALSE),IF(ISNUMBER(SEARCH("BR",D502)),"001","000"))&amp;IF(D502&lt;&gt;"",VLOOKUP(D502,Ops!$B$2:'Ops'!$C$23,2,FALSE),"0")&amp;_xlfn.IFS(ISNUMBER(SEARCH("BR",D502)),VLOOKUP(D502,Ops!$B$3:'Ops'!$D$22,3,FALSE),F502&lt;&gt;"",VLOOKUP(F502,Ops!$R$2:'Ops'!$S$11,2),L502&lt;&gt;"",VLOOKUP(L502,Ops!$R$2:'Ops'!$S$25,2,FALSE),TRUE,"0000"),2)</f>
        <v>03</v>
      </c>
      <c r="P502" s="26" t="str">
        <f>RIGHT(IF($E502&lt;&gt;"",_xlfn.XLOOKUP($E502,$C$4:$C$681,$B$4:$B$681,"NO LABEL"),BIN2HEX(IF(N502="CarryEn","1","0")&amp;IF(M502="SubXY","1","0")&amp;IF(H502&lt;&gt;"",VLOOKUP(H502,Ops!$F$2:'Ops'!$G$20,2,FALSE),"000000"),2)),2)</f>
        <v>00</v>
      </c>
      <c r="Q502" s="26" t="str" cm="1">
        <f t="array" ref="Q502">BIN2HEX(_xlfn.IFS(D502="HWINTEN","10",G502="KeyAck","01",G502="InitLp8","01",TRUE,"00")&amp;IF(OR(Ops!$O$2:'Ops'!$O$13=K502),VLOOKUP(K502,Ops!$O$2:'Ops'!$P$13,2,FALSE),"000")&amp;IF(E502&lt;&gt;"",IF(LEN(_xlfn.XLOOKUP($E502,$C$5:$C$681,$B$5:$B$681,0))=3,HEX2BIN(LEFT(_xlfn.XLOOKUP($E502,$C$5:$C$681,$B$5:$B$681,0),1),3),IF(OR(Ops!$L$2:'Ops'!$L$11=J502),VLOOKUP(J502,Ops!$L$2:'Ops'!$M$11,2,FALSE),"000")),IF(OR(Ops!$L$2:'Ops'!$L$11=J502),VLOOKUP(J502,Ops!$L$2:'Ops'!$M$11,2,FALSE),"000")),2)</f>
        <v>03</v>
      </c>
      <c r="R502" s="27"/>
      <c r="Z502" s="74" t="str">
        <f t="shared" si="149"/>
        <v>0x03,</v>
      </c>
      <c r="AA502" s="75" t="str">
        <f t="shared" si="150"/>
        <v>0x00,</v>
      </c>
      <c r="AB502" s="75" t="str">
        <f t="shared" si="151"/>
        <v>0x03,</v>
      </c>
      <c r="AC502" s="76"/>
    </row>
    <row r="503" spans="1:29" x14ac:dyDescent="0.3">
      <c r="A503" s="79">
        <f t="shared" si="142"/>
        <v>1515</v>
      </c>
      <c r="B503" s="80" t="str">
        <f t="shared" si="152"/>
        <v>5EB</v>
      </c>
      <c r="C503" s="4" t="s">
        <v>412</v>
      </c>
      <c r="D503" s="29" t="s">
        <v>430</v>
      </c>
      <c r="E503" s="4" t="s">
        <v>411</v>
      </c>
      <c r="F503" s="29"/>
      <c r="G503" s="24"/>
      <c r="H503" s="29"/>
      <c r="M503" s="14"/>
      <c r="O503" s="25" t="str" cm="1">
        <f t="array" ref="O503">BIN2HEX(IF(I503&lt;&gt;"",VLOOKUP(I503,Ops!$I$2:'Ops'!$J$15,2,FALSE),IF(ISNUMBER(SEARCH("BR",D503)),"001","000"))&amp;IF(D503&lt;&gt;"",VLOOKUP(D503,Ops!$B$2:'Ops'!$C$23,2,FALSE),"0")&amp;_xlfn.IFS(ISNUMBER(SEARCH("BR",D503)),VLOOKUP(D503,Ops!$B$3:'Ops'!$D$22,3,FALSE),F503&lt;&gt;"",VLOOKUP(F503,Ops!$R$2:'Ops'!$S$11,2),L503&lt;&gt;"",VLOOKUP(L503,Ops!$R$2:'Ops'!$S$25,2,FALSE),TRUE,"0000"),2)</f>
        <v>3E</v>
      </c>
      <c r="P503" s="26" t="str">
        <f>RIGHT(IF($E503&lt;&gt;"",_xlfn.XLOOKUP($E503,$C$4:$C$681,$B$4:$B$681,"NO LABEL"),BIN2HEX(IF(N503="CarryEn","1","0")&amp;IF(M503="SubXY","1","0")&amp;IF(H503&lt;&gt;"",VLOOKUP(H503,Ops!$F$2:'Ops'!$G$20,2,FALSE),"000000"),2)),2)</f>
        <v>F7</v>
      </c>
      <c r="Q503" s="26" t="str" cm="1">
        <f t="array" ref="Q503">BIN2HEX(_xlfn.IFS(D503="HWINTEN","10",G503="KeyAck","01",G503="InitLp8","01",TRUE,"00")&amp;IF(OR(Ops!$O$2:'Ops'!$O$13=K503),VLOOKUP(K503,Ops!$O$2:'Ops'!$P$13,2,FALSE),"000")&amp;IF(E503&lt;&gt;"",IF(LEN(_xlfn.XLOOKUP($E503,$C$5:$C$681,$B$5:$B$681,0))=3,HEX2BIN(LEFT(_xlfn.XLOOKUP($E503,$C$5:$C$681,$B$5:$B$681,0),1),3),IF(OR(Ops!$L$2:'Ops'!$L$11=J503),VLOOKUP(J503,Ops!$L$2:'Ops'!$M$11,2,FALSE),"000")),IF(OR(Ops!$L$2:'Ops'!$L$11=J503),VLOOKUP(J503,Ops!$L$2:'Ops'!$M$11,2,FALSE),"000")),2)</f>
        <v>05</v>
      </c>
      <c r="R503" s="27"/>
      <c r="S503" s="4" t="s">
        <v>458</v>
      </c>
      <c r="Z503" s="74" t="str">
        <f t="shared" si="149"/>
        <v>0x3E,</v>
      </c>
      <c r="AA503" s="75" t="str">
        <f t="shared" si="150"/>
        <v>0xF7,</v>
      </c>
      <c r="AB503" s="75" t="str">
        <f t="shared" si="151"/>
        <v>0x05,</v>
      </c>
      <c r="AC503" s="76"/>
    </row>
    <row r="504" spans="1:29" x14ac:dyDescent="0.3">
      <c r="A504" s="79">
        <f t="shared" si="142"/>
        <v>1518</v>
      </c>
      <c r="B504" s="80" t="str">
        <f t="shared" si="152"/>
        <v>5EE</v>
      </c>
      <c r="D504" s="29" t="s">
        <v>28</v>
      </c>
      <c r="E504" s="4" t="s">
        <v>202</v>
      </c>
      <c r="F504" s="29"/>
      <c r="G504" s="24"/>
      <c r="H504" s="29"/>
      <c r="M504" s="14"/>
      <c r="O504" s="25" t="str" cm="1">
        <f t="array" ref="O504">BIN2HEX(IF(I504&lt;&gt;"",VLOOKUP(I504,Ops!$I$2:'Ops'!$J$15,2,FALSE),IF(ISNUMBER(SEARCH("BR",D504)),"001","000"))&amp;IF(D504&lt;&gt;"",VLOOKUP(D504,Ops!$B$2:'Ops'!$C$23,2,FALSE),"0")&amp;_xlfn.IFS(ISNUMBER(SEARCH("BR",D504)),VLOOKUP(D504,Ops!$B$3:'Ops'!$D$22,3,FALSE),F504&lt;&gt;"",VLOOKUP(F504,Ops!$R$2:'Ops'!$S$11,2),L504&lt;&gt;"",VLOOKUP(L504,Ops!$R$2:'Ops'!$S$25,2,FALSE),TRUE,"0000"),2)</f>
        <v>31</v>
      </c>
      <c r="P504" s="26" t="str">
        <f>RIGHT(IF($E504&lt;&gt;"",_xlfn.XLOOKUP($E504,$C$4:$C$681,$B$4:$B$681,"NO LABEL"),BIN2HEX(IF(N504="CarryEn","1","0")&amp;IF(M504="SubXY","1","0")&amp;IF(H504&lt;&gt;"",VLOOKUP(H504,Ops!$F$2:'Ops'!$G$20,2,FALSE),"000000"),2)),2)</f>
        <v>F4</v>
      </c>
      <c r="Q504" s="26" t="str" cm="1">
        <f t="array" ref="Q504">BIN2HEX(_xlfn.IFS(D504="HWINTEN","10",G504="KeyAck","01",G504="InitLp8","01",TRUE,"00")&amp;IF(OR(Ops!$O$2:'Ops'!$O$13=K504),VLOOKUP(K504,Ops!$O$2:'Ops'!$P$13,2,FALSE),"000")&amp;IF(E504&lt;&gt;"",IF(LEN(_xlfn.XLOOKUP($E504,$C$5:$C$681,$B$5:$B$681,0))=3,HEX2BIN(LEFT(_xlfn.XLOOKUP($E504,$C$5:$C$681,$B$5:$B$681,0),1),3),IF(OR(Ops!$L$2:'Ops'!$L$11=J504),VLOOKUP(J504,Ops!$L$2:'Ops'!$M$11,2,FALSE),"000")),IF(OR(Ops!$L$2:'Ops'!$L$11=J504),VLOOKUP(J504,Ops!$L$2:'Ops'!$M$11,2,FALSE),"000")),2)</f>
        <v>05</v>
      </c>
      <c r="R504" s="27"/>
      <c r="S504" s="4" t="s">
        <v>459</v>
      </c>
      <c r="Z504" s="74" t="str">
        <f t="shared" si="149"/>
        <v>0x31,</v>
      </c>
      <c r="AA504" s="75" t="str">
        <f t="shared" si="150"/>
        <v>0xF4,</v>
      </c>
      <c r="AB504" s="75" t="str">
        <f t="shared" si="151"/>
        <v>0x05,</v>
      </c>
      <c r="AC504" s="76"/>
    </row>
    <row r="505" spans="1:29" x14ac:dyDescent="0.3">
      <c r="A505" s="79">
        <f t="shared" ref="A505:A559" si="153">A504+3</f>
        <v>1521</v>
      </c>
      <c r="B505" s="80" t="str">
        <f t="shared" ref="B505:B514" si="154">DEC2HEX(A505)</f>
        <v>5F1</v>
      </c>
      <c r="D505" s="29" t="s">
        <v>0</v>
      </c>
      <c r="E505" s="4" t="s">
        <v>411</v>
      </c>
      <c r="F505" s="29"/>
      <c r="G505" s="24"/>
      <c r="H505" s="29"/>
      <c r="M505" s="14"/>
      <c r="O505" s="25" t="str" cm="1">
        <f t="array" ref="O505">BIN2HEX(IF(I505&lt;&gt;"",VLOOKUP(I505,Ops!$I$2:'Ops'!$J$15,2,FALSE),IF(ISNUMBER(SEARCH("BR",D505)),"001","000"))&amp;IF(D505&lt;&gt;"",VLOOKUP(D505,Ops!$B$2:'Ops'!$C$23,2,FALSE),"0")&amp;_xlfn.IFS(ISNUMBER(SEARCH("BR",D505)),VLOOKUP(D505,Ops!$B$3:'Ops'!$D$22,3,FALSE),F505&lt;&gt;"",VLOOKUP(F505,Ops!$R$2:'Ops'!$S$11,2),L505&lt;&gt;"",VLOOKUP(L505,Ops!$R$2:'Ops'!$S$25,2,FALSE),TRUE,"0000"),2)</f>
        <v>10</v>
      </c>
      <c r="P505" s="26" t="str">
        <f>RIGHT(IF($E505&lt;&gt;"",_xlfn.XLOOKUP($E505,$C$4:$C$681,$B$4:$B$681,"NO LABEL"),BIN2HEX(IF(N505="CarryEn","1","0")&amp;IF(M505="SubXY","1","0")&amp;IF(H505&lt;&gt;"",VLOOKUP(H505,Ops!$F$2:'Ops'!$G$20,2,FALSE),"000000"),2)),2)</f>
        <v>F7</v>
      </c>
      <c r="Q505" s="26" t="str" cm="1">
        <f t="array" ref="Q505">BIN2HEX(_xlfn.IFS(D505="HWINTEN","10",G505="KeyAck","01",G505="InitLp8","01",TRUE,"00")&amp;IF(OR(Ops!$O$2:'Ops'!$O$13=K505),VLOOKUP(K505,Ops!$O$2:'Ops'!$P$13,2,FALSE),"000")&amp;IF(E505&lt;&gt;"",IF(LEN(_xlfn.XLOOKUP($E505,$C$5:$C$681,$B$5:$B$681,0))=3,HEX2BIN(LEFT(_xlfn.XLOOKUP($E505,$C$5:$C$681,$B$5:$B$681,0),1),3),IF(OR(Ops!$L$2:'Ops'!$L$11=J505),VLOOKUP(J505,Ops!$L$2:'Ops'!$M$11,2,FALSE),"000")),IF(OR(Ops!$L$2:'Ops'!$L$11=J505),VLOOKUP(J505,Ops!$L$2:'Ops'!$M$11,2,FALSE),"000")),2)</f>
        <v>05</v>
      </c>
      <c r="R505" s="27"/>
      <c r="S505" s="4" t="s">
        <v>460</v>
      </c>
      <c r="Z505" s="74" t="str">
        <f t="shared" si="149"/>
        <v>0x10,</v>
      </c>
      <c r="AA505" s="75" t="str">
        <f t="shared" si="150"/>
        <v>0xF7,</v>
      </c>
      <c r="AB505" s="75" t="str">
        <f t="shared" si="151"/>
        <v>0x05,</v>
      </c>
      <c r="AC505" s="76"/>
    </row>
    <row r="506" spans="1:29" x14ac:dyDescent="0.3">
      <c r="A506" s="79">
        <f t="shared" si="153"/>
        <v>1524</v>
      </c>
      <c r="B506" s="80" t="str">
        <f t="shared" si="154"/>
        <v>5F4</v>
      </c>
      <c r="C506" s="4" t="s">
        <v>202</v>
      </c>
      <c r="D506" s="29"/>
      <c r="F506" s="29"/>
      <c r="G506" s="24"/>
      <c r="H506" s="14" t="s">
        <v>464</v>
      </c>
      <c r="I506" s="4" t="s">
        <v>482</v>
      </c>
      <c r="K506" s="4" t="s">
        <v>179</v>
      </c>
      <c r="M506" s="14"/>
      <c r="O506" s="25" t="str" cm="1">
        <f t="array" ref="O506">BIN2HEX(IF(I506&lt;&gt;"",VLOOKUP(I506,Ops!$I$2:'Ops'!$J$15,2,FALSE),IF(ISNUMBER(SEARCH("BR",D506)),"001","000"))&amp;IF(D506&lt;&gt;"",VLOOKUP(D506,Ops!$B$2:'Ops'!$C$23,2,FALSE),"0")&amp;_xlfn.IFS(ISNUMBER(SEARCH("BR",D506)),VLOOKUP(D506,Ops!$B$3:'Ops'!$D$22,3,FALSE),F506&lt;&gt;"",VLOOKUP(F506,Ops!$R$2:'Ops'!$S$11,2),L506&lt;&gt;"",VLOOKUP(L506,Ops!$R$2:'Ops'!$S$25,2,FALSE),TRUE,"0000"),2)</f>
        <v>00</v>
      </c>
      <c r="P506" s="26" t="str">
        <f>RIGHT(IF($E506&lt;&gt;"",_xlfn.XLOOKUP($E506,$C$4:$C$681,$B$4:$B$681,"NO LABEL"),BIN2HEX(IF(N506="CarryEn","1","0")&amp;IF(M506="SubXY","1","0")&amp;IF(H506&lt;&gt;"",VLOOKUP(H506,Ops!$F$2:'Ops'!$G$20,2,FALSE),"000000"),2)),2)</f>
        <v>05</v>
      </c>
      <c r="Q506" s="26" t="str" cm="1">
        <f t="array" ref="Q506">BIN2HEX(_xlfn.IFS(D506="HWINTEN","10",G506="KeyAck","01",G506="InitLp8","01",TRUE,"00")&amp;IF(OR(Ops!$O$2:'Ops'!$O$13=K506),VLOOKUP(K506,Ops!$O$2:'Ops'!$P$13,2,FALSE),"000")&amp;IF(E506&lt;&gt;"",IF(LEN(_xlfn.XLOOKUP($E506,$C$5:$C$681,$B$5:$B$681,0))=3,HEX2BIN(LEFT(_xlfn.XLOOKUP($E506,$C$5:$C$681,$B$5:$B$681,0),1),3),IF(OR(Ops!$L$2:'Ops'!$L$11=J506),VLOOKUP(J506,Ops!$L$2:'Ops'!$M$11,2,FALSE),"000")),IF(OR(Ops!$L$2:'Ops'!$L$11=J506),VLOOKUP(J506,Ops!$L$2:'Ops'!$M$11,2,FALSE),"000")),2)</f>
        <v>00</v>
      </c>
      <c r="R506" s="27"/>
      <c r="S506" s="4" t="s">
        <v>201</v>
      </c>
      <c r="Z506" s="74" t="str">
        <f t="shared" si="149"/>
        <v>0x00,</v>
      </c>
      <c r="AA506" s="75" t="str">
        <f t="shared" si="150"/>
        <v>0x05,</v>
      </c>
      <c r="AB506" s="75" t="str">
        <f t="shared" si="151"/>
        <v>0x00,</v>
      </c>
      <c r="AC506" s="76"/>
    </row>
    <row r="507" spans="1:29" x14ac:dyDescent="0.3">
      <c r="A507" s="79">
        <f t="shared" si="153"/>
        <v>1527</v>
      </c>
      <c r="B507" s="80" t="str">
        <f t="shared" si="154"/>
        <v>5F7</v>
      </c>
      <c r="C507" s="4" t="s">
        <v>411</v>
      </c>
      <c r="D507" s="29"/>
      <c r="F507" s="29"/>
      <c r="G507" s="24" t="s">
        <v>692</v>
      </c>
      <c r="H507" s="29"/>
      <c r="M507" s="14"/>
      <c r="O507" s="25" t="str" cm="1">
        <f t="array" ref="O507">BIN2HEX(IF(I507&lt;&gt;"",VLOOKUP(I507,Ops!$I$2:'Ops'!$J$15,2,FALSE),IF(ISNUMBER(SEARCH("BR",D507)),"001","000"))&amp;IF(D507&lt;&gt;"",VLOOKUP(D507,Ops!$B$2:'Ops'!$C$23,2,FALSE),"0")&amp;_xlfn.IFS(ISNUMBER(SEARCH("BR",D507)),VLOOKUP(D507,Ops!$B$3:'Ops'!$D$22,3,FALSE),F507&lt;&gt;"",VLOOKUP(F507,Ops!$R$2:'Ops'!$S$11,2),L507&lt;&gt;"",VLOOKUP(L507,Ops!$R$2:'Ops'!$S$25,2,FALSE),TRUE,"0000"),2)</f>
        <v>00</v>
      </c>
      <c r="P507" s="26" t="str">
        <f>RIGHT(IF($E507&lt;&gt;"",_xlfn.XLOOKUP($E507,$C$4:$C$681,$B$4:$B$681,"NO LABEL"),BIN2HEX(IF(N507="CarryEn","1","0")&amp;IF(M507="SubXY","1","0")&amp;IF(H507&lt;&gt;"",VLOOKUP(H507,Ops!$F$2:'Ops'!$G$20,2,FALSE),"000000"),2)),2)</f>
        <v>00</v>
      </c>
      <c r="Q507" s="26" t="str" cm="1">
        <f t="array" ref="Q507">BIN2HEX(_xlfn.IFS(D507="HWINTEN","10",G507="KeyAck","01",G507="InitLp8","01",TRUE,"00")&amp;IF(OR(Ops!$O$2:'Ops'!$O$13=K507),VLOOKUP(K507,Ops!$O$2:'Ops'!$P$13,2,FALSE),"000")&amp;IF(E507&lt;&gt;"",IF(LEN(_xlfn.XLOOKUP($E507,$C$5:$C$681,$B$5:$B$681,0))=3,HEX2BIN(LEFT(_xlfn.XLOOKUP($E507,$C$5:$C$681,$B$5:$B$681,0),1),3),IF(OR(Ops!$L$2:'Ops'!$L$11=J507),VLOOKUP(J507,Ops!$L$2:'Ops'!$M$11,2,FALSE),"000")),IF(OR(Ops!$L$2:'Ops'!$L$11=J507),VLOOKUP(J507,Ops!$L$2:'Ops'!$M$11,2,FALSE),"000")),2)</f>
        <v>40</v>
      </c>
      <c r="R507" s="27"/>
      <c r="S507" s="4" t="s">
        <v>98</v>
      </c>
      <c r="T507" s="3"/>
      <c r="Z507" s="74" t="str">
        <f t="shared" si="149"/>
        <v>0x00,</v>
      </c>
      <c r="AA507" s="75" t="str">
        <f t="shared" si="150"/>
        <v>0x00,</v>
      </c>
      <c r="AB507" s="75" t="str">
        <f t="shared" si="151"/>
        <v>0x40,</v>
      </c>
      <c r="AC507" s="76"/>
    </row>
    <row r="508" spans="1:29" x14ac:dyDescent="0.3">
      <c r="A508" s="79">
        <f t="shared" si="153"/>
        <v>1530</v>
      </c>
      <c r="B508" s="80" t="str">
        <f t="shared" si="154"/>
        <v>5FA</v>
      </c>
      <c r="D508" s="29" t="s">
        <v>251</v>
      </c>
      <c r="E508" s="4" t="s">
        <v>604</v>
      </c>
      <c r="F508" s="29"/>
      <c r="G508" s="24"/>
      <c r="H508" s="29"/>
      <c r="M508" s="14"/>
      <c r="O508" s="25" t="str" cm="1">
        <f t="array" ref="O508">BIN2HEX(IF(I508&lt;&gt;"",VLOOKUP(I508,Ops!$I$2:'Ops'!$J$15,2,FALSE),IF(ISNUMBER(SEARCH("BR",D508)),"001","000"))&amp;IF(D508&lt;&gt;"",VLOOKUP(D508,Ops!$B$2:'Ops'!$C$23,2,FALSE),"0")&amp;_xlfn.IFS(ISNUMBER(SEARCH("BR",D508)),VLOOKUP(D508,Ops!$B$3:'Ops'!$D$22,3,FALSE),F508&lt;&gt;"",VLOOKUP(F508,Ops!$R$2:'Ops'!$S$11,2),L508&lt;&gt;"",VLOOKUP(L508,Ops!$R$2:'Ops'!$S$25,2,FALSE),TRUE,"0000"),2)</f>
        <v>3F</v>
      </c>
      <c r="P508" s="26" t="str">
        <f>RIGHT(IF($E508&lt;&gt;"",_xlfn.XLOOKUP($E508,$C$4:$C$681,$B$4:$B$681,"NO LABEL"),BIN2HEX(IF(N508="CarryEn","1","0")&amp;IF(M508="SubXY","1","0")&amp;IF(H508&lt;&gt;"",VLOOKUP(H508,Ops!$F$2:'Ops'!$G$20,2,FALSE),"000000"),2)),2)</f>
        <v>FD</v>
      </c>
      <c r="Q508" s="26" t="str" cm="1">
        <f t="array" ref="Q508">BIN2HEX(_xlfn.IFS(D508="HWINTEN","10",G508="KeyAck","01",G508="InitLp8","01",TRUE,"00")&amp;IF(OR(Ops!$O$2:'Ops'!$O$13=K508),VLOOKUP(K508,Ops!$O$2:'Ops'!$P$13,2,FALSE),"000")&amp;IF(E508&lt;&gt;"",IF(LEN(_xlfn.XLOOKUP($E508,$C$5:$C$681,$B$5:$B$681,0))=3,HEX2BIN(LEFT(_xlfn.XLOOKUP($E508,$C$5:$C$681,$B$5:$B$681,0),1),3),IF(OR(Ops!$L$2:'Ops'!$L$11=J508),VLOOKUP(J508,Ops!$L$2:'Ops'!$M$11,2,FALSE),"000")),IF(OR(Ops!$L$2:'Ops'!$L$11=J508),VLOOKUP(J508,Ops!$L$2:'Ops'!$M$11,2,FALSE),"000")),2)</f>
        <v>05</v>
      </c>
      <c r="R508" s="27"/>
      <c r="Z508" s="74" t="str">
        <f t="shared" si="149"/>
        <v>0x3F,</v>
      </c>
      <c r="AA508" s="75" t="str">
        <f t="shared" si="150"/>
        <v>0xFD,</v>
      </c>
      <c r="AB508" s="75" t="str">
        <f t="shared" si="151"/>
        <v>0x05,</v>
      </c>
      <c r="AC508" s="76"/>
    </row>
    <row r="509" spans="1:29" x14ac:dyDescent="0.3">
      <c r="A509" s="79">
        <f t="shared" si="153"/>
        <v>1533</v>
      </c>
      <c r="B509" s="80" t="str">
        <f t="shared" si="154"/>
        <v>5FD</v>
      </c>
      <c r="C509" s="4" t="s">
        <v>604</v>
      </c>
      <c r="D509" s="29"/>
      <c r="F509" s="29"/>
      <c r="G509" s="24"/>
      <c r="H509" s="29" t="s">
        <v>89</v>
      </c>
      <c r="K509" s="4" t="s">
        <v>470</v>
      </c>
      <c r="M509" s="14"/>
      <c r="O509" s="25" t="str" cm="1">
        <f t="array" ref="O509">BIN2HEX(IF(I509&lt;&gt;"",VLOOKUP(I509,Ops!$I$2:'Ops'!$J$15,2,FALSE),IF(ISNUMBER(SEARCH("BR",D509)),"001","000"))&amp;IF(D509&lt;&gt;"",VLOOKUP(D509,Ops!$B$2:'Ops'!$C$23,2,FALSE),"0")&amp;_xlfn.IFS(ISNUMBER(SEARCH("BR",D509)),VLOOKUP(D509,Ops!$B$3:'Ops'!$D$22,3,FALSE),F509&lt;&gt;"",VLOOKUP(F509,Ops!$R$2:'Ops'!$S$11,2),L509&lt;&gt;"",VLOOKUP(L509,Ops!$R$2:'Ops'!$S$25,2,FALSE),TRUE,"0000"),2)</f>
        <v>00</v>
      </c>
      <c r="P509" s="26" t="str">
        <f>RIGHT(IF($E509&lt;&gt;"",_xlfn.XLOOKUP($E509,$C$4:$C$681,$B$4:$B$681,"NO LABEL"),BIN2HEX(IF(N509="CarryEn","1","0")&amp;IF(M509="SubXY","1","0")&amp;IF(H509&lt;&gt;"",VLOOKUP(H509,Ops!$F$2:'Ops'!$G$20,2,FALSE),"000000"),2)),2)</f>
        <v>14</v>
      </c>
      <c r="Q509" s="26" t="str" cm="1">
        <f t="array" ref="Q509">BIN2HEX(_xlfn.IFS(D509="HWINTEN","10",G509="KeyAck","01",G509="InitLp8","01",TRUE,"00")&amp;IF(OR(Ops!$O$2:'Ops'!$O$13=K509),VLOOKUP(K509,Ops!$O$2:'Ops'!$P$13,2,FALSE),"000")&amp;IF(E509&lt;&gt;"",IF(LEN(_xlfn.XLOOKUP($E509,$C$5:$C$681,$B$5:$B$681,0))=3,HEX2BIN(LEFT(_xlfn.XLOOKUP($E509,$C$5:$C$681,$B$5:$B$681,0),1),3),IF(OR(Ops!$L$2:'Ops'!$L$11=J509),VLOOKUP(J509,Ops!$L$2:'Ops'!$M$11,2,FALSE),"000")),IF(OR(Ops!$L$2:'Ops'!$L$11=J509),VLOOKUP(J509,Ops!$L$2:'Ops'!$M$11,2,FALSE),"000")),2)</f>
        <v>10</v>
      </c>
      <c r="R509" s="27"/>
      <c r="Z509" s="74" t="str">
        <f t="shared" si="149"/>
        <v>0x00,</v>
      </c>
      <c r="AA509" s="75" t="str">
        <f t="shared" si="150"/>
        <v>0x14,</v>
      </c>
      <c r="AB509" s="75" t="str">
        <f t="shared" si="151"/>
        <v>0x10,</v>
      </c>
      <c r="AC509" s="76"/>
    </row>
    <row r="510" spans="1:29" x14ac:dyDescent="0.3">
      <c r="A510" s="79">
        <f t="shared" si="153"/>
        <v>1536</v>
      </c>
      <c r="B510" s="80" t="str">
        <f>DEC2HEX(A510)</f>
        <v>600</v>
      </c>
      <c r="D510" s="29" t="s">
        <v>251</v>
      </c>
      <c r="E510" s="4" t="s">
        <v>604</v>
      </c>
      <c r="F510" s="29"/>
      <c r="G510" s="24"/>
      <c r="H510" s="29"/>
      <c r="M510" s="14"/>
      <c r="O510" s="25" t="str" cm="1">
        <f t="array" ref="O510">BIN2HEX(IF(I510&lt;&gt;"",VLOOKUP(I510,Ops!$I$2:'Ops'!$J$15,2,FALSE),IF(ISNUMBER(SEARCH("BR",D510)),"001","000"))&amp;IF(D510&lt;&gt;"",VLOOKUP(D510,Ops!$B$2:'Ops'!$C$23,2,FALSE),"0")&amp;_xlfn.IFS(ISNUMBER(SEARCH("BR",D510)),VLOOKUP(D510,Ops!$B$3:'Ops'!$D$22,3,FALSE),F510&lt;&gt;"",VLOOKUP(F510,Ops!$R$2:'Ops'!$S$11,2),L510&lt;&gt;"",VLOOKUP(L510,Ops!$R$2:'Ops'!$S$25,2,FALSE),TRUE,"0000"),2)</f>
        <v>3F</v>
      </c>
      <c r="P510" s="26" t="str">
        <f>RIGHT(IF($E510&lt;&gt;"",_xlfn.XLOOKUP($E510,$C$4:$C$681,$B$4:$B$681,"NO LABEL"),BIN2HEX(IF(N510="CarryEn","1","0")&amp;IF(M510="SubXY","1","0")&amp;IF(H510&lt;&gt;"",VLOOKUP(H510,Ops!$F$2:'Ops'!$G$20,2,FALSE),"000000"),2)),2)</f>
        <v>FD</v>
      </c>
      <c r="Q510" s="26" t="str" cm="1">
        <f t="array" ref="Q510">BIN2HEX(_xlfn.IFS(D510="HWINTEN","10",G510="KeyAck","01",G510="InitLp8","01",TRUE,"00")&amp;IF(OR(Ops!$O$2:'Ops'!$O$13=K510),VLOOKUP(K510,Ops!$O$2:'Ops'!$P$13,2,FALSE),"000")&amp;IF(E510&lt;&gt;"",IF(LEN(_xlfn.XLOOKUP($E510,$C$5:$C$681,$B$5:$B$681,0))=3,HEX2BIN(LEFT(_xlfn.XLOOKUP($E510,$C$5:$C$681,$B$5:$B$681,0),1),3),IF(OR(Ops!$L$2:'Ops'!$L$11=J510),VLOOKUP(J510,Ops!$L$2:'Ops'!$M$11,2,FALSE),"000")),IF(OR(Ops!$L$2:'Ops'!$L$11=J510),VLOOKUP(J510,Ops!$L$2:'Ops'!$M$11,2,FALSE),"000")),2)</f>
        <v>05</v>
      </c>
      <c r="R510" s="27"/>
      <c r="Z510" s="74" t="str">
        <f t="shared" si="149"/>
        <v>0x3F,</v>
      </c>
      <c r="AA510" s="75" t="str">
        <f t="shared" si="150"/>
        <v>0xFD,</v>
      </c>
      <c r="AB510" s="75" t="str">
        <f t="shared" si="151"/>
        <v>0x05,</v>
      </c>
      <c r="AC510" s="76"/>
    </row>
    <row r="511" spans="1:29" x14ac:dyDescent="0.3">
      <c r="A511" s="79">
        <f t="shared" si="153"/>
        <v>1539</v>
      </c>
      <c r="B511" s="80" t="str">
        <f>DEC2HEX(A511)</f>
        <v>603</v>
      </c>
      <c r="D511" s="29"/>
      <c r="F511" s="29"/>
      <c r="G511" s="24" t="s">
        <v>692</v>
      </c>
      <c r="H511" s="29"/>
      <c r="K511"/>
      <c r="M511" s="14"/>
      <c r="O511" s="25" t="str" cm="1">
        <f t="array" ref="O511">BIN2HEX(IF(I511&lt;&gt;"",VLOOKUP(I511,Ops!$I$2:'Ops'!$J$15,2,FALSE),IF(ISNUMBER(SEARCH("BR",D511)),"001","000"))&amp;IF(D511&lt;&gt;"",VLOOKUP(D511,Ops!$B$2:'Ops'!$C$23,2,FALSE),"0")&amp;_xlfn.IFS(ISNUMBER(SEARCH("BR",D511)),VLOOKUP(D511,Ops!$B$3:'Ops'!$D$22,3,FALSE),F511&lt;&gt;"",VLOOKUP(F511,Ops!$R$2:'Ops'!$S$11,2),L511&lt;&gt;"",VLOOKUP(L511,Ops!$R$2:'Ops'!$S$25,2,FALSE),TRUE,"0000"),2)</f>
        <v>00</v>
      </c>
      <c r="P511" s="26" t="str">
        <f>RIGHT(IF($E511&lt;&gt;"",_xlfn.XLOOKUP($E511,$C$4:$C$681,$B$4:$B$681,"NO LABEL"),BIN2HEX(IF(N511="CarryEn","1","0")&amp;IF(M511="SubXY","1","0")&amp;IF(H511&lt;&gt;"",VLOOKUP(H511,Ops!$F$2:'Ops'!$G$20,2,FALSE),"000000"),2)),2)</f>
        <v>00</v>
      </c>
      <c r="Q511" s="26" t="str" cm="1">
        <f t="array" ref="Q511">BIN2HEX(_xlfn.IFS(D511="HWINTEN","10",G511="KeyAck","01",G511="InitLp8","01",TRUE,"00")&amp;IF(OR(Ops!$O$2:'Ops'!$O$13=K511),VLOOKUP(K511,Ops!$O$2:'Ops'!$P$13,2,FALSE),"000")&amp;IF(E511&lt;&gt;"",IF(LEN(_xlfn.XLOOKUP($E511,$C$5:$C$681,$B$5:$B$681,0))=3,HEX2BIN(LEFT(_xlfn.XLOOKUP($E511,$C$5:$C$681,$B$5:$B$681,0),1),3),IF(OR(Ops!$L$2:'Ops'!$L$11=J511),VLOOKUP(J511,Ops!$L$2:'Ops'!$M$11,2,FALSE),"000")),IF(OR(Ops!$L$2:'Ops'!$L$11=J511),VLOOKUP(J511,Ops!$L$2:'Ops'!$M$11,2,FALSE),"000")),2)</f>
        <v>40</v>
      </c>
      <c r="R511" s="27"/>
      <c r="S511" s="4" t="s">
        <v>548</v>
      </c>
      <c r="Z511" s="74" t="str">
        <f t="shared" si="149"/>
        <v>0x00,</v>
      </c>
      <c r="AA511" s="75" t="str">
        <f t="shared" si="150"/>
        <v>0x00,</v>
      </c>
      <c r="AB511" s="75" t="str">
        <f t="shared" si="151"/>
        <v>0x40,</v>
      </c>
      <c r="AC511" s="76"/>
    </row>
    <row r="512" spans="1:29" x14ac:dyDescent="0.3">
      <c r="A512" s="79">
        <f t="shared" si="153"/>
        <v>1542</v>
      </c>
      <c r="B512" s="80" t="str">
        <f>DEC2HEX(A512)</f>
        <v>606</v>
      </c>
      <c r="D512" s="29" t="s">
        <v>251</v>
      </c>
      <c r="E512" s="4" t="s">
        <v>602</v>
      </c>
      <c r="F512" s="29"/>
      <c r="G512" s="24"/>
      <c r="H512" s="29"/>
      <c r="K512"/>
      <c r="M512" s="14"/>
      <c r="O512" s="25" t="str" cm="1">
        <f t="array" ref="O512">BIN2HEX(IF(I512&lt;&gt;"",VLOOKUP(I512,Ops!$I$2:'Ops'!$J$15,2,FALSE),IF(ISNUMBER(SEARCH("BR",D512)),"001","000"))&amp;IF(D512&lt;&gt;"",VLOOKUP(D512,Ops!$B$2:'Ops'!$C$23,2,FALSE),"0")&amp;_xlfn.IFS(ISNUMBER(SEARCH("BR",D512)),VLOOKUP(D512,Ops!$B$3:'Ops'!$D$22,3,FALSE),F512&lt;&gt;"",VLOOKUP(F512,Ops!$R$2:'Ops'!$S$11,2),L512&lt;&gt;"",VLOOKUP(L512,Ops!$R$2:'Ops'!$S$25,2,FALSE),TRUE,"0000"),2)</f>
        <v>3F</v>
      </c>
      <c r="P512" s="26" t="str">
        <f>RIGHT(IF($E512&lt;&gt;"",_xlfn.XLOOKUP($E512,$C$4:$C$681,$B$4:$B$681,"NO LABEL"),BIN2HEX(IF(N512="CarryEn","1","0")&amp;IF(M512="SubXY","1","0")&amp;IF(H512&lt;&gt;"",VLOOKUP(H512,Ops!$F$2:'Ops'!$G$20,2,FALSE),"000000"),2)),2)</f>
        <v>09</v>
      </c>
      <c r="Q512" s="26" t="str" cm="1">
        <f t="array" ref="Q512">BIN2HEX(_xlfn.IFS(D512="HWINTEN","10",G512="KeyAck","01",G512="InitLp8","01",TRUE,"00")&amp;IF(OR(Ops!$O$2:'Ops'!$O$13=K512),VLOOKUP(K512,Ops!$O$2:'Ops'!$P$13,2,FALSE),"000")&amp;IF(E512&lt;&gt;"",IF(LEN(_xlfn.XLOOKUP($E512,$C$5:$C$681,$B$5:$B$681,0))=3,HEX2BIN(LEFT(_xlfn.XLOOKUP($E512,$C$5:$C$681,$B$5:$B$681,0),1),3),IF(OR(Ops!$L$2:'Ops'!$L$11=J512),VLOOKUP(J512,Ops!$L$2:'Ops'!$M$11,2,FALSE),"000")),IF(OR(Ops!$L$2:'Ops'!$L$11=J512),VLOOKUP(J512,Ops!$L$2:'Ops'!$M$11,2,FALSE),"000")),2)</f>
        <v>06</v>
      </c>
      <c r="R512" s="27"/>
      <c r="Z512" s="74" t="str">
        <f t="shared" si="149"/>
        <v>0x3F,</v>
      </c>
      <c r="AA512" s="75" t="str">
        <f t="shared" si="150"/>
        <v>0x09,</v>
      </c>
      <c r="AB512" s="75" t="str">
        <f t="shared" si="151"/>
        <v>0x06,</v>
      </c>
      <c r="AC512" s="76"/>
    </row>
    <row r="513" spans="1:29" x14ac:dyDescent="0.3">
      <c r="A513" s="79">
        <f t="shared" si="153"/>
        <v>1545</v>
      </c>
      <c r="B513" s="80" t="str">
        <f>DEC2HEX(A513)</f>
        <v>609</v>
      </c>
      <c r="C513" s="4" t="s">
        <v>602</v>
      </c>
      <c r="D513" s="29"/>
      <c r="F513" s="29"/>
      <c r="G513" s="24"/>
      <c r="H513" s="29" t="s">
        <v>26</v>
      </c>
      <c r="I513" s="4" t="s">
        <v>482</v>
      </c>
      <c r="J513" s="4" t="s">
        <v>191</v>
      </c>
      <c r="K513" t="s">
        <v>469</v>
      </c>
      <c r="M513" s="14"/>
      <c r="O513" s="25" t="str" cm="1">
        <f t="array" ref="O513">BIN2HEX(IF(I513&lt;&gt;"",VLOOKUP(I513,Ops!$I$2:'Ops'!$J$15,2,FALSE),IF(ISNUMBER(SEARCH("BR",D513)),"001","000"))&amp;IF(D513&lt;&gt;"",VLOOKUP(D513,Ops!$B$2:'Ops'!$C$23,2,FALSE),"0")&amp;_xlfn.IFS(ISNUMBER(SEARCH("BR",D513)),VLOOKUP(D513,Ops!$B$3:'Ops'!$D$22,3,FALSE),F513&lt;&gt;"",VLOOKUP(F513,Ops!$R$2:'Ops'!$S$11,2),L513&lt;&gt;"",VLOOKUP(L513,Ops!$R$2:'Ops'!$S$25,2,FALSE),TRUE,"0000"),2)</f>
        <v>00</v>
      </c>
      <c r="P513" s="26" t="str">
        <f>RIGHT(IF($E513&lt;&gt;"",_xlfn.XLOOKUP($E513,$C$4:$C$681,$B$4:$B$681,"NO LABEL"),BIN2HEX(IF(N513="CarryEn","1","0")&amp;IF(M513="SubXY","1","0")&amp;IF(H513&lt;&gt;"",VLOOKUP(H513,Ops!$F$2:'Ops'!$G$20,2,FALSE),"000000"),2)),2)</f>
        <v>05</v>
      </c>
      <c r="Q513" s="26" t="str" cm="1">
        <f t="array" ref="Q513">BIN2HEX(_xlfn.IFS(D513="HWINTEN","10",G513="KeyAck","01",G513="InitLp8","01",TRUE,"00")&amp;IF(OR(Ops!$O$2:'Ops'!$O$13=K513),VLOOKUP(K513,Ops!$O$2:'Ops'!$P$13,2,FALSE),"000")&amp;IF(E513&lt;&gt;"",IF(LEN(_xlfn.XLOOKUP($E513,$C$5:$C$681,$B$5:$B$681,0))=3,HEX2BIN(LEFT(_xlfn.XLOOKUP($E513,$C$5:$C$681,$B$5:$B$681,0),1),3),IF(OR(Ops!$L$2:'Ops'!$L$11=J513),VLOOKUP(J513,Ops!$L$2:'Ops'!$M$11,2,FALSE),"000")),IF(OR(Ops!$L$2:'Ops'!$L$11=J513),VLOOKUP(J513,Ops!$L$2:'Ops'!$M$11,2,FALSE),"000")),2)</f>
        <v>28</v>
      </c>
      <c r="R513" s="27"/>
      <c r="Z513" s="74" t="str">
        <f t="shared" si="149"/>
        <v>0x00,</v>
      </c>
      <c r="AA513" s="75" t="str">
        <f t="shared" si="150"/>
        <v>0x05,</v>
      </c>
      <c r="AB513" s="75" t="str">
        <f t="shared" si="151"/>
        <v>0x28,</v>
      </c>
      <c r="AC513" s="76"/>
    </row>
    <row r="514" spans="1:29" x14ac:dyDescent="0.3">
      <c r="A514" s="79">
        <f t="shared" si="153"/>
        <v>1548</v>
      </c>
      <c r="B514" s="80" t="str">
        <f t="shared" si="154"/>
        <v>60C</v>
      </c>
      <c r="D514" s="29" t="s">
        <v>251</v>
      </c>
      <c r="E514" s="4" t="s">
        <v>602</v>
      </c>
      <c r="F514" s="29"/>
      <c r="G514" s="24"/>
      <c r="H514" s="29"/>
      <c r="K514"/>
      <c r="M514" s="14"/>
      <c r="O514" s="25" t="str" cm="1">
        <f t="array" ref="O514">BIN2HEX(IF(I514&lt;&gt;"",VLOOKUP(I514,Ops!$I$2:'Ops'!$J$15,2,FALSE),IF(ISNUMBER(SEARCH("BR",D514)),"001","000"))&amp;IF(D514&lt;&gt;"",VLOOKUP(D514,Ops!$B$2:'Ops'!$C$23,2,FALSE),"0")&amp;_xlfn.IFS(ISNUMBER(SEARCH("BR",D514)),VLOOKUP(D514,Ops!$B$3:'Ops'!$D$22,3,FALSE),F514&lt;&gt;"",VLOOKUP(F514,Ops!$R$2:'Ops'!$S$11,2),L514&lt;&gt;"",VLOOKUP(L514,Ops!$R$2:'Ops'!$S$25,2,FALSE),TRUE,"0000"),2)</f>
        <v>3F</v>
      </c>
      <c r="P514" s="26" t="str">
        <f>RIGHT(IF($E514&lt;&gt;"",_xlfn.XLOOKUP($E514,$C$4:$C$681,$B$4:$B$681,"NO LABEL"),BIN2HEX(IF(N514="CarryEn","1","0")&amp;IF(M514="SubXY","1","0")&amp;IF(H514&lt;&gt;"",VLOOKUP(H514,Ops!$F$2:'Ops'!$G$20,2,FALSE),"000000"),2)),2)</f>
        <v>09</v>
      </c>
      <c r="Q514" s="26" t="str" cm="1">
        <f t="array" ref="Q514">BIN2HEX(_xlfn.IFS(D514="HWINTEN","10",G514="KeyAck","01",G514="InitLp8","01",TRUE,"00")&amp;IF(OR(Ops!$O$2:'Ops'!$O$13=K514),VLOOKUP(K514,Ops!$O$2:'Ops'!$P$13,2,FALSE),"000")&amp;IF(E514&lt;&gt;"",IF(LEN(_xlfn.XLOOKUP($E514,$C$5:$C$681,$B$5:$B$681,0))=3,HEX2BIN(LEFT(_xlfn.XLOOKUP($E514,$C$5:$C$681,$B$5:$B$681,0),1),3),IF(OR(Ops!$L$2:'Ops'!$L$11=J514),VLOOKUP(J514,Ops!$L$2:'Ops'!$M$11,2,FALSE),"000")),IF(OR(Ops!$L$2:'Ops'!$L$11=J514),VLOOKUP(J514,Ops!$L$2:'Ops'!$M$11,2,FALSE),"000")),2)</f>
        <v>06</v>
      </c>
      <c r="R514" s="27"/>
      <c r="Z514" s="74" t="str">
        <f t="shared" si="149"/>
        <v>0x3F,</v>
      </c>
      <c r="AA514" s="75" t="str">
        <f t="shared" si="150"/>
        <v>0x09,</v>
      </c>
      <c r="AB514" s="75" t="str">
        <f t="shared" si="151"/>
        <v>0x06,</v>
      </c>
      <c r="AC514" s="76"/>
    </row>
    <row r="515" spans="1:29" x14ac:dyDescent="0.3">
      <c r="A515" s="79">
        <f t="shared" si="153"/>
        <v>1551</v>
      </c>
      <c r="B515" s="80" t="str">
        <f>DEC2HEX(A515)</f>
        <v>60F</v>
      </c>
      <c r="D515" s="29"/>
      <c r="F515" s="29"/>
      <c r="G515" s="24"/>
      <c r="H515" s="29"/>
      <c r="J515" s="56" t="s">
        <v>56</v>
      </c>
      <c r="M515" s="14"/>
      <c r="O515" s="25" t="str" cm="1">
        <f t="array" ref="O515">BIN2HEX(IF(I515&lt;&gt;"",VLOOKUP(I515,Ops!$I$2:'Ops'!$J$15,2,FALSE),IF(ISNUMBER(SEARCH("BR",D515)),"001","000"))&amp;IF(D515&lt;&gt;"",VLOOKUP(D515,Ops!$B$2:'Ops'!$C$23,2,FALSE),"0")&amp;_xlfn.IFS(ISNUMBER(SEARCH("BR",D515)),VLOOKUP(D515,Ops!$B$3:'Ops'!$D$22,3,FALSE),F515&lt;&gt;"",VLOOKUP(F515,Ops!$R$2:'Ops'!$S$11,2),L515&lt;&gt;"",VLOOKUP(L515,Ops!$R$2:'Ops'!$S$25,2,FALSE),TRUE,"0000"),2)</f>
        <v>00</v>
      </c>
      <c r="P515" s="26" t="str">
        <f>RIGHT(IF($E515&lt;&gt;"",_xlfn.XLOOKUP($E515,$C$4:$C$681,$B$4:$B$681,"NO LABEL"),BIN2HEX(IF(N515="CarryEn","1","0")&amp;IF(M515="SubXY","1","0")&amp;IF(H515&lt;&gt;"",VLOOKUP(H515,Ops!$F$2:'Ops'!$G$20,2,FALSE),"000000"),2)),2)</f>
        <v>00</v>
      </c>
      <c r="Q515" s="26" t="str" cm="1">
        <f t="array" ref="Q515">BIN2HEX(_xlfn.IFS(D515="HWINTEN","10",G515="KeyAck","01",G515="InitLp8","01",TRUE,"00")&amp;IF(OR(Ops!$O$2:'Ops'!$O$13=K515),VLOOKUP(K515,Ops!$O$2:'Ops'!$P$13,2,FALSE),"000")&amp;IF(E515&lt;&gt;"",IF(LEN(_xlfn.XLOOKUP($E515,$C$5:$C$681,$B$5:$B$681,0))=3,HEX2BIN(LEFT(_xlfn.XLOOKUP($E515,$C$5:$C$681,$B$5:$B$681,0),1),3),IF(OR(Ops!$L$2:'Ops'!$L$11=J515),VLOOKUP(J515,Ops!$L$2:'Ops'!$M$11,2,FALSE),"000")),IF(OR(Ops!$L$2:'Ops'!$L$11=J515),VLOOKUP(J515,Ops!$L$2:'Ops'!$M$11,2,FALSE),"000")),2)</f>
        <v>05</v>
      </c>
      <c r="R515" s="27"/>
      <c r="S515" s="4" t="s">
        <v>497</v>
      </c>
      <c r="Z515" s="74" t="str">
        <f t="shared" ref="Z515:Z534" si="155">IF(O515="", "};", "0x"&amp;O515&amp;",")</f>
        <v>0x00,</v>
      </c>
      <c r="AA515" s="75" t="str">
        <f t="shared" ref="AA515:AA534" si="156">"0x"&amp;P515&amp;","</f>
        <v>0x00,</v>
      </c>
      <c r="AB515" s="75" t="str">
        <f t="shared" ref="AB515:AB534" si="157">"0x"&amp;Q515&amp;","</f>
        <v>0x05,</v>
      </c>
      <c r="AC515" s="76"/>
    </row>
    <row r="516" spans="1:29" x14ac:dyDescent="0.3">
      <c r="A516" s="79">
        <f t="shared" si="153"/>
        <v>1554</v>
      </c>
      <c r="B516" s="80" t="str">
        <f>DEC2HEX(A516)</f>
        <v>612</v>
      </c>
      <c r="D516" s="29"/>
      <c r="F516" s="29"/>
      <c r="G516" s="24"/>
      <c r="H516" s="29"/>
      <c r="I516" s="4" t="s">
        <v>520</v>
      </c>
      <c r="J516" s="3"/>
      <c r="L516" s="3"/>
      <c r="M516" s="14"/>
      <c r="O516" s="25" t="str" cm="1">
        <f t="array" ref="O516">BIN2HEX(IF(I516&lt;&gt;"",VLOOKUP(I516,Ops!$I$2:'Ops'!$J$15,2,FALSE),IF(ISNUMBER(SEARCH("BR",D516)),"001","000"))&amp;IF(D516&lt;&gt;"",VLOOKUP(D516,Ops!$B$2:'Ops'!$C$23,2,FALSE),"0")&amp;_xlfn.IFS(ISNUMBER(SEARCH("BR",D516)),VLOOKUP(D516,Ops!$B$3:'Ops'!$D$22,3,FALSE),F516&lt;&gt;"",VLOOKUP(F516,Ops!$R$2:'Ops'!$S$11,2),L516&lt;&gt;"",VLOOKUP(L516,Ops!$R$2:'Ops'!$S$25,2,FALSE),TRUE,"0000"),2)</f>
        <v>A0</v>
      </c>
      <c r="P516" s="26" t="str">
        <f>RIGHT(IF($E516&lt;&gt;"",_xlfn.XLOOKUP($E516,$C$4:$C$681,$B$4:$B$681,"NO LABEL"),BIN2HEX(IF(N516="CarryEn","1","0")&amp;IF(M516="SubXY","1","0")&amp;IF(H516&lt;&gt;"",VLOOKUP(H516,Ops!$F$2:'Ops'!$G$20,2,FALSE),"000000"),2)),2)</f>
        <v>00</v>
      </c>
      <c r="Q516" s="26" t="str" cm="1">
        <f t="array" ref="Q516">BIN2HEX(_xlfn.IFS(D516="HWINTEN","10",G516="KeyAck","01",G516="InitLp8","01",TRUE,"00")&amp;IF(OR(Ops!$O$2:'Ops'!$O$13=K516),VLOOKUP(K516,Ops!$O$2:'Ops'!$P$13,2,FALSE),"000")&amp;IF(E516&lt;&gt;"",IF(LEN(_xlfn.XLOOKUP($E516,$C$5:$C$681,$B$5:$B$681,0))=3,HEX2BIN(LEFT(_xlfn.XLOOKUP($E516,$C$5:$C$681,$B$5:$B$681,0),1),3),IF(OR(Ops!$L$2:'Ops'!$L$11=J516),VLOOKUP(J516,Ops!$L$2:'Ops'!$M$11,2,FALSE),"000")),IF(OR(Ops!$L$2:'Ops'!$L$11=J516),VLOOKUP(J516,Ops!$L$2:'Ops'!$M$11,2,FALSE),"000")),2)</f>
        <v>00</v>
      </c>
      <c r="R516" s="27"/>
      <c r="S516" s="4" t="s">
        <v>152</v>
      </c>
      <c r="Z516" s="74" t="str">
        <f t="shared" si="155"/>
        <v>0xA0,</v>
      </c>
      <c r="AA516" s="75" t="str">
        <f t="shared" si="156"/>
        <v>0x00,</v>
      </c>
      <c r="AB516" s="75" t="str">
        <f t="shared" si="157"/>
        <v>0x00,</v>
      </c>
      <c r="AC516" s="76"/>
    </row>
    <row r="517" spans="1:29" x14ac:dyDescent="0.3">
      <c r="A517" s="79">
        <f t="shared" si="153"/>
        <v>1557</v>
      </c>
      <c r="B517" s="80" t="str">
        <f>DEC2HEX(A517)</f>
        <v>615</v>
      </c>
      <c r="D517" s="29" t="s">
        <v>430</v>
      </c>
      <c r="E517" s="4" t="s">
        <v>296</v>
      </c>
      <c r="F517" s="29"/>
      <c r="G517" s="24"/>
      <c r="H517" s="29"/>
      <c r="M517" s="14"/>
      <c r="O517" s="25" t="str" cm="1">
        <f t="array" ref="O517">BIN2HEX(IF(I517&lt;&gt;"",VLOOKUP(I517,Ops!$I$2:'Ops'!$J$15,2,FALSE),IF(ISNUMBER(SEARCH("BR",D517)),"001","000"))&amp;IF(D517&lt;&gt;"",VLOOKUP(D517,Ops!$B$2:'Ops'!$C$23,2,FALSE),"0")&amp;_xlfn.IFS(ISNUMBER(SEARCH("BR",D517)),VLOOKUP(D517,Ops!$B$3:'Ops'!$D$22,3,FALSE),F517&lt;&gt;"",VLOOKUP(F517,Ops!$R$2:'Ops'!$S$11,2),L517&lt;&gt;"",VLOOKUP(L517,Ops!$R$2:'Ops'!$S$25,2,FALSE),TRUE,"0000"),2)</f>
        <v>3E</v>
      </c>
      <c r="P517" s="26" t="str">
        <f>RIGHT(IF($E517&lt;&gt;"",_xlfn.XLOOKUP($E517,$C$4:$C$681,$B$4:$B$681,"NO LABEL"),BIN2HEX(IF(N517="CarryEn","1","0")&amp;IF(M517="SubXY","1","0")&amp;IF(H517&lt;&gt;"",VLOOKUP(H517,Ops!$F$2:'Ops'!$G$20,2,FALSE),"000000"),2)),2)</f>
        <v>21</v>
      </c>
      <c r="Q517" s="26" t="str" cm="1">
        <f t="array" ref="Q517">BIN2HEX(_xlfn.IFS(D517="HWINTEN","10",G517="KeyAck","01",G517="InitLp8","01",TRUE,"00")&amp;IF(OR(Ops!$O$2:'Ops'!$O$13=K517),VLOOKUP(K517,Ops!$O$2:'Ops'!$P$13,2,FALSE),"000")&amp;IF(E517&lt;&gt;"",IF(LEN(_xlfn.XLOOKUP($E517,$C$5:$C$681,$B$5:$B$681,0))=3,HEX2BIN(LEFT(_xlfn.XLOOKUP($E517,$C$5:$C$681,$B$5:$B$681,0),1),3),IF(OR(Ops!$L$2:'Ops'!$L$11=J517),VLOOKUP(J517,Ops!$L$2:'Ops'!$M$11,2,FALSE),"000")),IF(OR(Ops!$L$2:'Ops'!$L$11=J517),VLOOKUP(J517,Ops!$L$2:'Ops'!$M$11,2,FALSE),"000")),2)</f>
        <v>06</v>
      </c>
      <c r="R517" s="27"/>
      <c r="S517" s="4" t="s">
        <v>461</v>
      </c>
      <c r="Z517" s="74" t="str">
        <f t="shared" si="155"/>
        <v>0x3E,</v>
      </c>
      <c r="AA517" s="75" t="str">
        <f t="shared" si="156"/>
        <v>0x21,</v>
      </c>
      <c r="AB517" s="75" t="str">
        <f t="shared" si="157"/>
        <v>0x06,</v>
      </c>
      <c r="AC517" s="76"/>
    </row>
    <row r="518" spans="1:29" x14ac:dyDescent="0.3">
      <c r="A518" s="79">
        <f t="shared" si="153"/>
        <v>1560</v>
      </c>
      <c r="B518" s="80" t="str">
        <f>DEC2HEX(A518)</f>
        <v>618</v>
      </c>
      <c r="D518" s="29" t="s">
        <v>0</v>
      </c>
      <c r="E518" s="4" t="s">
        <v>154</v>
      </c>
      <c r="F518" s="29"/>
      <c r="G518" s="24"/>
      <c r="H518" s="29"/>
      <c r="M518" s="14"/>
      <c r="O518" s="25" t="str" cm="1">
        <f t="array" ref="O518">BIN2HEX(IF(I518&lt;&gt;"",VLOOKUP(I518,Ops!$I$2:'Ops'!$J$15,2,FALSE),IF(ISNUMBER(SEARCH("BR",D518)),"001","000"))&amp;IF(D518&lt;&gt;"",VLOOKUP(D518,Ops!$B$2:'Ops'!$C$23,2,FALSE),"0")&amp;_xlfn.IFS(ISNUMBER(SEARCH("BR",D518)),VLOOKUP(D518,Ops!$B$3:'Ops'!$D$22,3,FALSE),F518&lt;&gt;"",VLOOKUP(F518,Ops!$R$2:'Ops'!$S$11,2),L518&lt;&gt;"",VLOOKUP(L518,Ops!$R$2:'Ops'!$S$25,2,FALSE),TRUE,"0000"),2)</f>
        <v>10</v>
      </c>
      <c r="P518" s="26" t="str">
        <f>RIGHT(IF($E518&lt;&gt;"",_xlfn.XLOOKUP($E518,$C$4:$C$681,$B$4:$B$681,"NO LABEL"),BIN2HEX(IF(N518="CarryEn","1","0")&amp;IF(M518="SubXY","1","0")&amp;IF(H518&lt;&gt;"",VLOOKUP(H518,Ops!$F$2:'Ops'!$G$20,2,FALSE),"000000"),2)),2)</f>
        <v>27</v>
      </c>
      <c r="Q518" s="26" t="str" cm="1">
        <f t="array" ref="Q518">BIN2HEX(_xlfn.IFS(D518="HWINTEN","10",G518="KeyAck","01",G518="InitLp8","01",TRUE,"00")&amp;IF(OR(Ops!$O$2:'Ops'!$O$13=K518),VLOOKUP(K518,Ops!$O$2:'Ops'!$P$13,2,FALSE),"000")&amp;IF(E518&lt;&gt;"",IF(LEN(_xlfn.XLOOKUP($E518,$C$5:$C$681,$B$5:$B$681,0))=3,HEX2BIN(LEFT(_xlfn.XLOOKUP($E518,$C$5:$C$681,$B$5:$B$681,0),1),3),IF(OR(Ops!$L$2:'Ops'!$L$11=J518),VLOOKUP(J518,Ops!$L$2:'Ops'!$M$11,2,FALSE),"000")),IF(OR(Ops!$L$2:'Ops'!$L$11=J518),VLOOKUP(J518,Ops!$L$2:'Ops'!$M$11,2,FALSE),"000")),2)</f>
        <v>06</v>
      </c>
      <c r="R518" s="27"/>
      <c r="S518" s="4" t="s">
        <v>310</v>
      </c>
      <c r="Z518" s="74" t="str">
        <f t="shared" si="155"/>
        <v>0x10,</v>
      </c>
      <c r="AA518" s="75" t="str">
        <f t="shared" si="156"/>
        <v>0x27,</v>
      </c>
      <c r="AB518" s="75" t="str">
        <f t="shared" si="157"/>
        <v>0x06,</v>
      </c>
      <c r="AC518" s="76"/>
    </row>
    <row r="519" spans="1:29" x14ac:dyDescent="0.3">
      <c r="A519" s="79">
        <f t="shared" si="153"/>
        <v>1563</v>
      </c>
      <c r="B519" s="80" t="str">
        <f>DEC2HEX(A519)</f>
        <v>61B</v>
      </c>
      <c r="C519" s="4" t="s">
        <v>309</v>
      </c>
      <c r="D519" s="29" t="s">
        <v>90</v>
      </c>
      <c r="E519" s="4" t="s">
        <v>154</v>
      </c>
      <c r="F519" s="29"/>
      <c r="G519" s="24"/>
      <c r="H519" s="29"/>
      <c r="M519" s="14"/>
      <c r="O519" s="25" t="str" cm="1">
        <f t="array" ref="O519">BIN2HEX(IF(I519&lt;&gt;"",VLOOKUP(I519,Ops!$I$2:'Ops'!$J$15,2,FALSE),IF(ISNUMBER(SEARCH("BR",D519)),"001","000"))&amp;IF(D519&lt;&gt;"",VLOOKUP(D519,Ops!$B$2:'Ops'!$C$23,2,FALSE),"0")&amp;_xlfn.IFS(ISNUMBER(SEARCH("BR",D519)),VLOOKUP(D519,Ops!$B$3:'Ops'!$D$22,3,FALSE),F519&lt;&gt;"",VLOOKUP(F519,Ops!$R$2:'Ops'!$S$11,2),L519&lt;&gt;"",VLOOKUP(L519,Ops!$R$2:'Ops'!$S$25,2,FALSE),TRUE,"0000"),2)</f>
        <v>38</v>
      </c>
      <c r="P519" s="26" t="str">
        <f>RIGHT(IF($E519&lt;&gt;"",_xlfn.XLOOKUP($E519,$C$4:$C$681,$B$4:$B$681,"NO LABEL"),BIN2HEX(IF(N519="CarryEn","1","0")&amp;IF(M519="SubXY","1","0")&amp;IF(H519&lt;&gt;"",VLOOKUP(H519,Ops!$F$2:'Ops'!$G$20,2,FALSE),"000000"),2)),2)</f>
        <v>27</v>
      </c>
      <c r="Q519" s="26" t="str" cm="1">
        <f t="array" ref="Q519">BIN2HEX(_xlfn.IFS(D519="HWINTEN","10",G519="KeyAck","01",G519="InitLp8","01",TRUE,"00")&amp;IF(OR(Ops!$O$2:'Ops'!$O$13=K519),VLOOKUP(K519,Ops!$O$2:'Ops'!$P$13,2,FALSE),"000")&amp;IF(E519&lt;&gt;"",IF(LEN(_xlfn.XLOOKUP($E519,$C$5:$C$681,$B$5:$B$681,0))=3,HEX2BIN(LEFT(_xlfn.XLOOKUP($E519,$C$5:$C$681,$B$5:$B$681,0),1),3),IF(OR(Ops!$L$2:'Ops'!$L$11=J519),VLOOKUP(J519,Ops!$L$2:'Ops'!$M$11,2,FALSE),"000")),IF(OR(Ops!$L$2:'Ops'!$L$11=J519),VLOOKUP(J519,Ops!$L$2:'Ops'!$M$11,2,FALSE),"000")),2)</f>
        <v>06</v>
      </c>
      <c r="R519" s="27"/>
      <c r="Z519" s="74" t="str">
        <f t="shared" si="155"/>
        <v>0x38,</v>
      </c>
      <c r="AA519" s="75" t="str">
        <f t="shared" si="156"/>
        <v>0x27,</v>
      </c>
      <c r="AB519" s="75" t="str">
        <f t="shared" si="157"/>
        <v>0x06,</v>
      </c>
      <c r="AC519" s="76"/>
    </row>
    <row r="520" spans="1:29" x14ac:dyDescent="0.3">
      <c r="A520" s="79">
        <f t="shared" si="153"/>
        <v>1566</v>
      </c>
      <c r="B520" s="80" t="str">
        <f t="shared" ref="B520:B526" si="158">DEC2HEX(A520)</f>
        <v>61E</v>
      </c>
      <c r="D520" s="29"/>
      <c r="F520" s="29"/>
      <c r="G520" s="24"/>
      <c r="H520" s="29"/>
      <c r="J520" s="4" t="s">
        <v>314</v>
      </c>
      <c r="L520" s="4" t="s">
        <v>293</v>
      </c>
      <c r="M520" s="14"/>
      <c r="O520" s="25" t="str" cm="1">
        <f t="array" ref="O520">BIN2HEX(IF(I520&lt;&gt;"",VLOOKUP(I520,Ops!$I$2:'Ops'!$J$15,2,FALSE),IF(ISNUMBER(SEARCH("BR",D520)),"001","000"))&amp;IF(D520&lt;&gt;"",VLOOKUP(D520,Ops!$B$2:'Ops'!$C$23,2,FALSE),"0")&amp;_xlfn.IFS(ISNUMBER(SEARCH("BR",D520)),VLOOKUP(D520,Ops!$B$3:'Ops'!$D$22,3,FALSE),F520&lt;&gt;"",VLOOKUP(F520,Ops!$R$2:'Ops'!$S$11,2),L520&lt;&gt;"",VLOOKUP(L520,Ops!$R$2:'Ops'!$S$25,2,FALSE),TRUE,"0000"),2)</f>
        <v>06</v>
      </c>
      <c r="P520" s="26" t="str">
        <f>RIGHT(IF($E520&lt;&gt;"",_xlfn.XLOOKUP($E520,$C$4:$C$681,$B$4:$B$681,"NO LABEL"),BIN2HEX(IF(N520="CarryEn","1","0")&amp;IF(M520="SubXY","1","0")&amp;IF(H520&lt;&gt;"",VLOOKUP(H520,Ops!$F$2:'Ops'!$G$20,2,FALSE),"000000"),2)),2)</f>
        <v>00</v>
      </c>
      <c r="Q520" s="26" t="str" cm="1">
        <f t="array" ref="Q520">BIN2HEX(_xlfn.IFS(D520="HWINTEN","10",G520="KeyAck","01",G520="InitLp8","01",TRUE,"00")&amp;IF(OR(Ops!$O$2:'Ops'!$O$13=K520),VLOOKUP(K520,Ops!$O$2:'Ops'!$P$13,2,FALSE),"000")&amp;IF(E520&lt;&gt;"",IF(LEN(_xlfn.XLOOKUP($E520,$C$5:$C$681,$B$5:$B$681,0))=3,HEX2BIN(LEFT(_xlfn.XLOOKUP($E520,$C$5:$C$681,$B$5:$B$681,0),1),3),IF(OR(Ops!$L$2:'Ops'!$L$11=J520),VLOOKUP(J520,Ops!$L$2:'Ops'!$M$11,2,FALSE),"000")),IF(OR(Ops!$L$2:'Ops'!$L$11=J520),VLOOKUP(J520,Ops!$L$2:'Ops'!$M$11,2,FALSE),"000")),2)</f>
        <v>06</v>
      </c>
      <c r="R520" s="27"/>
      <c r="S520" s="4" t="s">
        <v>297</v>
      </c>
      <c r="Z520" s="74" t="str">
        <f t="shared" si="155"/>
        <v>0x06,</v>
      </c>
      <c r="AA520" s="75" t="str">
        <f t="shared" si="156"/>
        <v>0x00,</v>
      </c>
      <c r="AB520" s="75" t="str">
        <f t="shared" si="157"/>
        <v>0x06,</v>
      </c>
      <c r="AC520" s="76"/>
    </row>
    <row r="521" spans="1:29" x14ac:dyDescent="0.3">
      <c r="A521" s="79">
        <f t="shared" si="153"/>
        <v>1569</v>
      </c>
      <c r="B521" s="80" t="str">
        <f t="shared" si="158"/>
        <v>621</v>
      </c>
      <c r="C521" s="4" t="s">
        <v>296</v>
      </c>
      <c r="D521" s="29"/>
      <c r="F521" s="29"/>
      <c r="G521" s="24"/>
      <c r="H521" s="29"/>
      <c r="J521" s="4" t="s">
        <v>314</v>
      </c>
      <c r="L521" s="4" t="s">
        <v>180</v>
      </c>
      <c r="M521" s="14"/>
      <c r="O521" s="25" t="str" cm="1">
        <f t="array" ref="O521">BIN2HEX(IF(I521&lt;&gt;"",VLOOKUP(I521,Ops!$I$2:'Ops'!$J$15,2,FALSE),IF(ISNUMBER(SEARCH("BR",D521)),"001","000"))&amp;IF(D521&lt;&gt;"",VLOOKUP(D521,Ops!$B$2:'Ops'!$C$23,2,FALSE),"0")&amp;_xlfn.IFS(ISNUMBER(SEARCH("BR",D521)),VLOOKUP(D521,Ops!$B$3:'Ops'!$D$22,3,FALSE),F521&lt;&gt;"",VLOOKUP(F521,Ops!$R$2:'Ops'!$S$11,2),L521&lt;&gt;"",VLOOKUP(L521,Ops!$R$2:'Ops'!$S$25,2,FALSE),TRUE,"0000"),2)</f>
        <v>01</v>
      </c>
      <c r="P521" s="26" t="str">
        <f>RIGHT(IF($E521&lt;&gt;"",_xlfn.XLOOKUP($E521,$C$4:$C$681,$B$4:$B$681,"NO LABEL"),BIN2HEX(IF(N521="CarryEn","1","0")&amp;IF(M521="SubXY","1","0")&amp;IF(H521&lt;&gt;"",VLOOKUP(H521,Ops!$F$2:'Ops'!$G$20,2,FALSE),"000000"),2)),2)</f>
        <v>00</v>
      </c>
      <c r="Q521" s="26" t="str" cm="1">
        <f t="array" ref="Q521">BIN2HEX(_xlfn.IFS(D521="HWINTEN","10",G521="KeyAck","01",G521="InitLp8","01",TRUE,"00")&amp;IF(OR(Ops!$O$2:'Ops'!$O$13=K521),VLOOKUP(K521,Ops!$O$2:'Ops'!$P$13,2,FALSE),"000")&amp;IF(E521&lt;&gt;"",IF(LEN(_xlfn.XLOOKUP($E521,$C$5:$C$681,$B$5:$B$681,0))=3,HEX2BIN(LEFT(_xlfn.XLOOKUP($E521,$C$5:$C$681,$B$5:$B$681,0),1),3),IF(OR(Ops!$L$2:'Ops'!$L$11=J521),VLOOKUP(J521,Ops!$L$2:'Ops'!$M$11,2,FALSE),"000")),IF(OR(Ops!$L$2:'Ops'!$L$11=J521),VLOOKUP(J521,Ops!$L$2:'Ops'!$M$11,2,FALSE),"000")),2)</f>
        <v>06</v>
      </c>
      <c r="R521" s="27"/>
      <c r="Z521" s="74" t="str">
        <f t="shared" si="155"/>
        <v>0x01,</v>
      </c>
      <c r="AA521" s="75" t="str">
        <f t="shared" si="156"/>
        <v>0x00,</v>
      </c>
      <c r="AB521" s="75" t="str">
        <f t="shared" si="157"/>
        <v>0x06,</v>
      </c>
      <c r="AC521" s="76"/>
    </row>
    <row r="522" spans="1:29" x14ac:dyDescent="0.3">
      <c r="A522" s="79">
        <f t="shared" si="153"/>
        <v>1572</v>
      </c>
      <c r="B522" s="80" t="str">
        <f t="shared" si="158"/>
        <v>624</v>
      </c>
      <c r="D522" s="29" t="s">
        <v>0</v>
      </c>
      <c r="E522" s="4" t="s">
        <v>309</v>
      </c>
      <c r="F522" s="29"/>
      <c r="G522" s="24"/>
      <c r="H522" s="29"/>
      <c r="M522" s="14"/>
      <c r="O522" s="25" t="str" cm="1">
        <f t="array" ref="O522">BIN2HEX(IF(I522&lt;&gt;"",VLOOKUP(I522,Ops!$I$2:'Ops'!$J$15,2,FALSE),IF(ISNUMBER(SEARCH("BR",D522)),"001","000"))&amp;IF(D522&lt;&gt;"",VLOOKUP(D522,Ops!$B$2:'Ops'!$C$23,2,FALSE),"0")&amp;_xlfn.IFS(ISNUMBER(SEARCH("BR",D522)),VLOOKUP(D522,Ops!$B$3:'Ops'!$D$22,3,FALSE),F522&lt;&gt;"",VLOOKUP(F522,Ops!$R$2:'Ops'!$S$11,2),L522&lt;&gt;"",VLOOKUP(L522,Ops!$R$2:'Ops'!$S$25,2,FALSE),TRUE,"0000"),2)</f>
        <v>10</v>
      </c>
      <c r="P522" s="26" t="str">
        <f>RIGHT(IF($E522&lt;&gt;"",_xlfn.XLOOKUP($E522,$C$4:$C$681,$B$4:$B$681,"NO LABEL"),BIN2HEX(IF(N522="CarryEn","1","0")&amp;IF(M522="SubXY","1","0")&amp;IF(H522&lt;&gt;"",VLOOKUP(H522,Ops!$F$2:'Ops'!$G$20,2,FALSE),"000000"),2)),2)</f>
        <v>1B</v>
      </c>
      <c r="Q522" s="26" t="str" cm="1">
        <f t="array" ref="Q522">BIN2HEX(_xlfn.IFS(D522="HWINTEN","10",G522="KeyAck","01",G522="InitLp8","01",TRUE,"00")&amp;IF(OR(Ops!$O$2:'Ops'!$O$13=K522),VLOOKUP(K522,Ops!$O$2:'Ops'!$P$13,2,FALSE),"000")&amp;IF(E522&lt;&gt;"",IF(LEN(_xlfn.XLOOKUP($E522,$C$5:$C$681,$B$5:$B$681,0))=3,HEX2BIN(LEFT(_xlfn.XLOOKUP($E522,$C$5:$C$681,$B$5:$B$681,0),1),3),IF(OR(Ops!$L$2:'Ops'!$L$11=J522),VLOOKUP(J522,Ops!$L$2:'Ops'!$M$11,2,FALSE),"000")),IF(OR(Ops!$L$2:'Ops'!$L$11=J522),VLOOKUP(J522,Ops!$L$2:'Ops'!$M$11,2,FALSE),"000")),2)</f>
        <v>06</v>
      </c>
      <c r="R522" s="27"/>
      <c r="Z522" s="74" t="str">
        <f t="shared" si="155"/>
        <v>0x10,</v>
      </c>
      <c r="AA522" s="75" t="str">
        <f t="shared" si="156"/>
        <v>0x1B,</v>
      </c>
      <c r="AB522" s="75" t="str">
        <f t="shared" si="157"/>
        <v>0x06,</v>
      </c>
      <c r="AC522" s="76"/>
    </row>
    <row r="523" spans="1:29" x14ac:dyDescent="0.3">
      <c r="A523" s="79">
        <f t="shared" si="153"/>
        <v>1575</v>
      </c>
      <c r="B523" s="80" t="str">
        <f t="shared" si="158"/>
        <v>627</v>
      </c>
      <c r="C523" s="4" t="s">
        <v>154</v>
      </c>
      <c r="D523" s="29" t="s">
        <v>30</v>
      </c>
      <c r="E523" s="4" t="s">
        <v>624</v>
      </c>
      <c r="F523" s="29"/>
      <c r="G523" s="24"/>
      <c r="H523" s="29"/>
      <c r="M523" s="14"/>
      <c r="O523" s="25" t="str" cm="1">
        <f t="array" ref="O523">BIN2HEX(IF(I523&lt;&gt;"",VLOOKUP(I523,Ops!$I$2:'Ops'!$J$15,2,FALSE),IF(ISNUMBER(SEARCH("BR",D523)),"001","000"))&amp;IF(D523&lt;&gt;"",VLOOKUP(D523,Ops!$B$2:'Ops'!$C$23,2,FALSE),"0")&amp;_xlfn.IFS(ISNUMBER(SEARCH("BR",D523)),VLOOKUP(D523,Ops!$B$3:'Ops'!$D$22,3,FALSE),F523&lt;&gt;"",VLOOKUP(F523,Ops!$R$2:'Ops'!$S$11,2),L523&lt;&gt;"",VLOOKUP(L523,Ops!$R$2:'Ops'!$S$25,2,FALSE),TRUE,"0000"),2)</f>
        <v>32</v>
      </c>
      <c r="P523" s="26" t="str">
        <f>RIGHT(IF($E523&lt;&gt;"",_xlfn.XLOOKUP($E523,$C$4:$C$681,$B$4:$B$681,"NO LABEL"),BIN2HEX(IF(N523="CarryEn","1","0")&amp;IF(M523="SubXY","1","0")&amp;IF(H523&lt;&gt;"",VLOOKUP(H523,Ops!$F$2:'Ops'!$G$20,2,FALSE),"000000"),2)),2)</f>
        <v>33</v>
      </c>
      <c r="Q523" s="26" t="str" cm="1">
        <f t="array" ref="Q523">BIN2HEX(_xlfn.IFS(D523="HWINTEN","10",G523="KeyAck","01",G523="InitLp8","01",TRUE,"00")&amp;IF(OR(Ops!$O$2:'Ops'!$O$13=K523),VLOOKUP(K523,Ops!$O$2:'Ops'!$P$13,2,FALSE),"000")&amp;IF(E523&lt;&gt;"",IF(LEN(_xlfn.XLOOKUP($E523,$C$5:$C$681,$B$5:$B$681,0))=3,HEX2BIN(LEFT(_xlfn.XLOOKUP($E523,$C$5:$C$681,$B$5:$B$681,0),1),3),IF(OR(Ops!$L$2:'Ops'!$L$11=J523),VLOOKUP(J523,Ops!$L$2:'Ops'!$M$11,2,FALSE),"000")),IF(OR(Ops!$L$2:'Ops'!$L$11=J523),VLOOKUP(J523,Ops!$L$2:'Ops'!$M$11,2,FALSE),"000")),2)</f>
        <v>06</v>
      </c>
      <c r="R523" s="27"/>
      <c r="S523" s="4" t="s">
        <v>623</v>
      </c>
      <c r="Z523" s="74" t="str">
        <f t="shared" si="155"/>
        <v>0x32,</v>
      </c>
      <c r="AA523" s="75" t="str">
        <f t="shared" si="156"/>
        <v>0x33,</v>
      </c>
      <c r="AB523" s="75" t="str">
        <f t="shared" si="157"/>
        <v>0x06,</v>
      </c>
      <c r="AC523" s="76"/>
    </row>
    <row r="524" spans="1:29" x14ac:dyDescent="0.3">
      <c r="A524" s="79">
        <f t="shared" si="153"/>
        <v>1578</v>
      </c>
      <c r="B524" s="80" t="str">
        <f>DEC2HEX(A524)</f>
        <v>62A</v>
      </c>
      <c r="D524" s="29"/>
      <c r="F524" s="29"/>
      <c r="G524" s="24"/>
      <c r="H524" s="29" t="s">
        <v>463</v>
      </c>
      <c r="I524" s="4" t="s">
        <v>479</v>
      </c>
      <c r="M524" s="14"/>
      <c r="O524" s="25" t="str" cm="1">
        <f t="array" ref="O524">BIN2HEX(IF(I524&lt;&gt;"",VLOOKUP(I524,Ops!$I$2:'Ops'!$J$15,2,FALSE),IF(ISNUMBER(SEARCH("BR",D524)),"001","000"))&amp;IF(D524&lt;&gt;"",VLOOKUP(D524,Ops!$B$2:'Ops'!$C$23,2,FALSE),"0")&amp;_xlfn.IFS(ISNUMBER(SEARCH("BR",D524)),VLOOKUP(D524,Ops!$B$3:'Ops'!$D$22,3,FALSE),F524&lt;&gt;"",VLOOKUP(F524,Ops!$R$2:'Ops'!$S$11,2),L524&lt;&gt;"",VLOOKUP(L524,Ops!$R$2:'Ops'!$S$25,2,FALSE),TRUE,"0000"),2)</f>
        <v>60</v>
      </c>
      <c r="P524" s="26" t="str">
        <f>RIGHT(IF($E524&lt;&gt;"",_xlfn.XLOOKUP($E524,$C$4:$C$681,$B$4:$B$681,"NO LABEL"),BIN2HEX(IF(N524="CarryEn","1","0")&amp;IF(M524="SubXY","1","0")&amp;IF(H524&lt;&gt;"",VLOOKUP(H524,Ops!$F$2:'Ops'!$G$20,2,FALSE),"000000"),2)),2)</f>
        <v>22</v>
      </c>
      <c r="Q524" s="26" t="str" cm="1">
        <f t="array" ref="Q524">BIN2HEX(_xlfn.IFS(D524="HWINTEN","10",G524="KeyAck","01",G524="InitLp8","01",TRUE,"00")&amp;IF(OR(Ops!$O$2:'Ops'!$O$13=K524),VLOOKUP(K524,Ops!$O$2:'Ops'!$P$13,2,FALSE),"000")&amp;IF(E524&lt;&gt;"",IF(LEN(_xlfn.XLOOKUP($E524,$C$5:$C$681,$B$5:$B$681,0))=3,HEX2BIN(LEFT(_xlfn.XLOOKUP($E524,$C$5:$C$681,$B$5:$B$681,0),1),3),IF(OR(Ops!$L$2:'Ops'!$L$11=J524),VLOOKUP(J524,Ops!$L$2:'Ops'!$M$11,2,FALSE),"000")),IF(OR(Ops!$L$2:'Ops'!$L$11=J524),VLOOKUP(J524,Ops!$L$2:'Ops'!$M$11,2,FALSE),"000")),2)</f>
        <v>00</v>
      </c>
      <c r="R524" s="27"/>
      <c r="S524" s="4" t="s">
        <v>622</v>
      </c>
      <c r="Z524" s="74" t="str">
        <f t="shared" si="155"/>
        <v>0x60,</v>
      </c>
      <c r="AA524" s="75" t="str">
        <f t="shared" si="156"/>
        <v>0x22,</v>
      </c>
      <c r="AB524" s="75" t="str">
        <f t="shared" si="157"/>
        <v>0x00,</v>
      </c>
      <c r="AC524" s="76"/>
    </row>
    <row r="525" spans="1:29" x14ac:dyDescent="0.3">
      <c r="A525" s="79">
        <f t="shared" si="153"/>
        <v>1581</v>
      </c>
      <c r="B525" s="80" t="str">
        <f>DEC2HEX(A525)</f>
        <v>62D</v>
      </c>
      <c r="D525" s="29"/>
      <c r="F525" s="29"/>
      <c r="G525" s="24"/>
      <c r="H525" s="37"/>
      <c r="J525" s="4" t="s">
        <v>314</v>
      </c>
      <c r="L525" s="4" t="s">
        <v>180</v>
      </c>
      <c r="M525" s="14"/>
      <c r="O525" s="25" t="str" cm="1">
        <f t="array" ref="O525">BIN2HEX(IF(I525&lt;&gt;"",VLOOKUP(I525,Ops!$I$2:'Ops'!$J$15,2,FALSE),IF(ISNUMBER(SEARCH("BR",D525)),"001","000"))&amp;IF(D525&lt;&gt;"",VLOOKUP(D525,Ops!$B$2:'Ops'!$C$23,2,FALSE),"0")&amp;_xlfn.IFS(ISNUMBER(SEARCH("BR",D525)),VLOOKUP(D525,Ops!$B$3:'Ops'!$D$22,3,FALSE),F525&lt;&gt;"",VLOOKUP(F525,Ops!$R$2:'Ops'!$S$11,2),L525&lt;&gt;"",VLOOKUP(L525,Ops!$R$2:'Ops'!$S$25,2,FALSE),TRUE,"0000"),2)</f>
        <v>01</v>
      </c>
      <c r="P525" s="26" t="str">
        <f>RIGHT(IF($E525&lt;&gt;"",_xlfn.XLOOKUP($E525,$C$4:$C$681,$B$4:$B$681,"NO LABEL"),BIN2HEX(IF(N525="CarryEn","1","0")&amp;IF(M525="SubXY","1","0")&amp;IF(H525&lt;&gt;"",VLOOKUP(H525,Ops!$F$2:'Ops'!$G$20,2,FALSE),"000000"),2)),2)</f>
        <v>00</v>
      </c>
      <c r="Q525" s="26" t="str" cm="1">
        <f t="array" ref="Q525">BIN2HEX(_xlfn.IFS(D525="HWINTEN","10",G525="KeyAck","01",G525="InitLp8","01",TRUE,"00")&amp;IF(OR(Ops!$O$2:'Ops'!$O$13=K525),VLOOKUP(K525,Ops!$O$2:'Ops'!$P$13,2,FALSE),"000")&amp;IF(E525&lt;&gt;"",IF(LEN(_xlfn.XLOOKUP($E525,$C$5:$C$681,$B$5:$B$681,0))=3,HEX2BIN(LEFT(_xlfn.XLOOKUP($E525,$C$5:$C$681,$B$5:$B$681,0),1),3),IF(OR(Ops!$L$2:'Ops'!$L$11=J525),VLOOKUP(J525,Ops!$L$2:'Ops'!$M$11,2,FALSE),"000")),IF(OR(Ops!$L$2:'Ops'!$L$11=J525),VLOOKUP(J525,Ops!$L$2:'Ops'!$M$11,2,FALSE),"000")),2)</f>
        <v>06</v>
      </c>
      <c r="R525" s="27"/>
      <c r="Z525" s="74" t="str">
        <f t="shared" si="155"/>
        <v>0x01,</v>
      </c>
      <c r="AA525" s="75" t="str">
        <f t="shared" si="156"/>
        <v>0x00,</v>
      </c>
      <c r="AB525" s="75" t="str">
        <f t="shared" si="157"/>
        <v>0x06,</v>
      </c>
      <c r="AC525" s="76"/>
    </row>
    <row r="526" spans="1:29" x14ac:dyDescent="0.3">
      <c r="A526" s="79">
        <f t="shared" si="153"/>
        <v>1584</v>
      </c>
      <c r="B526" s="80" t="str">
        <f t="shared" si="158"/>
        <v>630</v>
      </c>
      <c r="D526" s="29" t="s">
        <v>0</v>
      </c>
      <c r="E526" s="4" t="s">
        <v>154</v>
      </c>
      <c r="F526" s="29"/>
      <c r="G526" s="24"/>
      <c r="H526" s="29"/>
      <c r="M526" s="14"/>
      <c r="O526" s="25" t="str" cm="1">
        <f t="array" ref="O526">BIN2HEX(IF(I526&lt;&gt;"",VLOOKUP(I526,Ops!$I$2:'Ops'!$J$15,2,FALSE),IF(ISNUMBER(SEARCH("BR",D526)),"001","000"))&amp;IF(D526&lt;&gt;"",VLOOKUP(D526,Ops!$B$2:'Ops'!$C$23,2,FALSE),"0")&amp;_xlfn.IFS(ISNUMBER(SEARCH("BR",D526)),VLOOKUP(D526,Ops!$B$3:'Ops'!$D$22,3,FALSE),F526&lt;&gt;"",VLOOKUP(F526,Ops!$R$2:'Ops'!$S$11,2),L526&lt;&gt;"",VLOOKUP(L526,Ops!$R$2:'Ops'!$S$25,2,FALSE),TRUE,"0000"),2)</f>
        <v>10</v>
      </c>
      <c r="P526" s="26" t="str">
        <f>RIGHT(IF($E526&lt;&gt;"",_xlfn.XLOOKUP($E526,$C$4:$C$681,$B$4:$B$681,"NO LABEL"),BIN2HEX(IF(N526="CarryEn","1","0")&amp;IF(M526="SubXY","1","0")&amp;IF(H526&lt;&gt;"",VLOOKUP(H526,Ops!$F$2:'Ops'!$G$20,2,FALSE),"000000"),2)),2)</f>
        <v>27</v>
      </c>
      <c r="Q526" s="26" t="str" cm="1">
        <f t="array" ref="Q526">BIN2HEX(_xlfn.IFS(D526="HWINTEN","10",G526="KeyAck","01",G526="InitLp8","01",TRUE,"00")&amp;IF(OR(Ops!$O$2:'Ops'!$O$13=K526),VLOOKUP(K526,Ops!$O$2:'Ops'!$P$13,2,FALSE),"000")&amp;IF(E526&lt;&gt;"",IF(LEN(_xlfn.XLOOKUP($E526,$C$5:$C$681,$B$5:$B$681,0))=3,HEX2BIN(LEFT(_xlfn.XLOOKUP($E526,$C$5:$C$681,$B$5:$B$681,0),1),3),IF(OR(Ops!$L$2:'Ops'!$L$11=J526),VLOOKUP(J526,Ops!$L$2:'Ops'!$M$11,2,FALSE),"000")),IF(OR(Ops!$L$2:'Ops'!$L$11=J526),VLOOKUP(J526,Ops!$L$2:'Ops'!$M$11,2,FALSE),"000")),2)</f>
        <v>06</v>
      </c>
      <c r="R526" s="27"/>
      <c r="Z526" s="74" t="str">
        <f t="shared" si="155"/>
        <v>0x10,</v>
      </c>
      <c r="AA526" s="75" t="str">
        <f t="shared" si="156"/>
        <v>0x27,</v>
      </c>
      <c r="AB526" s="75" t="str">
        <f t="shared" si="157"/>
        <v>0x06,</v>
      </c>
      <c r="AC526" s="76"/>
    </row>
    <row r="527" spans="1:29" x14ac:dyDescent="0.3">
      <c r="A527" s="79">
        <f t="shared" si="153"/>
        <v>1587</v>
      </c>
      <c r="B527" s="80" t="str">
        <f t="shared" ref="B527:B556" si="159">DEC2HEX(A527)</f>
        <v>633</v>
      </c>
      <c r="C527" s="4" t="s">
        <v>624</v>
      </c>
      <c r="D527" s="29"/>
      <c r="F527" s="29"/>
      <c r="G527" s="24"/>
      <c r="H527" s="29" t="s">
        <v>62</v>
      </c>
      <c r="I527" s="4" t="s">
        <v>482</v>
      </c>
      <c r="J527" s="4" t="s">
        <v>63</v>
      </c>
      <c r="K527" s="4" t="s">
        <v>470</v>
      </c>
      <c r="M527" s="14" t="s">
        <v>69</v>
      </c>
      <c r="O527" s="25" t="str" cm="1">
        <f t="array" ref="O527">BIN2HEX(IF(I527&lt;&gt;"",VLOOKUP(I527,Ops!$I$2:'Ops'!$J$15,2,FALSE),IF(ISNUMBER(SEARCH("BR",D527)),"001","000"))&amp;IF(D527&lt;&gt;"",VLOOKUP(D527,Ops!$B$2:'Ops'!$C$23,2,FALSE),"0")&amp;_xlfn.IFS(ISNUMBER(SEARCH("BR",D527)),VLOOKUP(D527,Ops!$B$3:'Ops'!$D$22,3,FALSE),F527&lt;&gt;"",VLOOKUP(F527,Ops!$R$2:'Ops'!$S$11,2),L527&lt;&gt;"",VLOOKUP(L527,Ops!$R$2:'Ops'!$S$25,2,FALSE),TRUE,"0000"),2)</f>
        <v>00</v>
      </c>
      <c r="P527" s="26" t="str">
        <f>RIGHT(IF($E527&lt;&gt;"",_xlfn.XLOOKUP($E527,$C$4:$C$681,$B$4:$B$681,"NO LABEL"),BIN2HEX(IF(N527="CarryEn","1","0")&amp;IF(M527="SubXY","1","0")&amp;IF(H527&lt;&gt;"",VLOOKUP(H527,Ops!$F$2:'Ops'!$G$20,2,FALSE),"000000"),2)),2)</f>
        <v>45</v>
      </c>
      <c r="Q527" s="26" t="str" cm="1">
        <f t="array" ref="Q527">BIN2HEX(_xlfn.IFS(D527="HWINTEN","10",G527="KeyAck","01",G527="InitLp8","01",TRUE,"00")&amp;IF(OR(Ops!$O$2:'Ops'!$O$13=K527),VLOOKUP(K527,Ops!$O$2:'Ops'!$P$13,2,FALSE),"000")&amp;IF(E527&lt;&gt;"",IF(LEN(_xlfn.XLOOKUP($E527,$C$5:$C$681,$B$5:$B$681,0))=3,HEX2BIN(LEFT(_xlfn.XLOOKUP($E527,$C$5:$C$681,$B$5:$B$681,0),1),3),IF(OR(Ops!$L$2:'Ops'!$L$11=J527),VLOOKUP(J527,Ops!$L$2:'Ops'!$M$11,2,FALSE),"000")),IF(OR(Ops!$L$2:'Ops'!$L$11=J527),VLOOKUP(J527,Ops!$L$2:'Ops'!$M$11,2,FALSE),"000")),2)</f>
        <v>14</v>
      </c>
      <c r="R527" s="27"/>
      <c r="S527" s="4" t="s">
        <v>174</v>
      </c>
      <c r="Z527" s="74" t="str">
        <f t="shared" si="155"/>
        <v>0x00,</v>
      </c>
      <c r="AA527" s="75" t="str">
        <f t="shared" si="156"/>
        <v>0x45,</v>
      </c>
      <c r="AB527" s="75" t="str">
        <f t="shared" si="157"/>
        <v>0x14,</v>
      </c>
      <c r="AC527" s="76"/>
    </row>
    <row r="528" spans="1:29" x14ac:dyDescent="0.3">
      <c r="A528" s="79">
        <f>A527+3</f>
        <v>1590</v>
      </c>
      <c r="B528" s="80" t="str">
        <f t="shared" si="159"/>
        <v>636</v>
      </c>
      <c r="D528" s="29"/>
      <c r="F528" s="29"/>
      <c r="G528" s="24"/>
      <c r="H528" s="29" t="s">
        <v>62</v>
      </c>
      <c r="I528" s="4" t="s">
        <v>482</v>
      </c>
      <c r="J528" s="4" t="s">
        <v>63</v>
      </c>
      <c r="K528" s="4" t="s">
        <v>470</v>
      </c>
      <c r="M528" s="14" t="s">
        <v>69</v>
      </c>
      <c r="N528" s="4" t="s">
        <v>41</v>
      </c>
      <c r="O528" s="25" t="str" cm="1">
        <f t="array" ref="O528">BIN2HEX(IF(I528&lt;&gt;"",VLOOKUP(I528,Ops!$I$2:'Ops'!$J$15,2,FALSE),IF(ISNUMBER(SEARCH("BR",D528)),"001","000"))&amp;IF(D528&lt;&gt;"",VLOOKUP(D528,Ops!$B$2:'Ops'!$C$23,2,FALSE),"0")&amp;_xlfn.IFS(ISNUMBER(SEARCH("BR",D528)),VLOOKUP(D528,Ops!$B$3:'Ops'!$D$22,3,FALSE),F528&lt;&gt;"",VLOOKUP(F528,Ops!$R$2:'Ops'!$S$11,2),L528&lt;&gt;"",VLOOKUP(L528,Ops!$R$2:'Ops'!$S$25,2,FALSE),TRUE,"0000"),2)</f>
        <v>00</v>
      </c>
      <c r="P528" s="26" t="str">
        <f>RIGHT(IF($E528&lt;&gt;"",_xlfn.XLOOKUP($E528,$C$4:$C$681,$B$4:$B$681,"NO LABEL"),BIN2HEX(IF(N528="CarryEn","1","0")&amp;IF(M528="SubXY","1","0")&amp;IF(H528&lt;&gt;"",VLOOKUP(H528,Ops!$F$2:'Ops'!$G$20,2,FALSE),"000000"),2)),2)</f>
        <v>C5</v>
      </c>
      <c r="Q528" s="26" t="str" cm="1">
        <f t="array" ref="Q528">BIN2HEX(_xlfn.IFS(D528="HWINTEN","10",G528="KeyAck","01",G528="InitLp8","01",TRUE,"00")&amp;IF(OR(Ops!$O$2:'Ops'!$O$13=K528),VLOOKUP(K528,Ops!$O$2:'Ops'!$P$13,2,FALSE),"000")&amp;IF(E528&lt;&gt;"",IF(LEN(_xlfn.XLOOKUP($E528,$C$5:$C$681,$B$5:$B$681,0))=3,HEX2BIN(LEFT(_xlfn.XLOOKUP($E528,$C$5:$C$681,$B$5:$B$681,0),1),3),IF(OR(Ops!$L$2:'Ops'!$L$11=J528),VLOOKUP(J528,Ops!$L$2:'Ops'!$M$11,2,FALSE),"000")),IF(OR(Ops!$L$2:'Ops'!$L$11=J528),VLOOKUP(J528,Ops!$L$2:'Ops'!$M$11,2,FALSE),"000")),2)</f>
        <v>14</v>
      </c>
      <c r="R528" s="27"/>
      <c r="Z528" s="74" t="str">
        <f t="shared" si="155"/>
        <v>0x00,</v>
      </c>
      <c r="AA528" s="75" t="str">
        <f t="shared" si="156"/>
        <v>0xC5,</v>
      </c>
      <c r="AB528" s="75" t="str">
        <f t="shared" si="157"/>
        <v>0x14,</v>
      </c>
      <c r="AC528" s="76"/>
    </row>
    <row r="529" spans="1:29" x14ac:dyDescent="0.3">
      <c r="A529" s="79">
        <f t="shared" si="153"/>
        <v>1593</v>
      </c>
      <c r="B529" s="80" t="str">
        <f t="shared" si="159"/>
        <v>639</v>
      </c>
      <c r="D529" s="29"/>
      <c r="F529" s="29"/>
      <c r="G529" s="24"/>
      <c r="H529" s="29" t="s">
        <v>62</v>
      </c>
      <c r="I529" s="4" t="s">
        <v>482</v>
      </c>
      <c r="J529" s="4" t="s">
        <v>63</v>
      </c>
      <c r="K529" s="4" t="s">
        <v>470</v>
      </c>
      <c r="M529" s="14" t="s">
        <v>69</v>
      </c>
      <c r="N529" s="4" t="s">
        <v>41</v>
      </c>
      <c r="O529" s="25" t="str" cm="1">
        <f t="array" ref="O529">BIN2HEX(IF(I529&lt;&gt;"",VLOOKUP(I529,Ops!$I$2:'Ops'!$J$15,2,FALSE),IF(ISNUMBER(SEARCH("BR",D529)),"001","000"))&amp;IF(D529&lt;&gt;"",VLOOKUP(D529,Ops!$B$2:'Ops'!$C$23,2,FALSE),"0")&amp;_xlfn.IFS(ISNUMBER(SEARCH("BR",D529)),VLOOKUP(D529,Ops!$B$3:'Ops'!$D$22,3,FALSE),F529&lt;&gt;"",VLOOKUP(F529,Ops!$R$2:'Ops'!$S$11,2),L529&lt;&gt;"",VLOOKUP(L529,Ops!$R$2:'Ops'!$S$25,2,FALSE),TRUE,"0000"),2)</f>
        <v>00</v>
      </c>
      <c r="P529" s="26" t="str">
        <f>RIGHT(IF($E529&lt;&gt;"",_xlfn.XLOOKUP($E529,$C$4:$C$681,$B$4:$B$681,"NO LABEL"),BIN2HEX(IF(N529="CarryEn","1","0")&amp;IF(M529="SubXY","1","0")&amp;IF(H529&lt;&gt;"",VLOOKUP(H529,Ops!$F$2:'Ops'!$G$20,2,FALSE),"000000"),2)),2)</f>
        <v>C5</v>
      </c>
      <c r="Q529" s="26" t="str" cm="1">
        <f t="array" ref="Q529">BIN2HEX(_xlfn.IFS(D529="HWINTEN","10",G529="KeyAck","01",G529="InitLp8","01",TRUE,"00")&amp;IF(OR(Ops!$O$2:'Ops'!$O$13=K529),VLOOKUP(K529,Ops!$O$2:'Ops'!$P$13,2,FALSE),"000")&amp;IF(E529&lt;&gt;"",IF(LEN(_xlfn.XLOOKUP($E529,$C$5:$C$681,$B$5:$B$681,0))=3,HEX2BIN(LEFT(_xlfn.XLOOKUP($E529,$C$5:$C$681,$B$5:$B$681,0),1),3),IF(OR(Ops!$L$2:'Ops'!$L$11=J529),VLOOKUP(J529,Ops!$L$2:'Ops'!$M$11,2,FALSE),"000")),IF(OR(Ops!$L$2:'Ops'!$L$11=J529),VLOOKUP(J529,Ops!$L$2:'Ops'!$M$11,2,FALSE),"000")),2)</f>
        <v>14</v>
      </c>
      <c r="R529" s="27"/>
      <c r="Z529" s="74" t="str">
        <f t="shared" si="155"/>
        <v>0x00,</v>
      </c>
      <c r="AA529" s="75" t="str">
        <f t="shared" si="156"/>
        <v>0xC5,</v>
      </c>
      <c r="AB529" s="75" t="str">
        <f t="shared" si="157"/>
        <v>0x14,</v>
      </c>
      <c r="AC529" s="76"/>
    </row>
    <row r="530" spans="1:29" x14ac:dyDescent="0.3">
      <c r="A530" s="79">
        <f t="shared" si="153"/>
        <v>1596</v>
      </c>
      <c r="B530" s="80" t="str">
        <f t="shared" si="159"/>
        <v>63C</v>
      </c>
      <c r="D530" s="29"/>
      <c r="F530" s="29"/>
      <c r="G530" s="24"/>
      <c r="H530" s="29" t="s">
        <v>62</v>
      </c>
      <c r="I530" s="4" t="s">
        <v>482</v>
      </c>
      <c r="J530" s="4" t="s">
        <v>63</v>
      </c>
      <c r="K530" s="4" t="s">
        <v>470</v>
      </c>
      <c r="M530" s="14" t="s">
        <v>69</v>
      </c>
      <c r="N530" s="4" t="s">
        <v>41</v>
      </c>
      <c r="O530" s="25" t="str" cm="1">
        <f t="array" ref="O530">BIN2HEX(IF(I530&lt;&gt;"",VLOOKUP(I530,Ops!$I$2:'Ops'!$J$15,2,FALSE),IF(ISNUMBER(SEARCH("BR",D530)),"001","000"))&amp;IF(D530&lt;&gt;"",VLOOKUP(D530,Ops!$B$2:'Ops'!$C$23,2,FALSE),"0")&amp;_xlfn.IFS(ISNUMBER(SEARCH("BR",D530)),VLOOKUP(D530,Ops!$B$3:'Ops'!$D$22,3,FALSE),F530&lt;&gt;"",VLOOKUP(F530,Ops!$R$2:'Ops'!$S$11,2),L530&lt;&gt;"",VLOOKUP(L530,Ops!$R$2:'Ops'!$S$25,2,FALSE),TRUE,"0000"),2)</f>
        <v>00</v>
      </c>
      <c r="P530" s="26" t="str">
        <f>RIGHT(IF($E530&lt;&gt;"",_xlfn.XLOOKUP($E530,$C$4:$C$681,$B$4:$B$681,"NO LABEL"),BIN2HEX(IF(N530="CarryEn","1","0")&amp;IF(M530="SubXY","1","0")&amp;IF(H530&lt;&gt;"",VLOOKUP(H530,Ops!$F$2:'Ops'!$G$20,2,FALSE),"000000"),2)),2)</f>
        <v>C5</v>
      </c>
      <c r="Q530" s="26" t="str" cm="1">
        <f t="array" ref="Q530">BIN2HEX(_xlfn.IFS(D530="HWINTEN","10",G530="KeyAck","01",G530="InitLp8","01",TRUE,"00")&amp;IF(OR(Ops!$O$2:'Ops'!$O$13=K530),VLOOKUP(K530,Ops!$O$2:'Ops'!$P$13,2,FALSE),"000")&amp;IF(E530&lt;&gt;"",IF(LEN(_xlfn.XLOOKUP($E530,$C$5:$C$681,$B$5:$B$681,0))=3,HEX2BIN(LEFT(_xlfn.XLOOKUP($E530,$C$5:$C$681,$B$5:$B$681,0),1),3),IF(OR(Ops!$L$2:'Ops'!$L$11=J530),VLOOKUP(J530,Ops!$L$2:'Ops'!$M$11,2,FALSE),"000")),IF(OR(Ops!$L$2:'Ops'!$L$11=J530),VLOOKUP(J530,Ops!$L$2:'Ops'!$M$11,2,FALSE),"000")),2)</f>
        <v>14</v>
      </c>
      <c r="R530" s="27"/>
      <c r="Z530" s="74" t="str">
        <f t="shared" si="155"/>
        <v>0x00,</v>
      </c>
      <c r="AA530" s="75" t="str">
        <f t="shared" si="156"/>
        <v>0xC5,</v>
      </c>
      <c r="AB530" s="75" t="str">
        <f t="shared" si="157"/>
        <v>0x14,</v>
      </c>
      <c r="AC530" s="76"/>
    </row>
    <row r="531" spans="1:29" x14ac:dyDescent="0.3">
      <c r="A531" s="79">
        <f t="shared" si="153"/>
        <v>1599</v>
      </c>
      <c r="B531" s="80" t="str">
        <f t="shared" si="159"/>
        <v>63F</v>
      </c>
      <c r="D531" s="29"/>
      <c r="F531" s="29"/>
      <c r="G531" s="24"/>
      <c r="H531" s="29" t="s">
        <v>62</v>
      </c>
      <c r="I531" s="4" t="s">
        <v>482</v>
      </c>
      <c r="J531" s="4" t="s">
        <v>63</v>
      </c>
      <c r="K531" s="4" t="s">
        <v>470</v>
      </c>
      <c r="M531" s="14" t="s">
        <v>69</v>
      </c>
      <c r="N531" s="4" t="s">
        <v>41</v>
      </c>
      <c r="O531" s="25" t="str" cm="1">
        <f t="array" ref="O531">BIN2HEX(IF(I531&lt;&gt;"",VLOOKUP(I531,Ops!$I$2:'Ops'!$J$15,2,FALSE),IF(ISNUMBER(SEARCH("BR",D531)),"001","000"))&amp;IF(D531&lt;&gt;"",VLOOKUP(D531,Ops!$B$2:'Ops'!$C$23,2,FALSE),"0")&amp;_xlfn.IFS(ISNUMBER(SEARCH("BR",D531)),VLOOKUP(D531,Ops!$B$3:'Ops'!$D$22,3,FALSE),F531&lt;&gt;"",VLOOKUP(F531,Ops!$R$2:'Ops'!$S$11,2),L531&lt;&gt;"",VLOOKUP(L531,Ops!$R$2:'Ops'!$S$25,2,FALSE),TRUE,"0000"),2)</f>
        <v>00</v>
      </c>
      <c r="P531" s="26" t="str">
        <f>RIGHT(IF($E531&lt;&gt;"",_xlfn.XLOOKUP($E531,$C$4:$C$681,$B$4:$B$681,"NO LABEL"),BIN2HEX(IF(N531="CarryEn","1","0")&amp;IF(M531="SubXY","1","0")&amp;IF(H531&lt;&gt;"",VLOOKUP(H531,Ops!$F$2:'Ops'!$G$20,2,FALSE),"000000"),2)),2)</f>
        <v>C5</v>
      </c>
      <c r="Q531" s="26" t="str" cm="1">
        <f t="array" ref="Q531">BIN2HEX(_xlfn.IFS(D531="HWINTEN","10",G531="KeyAck","01",G531="InitLp8","01",TRUE,"00")&amp;IF(OR(Ops!$O$2:'Ops'!$O$13=K531),VLOOKUP(K531,Ops!$O$2:'Ops'!$P$13,2,FALSE),"000")&amp;IF(E531&lt;&gt;"",IF(LEN(_xlfn.XLOOKUP($E531,$C$5:$C$681,$B$5:$B$681,0))=3,HEX2BIN(LEFT(_xlfn.XLOOKUP($E531,$C$5:$C$681,$B$5:$B$681,0),1),3),IF(OR(Ops!$L$2:'Ops'!$L$11=J531),VLOOKUP(J531,Ops!$L$2:'Ops'!$M$11,2,FALSE),"000")),IF(OR(Ops!$L$2:'Ops'!$L$11=J531),VLOOKUP(J531,Ops!$L$2:'Ops'!$M$11,2,FALSE),"000")),2)</f>
        <v>14</v>
      </c>
      <c r="R531" s="27"/>
      <c r="Z531" s="74" t="str">
        <f t="shared" si="155"/>
        <v>0x00,</v>
      </c>
      <c r="AA531" s="75" t="str">
        <f t="shared" si="156"/>
        <v>0xC5,</v>
      </c>
      <c r="AB531" s="75" t="str">
        <f t="shared" si="157"/>
        <v>0x14,</v>
      </c>
      <c r="AC531" s="76"/>
    </row>
    <row r="532" spans="1:29" x14ac:dyDescent="0.3">
      <c r="A532" s="79">
        <f t="shared" si="153"/>
        <v>1602</v>
      </c>
      <c r="B532" s="80" t="str">
        <f t="shared" si="159"/>
        <v>642</v>
      </c>
      <c r="D532" s="29"/>
      <c r="F532" s="29"/>
      <c r="G532" s="24"/>
      <c r="H532" s="29" t="s">
        <v>62</v>
      </c>
      <c r="I532" s="4" t="s">
        <v>482</v>
      </c>
      <c r="J532" s="4" t="s">
        <v>63</v>
      </c>
      <c r="K532" s="4" t="s">
        <v>470</v>
      </c>
      <c r="M532" s="14" t="s">
        <v>69</v>
      </c>
      <c r="N532" s="4" t="s">
        <v>41</v>
      </c>
      <c r="O532" s="25" t="str" cm="1">
        <f t="array" ref="O532">BIN2HEX(IF(I532&lt;&gt;"",VLOOKUP(I532,Ops!$I$2:'Ops'!$J$15,2,FALSE),IF(ISNUMBER(SEARCH("BR",D532)),"001","000"))&amp;IF(D532&lt;&gt;"",VLOOKUP(D532,Ops!$B$2:'Ops'!$C$23,2,FALSE),"0")&amp;_xlfn.IFS(ISNUMBER(SEARCH("BR",D532)),VLOOKUP(D532,Ops!$B$3:'Ops'!$D$22,3,FALSE),F532&lt;&gt;"",VLOOKUP(F532,Ops!$R$2:'Ops'!$S$11,2),L532&lt;&gt;"",VLOOKUP(L532,Ops!$R$2:'Ops'!$S$25,2,FALSE),TRUE,"0000"),2)</f>
        <v>00</v>
      </c>
      <c r="P532" s="26" t="str">
        <f>RIGHT(IF($E532&lt;&gt;"",_xlfn.XLOOKUP($E532,$C$4:$C$681,$B$4:$B$681,"NO LABEL"),BIN2HEX(IF(N532="CarryEn","1","0")&amp;IF(M532="SubXY","1","0")&amp;IF(H532&lt;&gt;"",VLOOKUP(H532,Ops!$F$2:'Ops'!$G$20,2,FALSE),"000000"),2)),2)</f>
        <v>C5</v>
      </c>
      <c r="Q532" s="26" t="str" cm="1">
        <f t="array" ref="Q532">BIN2HEX(_xlfn.IFS(D532="HWINTEN","10",G532="KeyAck","01",G532="InitLp8","01",TRUE,"00")&amp;IF(OR(Ops!$O$2:'Ops'!$O$13=K532),VLOOKUP(K532,Ops!$O$2:'Ops'!$P$13,2,FALSE),"000")&amp;IF(E532&lt;&gt;"",IF(LEN(_xlfn.XLOOKUP($E532,$C$5:$C$681,$B$5:$B$681,0))=3,HEX2BIN(LEFT(_xlfn.XLOOKUP($E532,$C$5:$C$681,$B$5:$B$681,0),1),3),IF(OR(Ops!$L$2:'Ops'!$L$11=J532),VLOOKUP(J532,Ops!$L$2:'Ops'!$M$11,2,FALSE),"000")),IF(OR(Ops!$L$2:'Ops'!$L$11=J532),VLOOKUP(J532,Ops!$L$2:'Ops'!$M$11,2,FALSE),"000")),2)</f>
        <v>14</v>
      </c>
      <c r="R532" s="27"/>
      <c r="Z532" s="74" t="str">
        <f t="shared" si="155"/>
        <v>0x00,</v>
      </c>
      <c r="AA532" s="75" t="str">
        <f t="shared" si="156"/>
        <v>0xC5,</v>
      </c>
      <c r="AB532" s="75" t="str">
        <f t="shared" si="157"/>
        <v>0x14,</v>
      </c>
      <c r="AC532" s="76"/>
    </row>
    <row r="533" spans="1:29" x14ac:dyDescent="0.3">
      <c r="A533" s="79">
        <f t="shared" si="153"/>
        <v>1605</v>
      </c>
      <c r="B533" s="80" t="str">
        <f t="shared" si="159"/>
        <v>645</v>
      </c>
      <c r="D533" s="29"/>
      <c r="F533" s="29"/>
      <c r="G533" s="24"/>
      <c r="H533" s="29" t="s">
        <v>62</v>
      </c>
      <c r="I533" s="4" t="s">
        <v>482</v>
      </c>
      <c r="J533" s="4" t="s">
        <v>63</v>
      </c>
      <c r="K533" s="4" t="s">
        <v>470</v>
      </c>
      <c r="M533" s="14" t="s">
        <v>69</v>
      </c>
      <c r="N533" s="4" t="s">
        <v>41</v>
      </c>
      <c r="O533" s="25" t="str" cm="1">
        <f t="array" ref="O533">BIN2HEX(IF(I533&lt;&gt;"",VLOOKUP(I533,Ops!$I$2:'Ops'!$J$15,2,FALSE),IF(ISNUMBER(SEARCH("BR",D533)),"001","000"))&amp;IF(D533&lt;&gt;"",VLOOKUP(D533,Ops!$B$2:'Ops'!$C$23,2,FALSE),"0")&amp;_xlfn.IFS(ISNUMBER(SEARCH("BR",D533)),VLOOKUP(D533,Ops!$B$3:'Ops'!$D$22,3,FALSE),F533&lt;&gt;"",VLOOKUP(F533,Ops!$R$2:'Ops'!$S$11,2),L533&lt;&gt;"",VLOOKUP(L533,Ops!$R$2:'Ops'!$S$25,2,FALSE),TRUE,"0000"),2)</f>
        <v>00</v>
      </c>
      <c r="P533" s="26" t="str">
        <f>RIGHT(IF($E533&lt;&gt;"",_xlfn.XLOOKUP($E533,$C$4:$C$681,$B$4:$B$681,"NO LABEL"),BIN2HEX(IF(N533="CarryEn","1","0")&amp;IF(M533="SubXY","1","0")&amp;IF(H533&lt;&gt;"",VLOOKUP(H533,Ops!$F$2:'Ops'!$G$20,2,FALSE),"000000"),2)),2)</f>
        <v>C5</v>
      </c>
      <c r="Q533" s="26" t="str" cm="1">
        <f t="array" ref="Q533">BIN2HEX(_xlfn.IFS(D533="HWINTEN","10",G533="KeyAck","01",G533="InitLp8","01",TRUE,"00")&amp;IF(OR(Ops!$O$2:'Ops'!$O$13=K533),VLOOKUP(K533,Ops!$O$2:'Ops'!$P$13,2,FALSE),"000")&amp;IF(E533&lt;&gt;"",IF(LEN(_xlfn.XLOOKUP($E533,$C$5:$C$681,$B$5:$B$681,0))=3,HEX2BIN(LEFT(_xlfn.XLOOKUP($E533,$C$5:$C$681,$B$5:$B$681,0),1),3),IF(OR(Ops!$L$2:'Ops'!$L$11=J533),VLOOKUP(J533,Ops!$L$2:'Ops'!$M$11,2,FALSE),"000")),IF(OR(Ops!$L$2:'Ops'!$L$11=J533),VLOOKUP(J533,Ops!$L$2:'Ops'!$M$11,2,FALSE),"000")),2)</f>
        <v>14</v>
      </c>
      <c r="R533" s="27"/>
      <c r="Z533" s="74" t="str">
        <f t="shared" si="155"/>
        <v>0x00,</v>
      </c>
      <c r="AA533" s="75" t="str">
        <f t="shared" si="156"/>
        <v>0xC5,</v>
      </c>
      <c r="AB533" s="75" t="str">
        <f t="shared" si="157"/>
        <v>0x14,</v>
      </c>
      <c r="AC533" s="76"/>
    </row>
    <row r="534" spans="1:29" x14ac:dyDescent="0.3">
      <c r="A534" s="79">
        <f t="shared" si="153"/>
        <v>1608</v>
      </c>
      <c r="B534" s="80" t="str">
        <f t="shared" si="159"/>
        <v>648</v>
      </c>
      <c r="D534" s="29"/>
      <c r="F534" s="29"/>
      <c r="G534" s="24"/>
      <c r="H534" s="29" t="s">
        <v>62</v>
      </c>
      <c r="I534" s="4" t="s">
        <v>482</v>
      </c>
      <c r="J534" s="4" t="s">
        <v>63</v>
      </c>
      <c r="K534" s="4" t="s">
        <v>470</v>
      </c>
      <c r="M534" s="14" t="s">
        <v>69</v>
      </c>
      <c r="N534" s="4" t="s">
        <v>41</v>
      </c>
      <c r="O534" s="25" t="str" cm="1">
        <f t="array" ref="O534">BIN2HEX(IF(I534&lt;&gt;"",VLOOKUP(I534,Ops!$I$2:'Ops'!$J$15,2,FALSE),IF(ISNUMBER(SEARCH("BR",D534)),"001","000"))&amp;IF(D534&lt;&gt;"",VLOOKUP(D534,Ops!$B$2:'Ops'!$C$23,2,FALSE),"0")&amp;_xlfn.IFS(ISNUMBER(SEARCH("BR",D534)),VLOOKUP(D534,Ops!$B$3:'Ops'!$D$22,3,FALSE),F534&lt;&gt;"",VLOOKUP(F534,Ops!$R$2:'Ops'!$S$11,2),L534&lt;&gt;"",VLOOKUP(L534,Ops!$R$2:'Ops'!$S$25,2,FALSE),TRUE,"0000"),2)</f>
        <v>00</v>
      </c>
      <c r="P534" s="26" t="str">
        <f>RIGHT(IF($E534&lt;&gt;"",_xlfn.XLOOKUP($E534,$C$4:$C$681,$B$4:$B$681,"NO LABEL"),BIN2HEX(IF(N534="CarryEn","1","0")&amp;IF(M534="SubXY","1","0")&amp;IF(H534&lt;&gt;"",VLOOKUP(H534,Ops!$F$2:'Ops'!$G$20,2,FALSE),"000000"),2)),2)</f>
        <v>C5</v>
      </c>
      <c r="Q534" s="26" t="str" cm="1">
        <f t="array" ref="Q534">BIN2HEX(_xlfn.IFS(D534="HWINTEN","10",G534="KeyAck","01",G534="InitLp8","01",TRUE,"00")&amp;IF(OR(Ops!$O$2:'Ops'!$O$13=K534),VLOOKUP(K534,Ops!$O$2:'Ops'!$P$13,2,FALSE),"000")&amp;IF(E534&lt;&gt;"",IF(LEN(_xlfn.XLOOKUP($E534,$C$5:$C$681,$B$5:$B$681,0))=3,HEX2BIN(LEFT(_xlfn.XLOOKUP($E534,$C$5:$C$681,$B$5:$B$681,0),1),3),IF(OR(Ops!$L$2:'Ops'!$L$11=J534),VLOOKUP(J534,Ops!$L$2:'Ops'!$M$11,2,FALSE),"000")),IF(OR(Ops!$L$2:'Ops'!$L$11=J534),VLOOKUP(J534,Ops!$L$2:'Ops'!$M$11,2,FALSE),"000")),2)</f>
        <v>14</v>
      </c>
      <c r="R534" s="27"/>
      <c r="Z534" s="74" t="str">
        <f t="shared" si="155"/>
        <v>0x00,</v>
      </c>
      <c r="AA534" s="75" t="str">
        <f t="shared" si="156"/>
        <v>0xC5,</v>
      </c>
      <c r="AB534" s="75" t="str">
        <f t="shared" si="157"/>
        <v>0x14,</v>
      </c>
      <c r="AC534" s="76"/>
    </row>
    <row r="535" spans="1:29" x14ac:dyDescent="0.3">
      <c r="A535" s="79">
        <f t="shared" si="153"/>
        <v>1611</v>
      </c>
      <c r="B535" s="80" t="str">
        <f t="shared" si="159"/>
        <v>64B</v>
      </c>
      <c r="D535" s="29" t="s">
        <v>73</v>
      </c>
      <c r="E535" s="4" t="s">
        <v>298</v>
      </c>
      <c r="F535" s="29"/>
      <c r="G535" s="24"/>
      <c r="H535" s="29"/>
      <c r="M535" s="14"/>
      <c r="O535" s="25" t="str" cm="1">
        <f t="array" ref="O535">BIN2HEX(IF(I535&lt;&gt;"",VLOOKUP(I535,Ops!$I$2:'Ops'!$J$15,2,FALSE),IF(ISNUMBER(SEARCH("BR",D535)),"001","000"))&amp;IF(D535&lt;&gt;"",VLOOKUP(D535,Ops!$B$2:'Ops'!$C$23,2,FALSE),"0")&amp;_xlfn.IFS(ISNUMBER(SEARCH("BR",D535)),VLOOKUP(D535,Ops!$B$3:'Ops'!$D$22,3,FALSE),F535&lt;&gt;"",VLOOKUP(F535,Ops!$R$2:'Ops'!$S$11,2),L535&lt;&gt;"",VLOOKUP(L535,Ops!$R$2:'Ops'!$S$25,2,FALSE),TRUE,"0000"),2)</f>
        <v>3C</v>
      </c>
      <c r="P535" s="26" t="str">
        <f>RIGHT(IF($E535&lt;&gt;"",_xlfn.XLOOKUP($E535,$C$4:$C$681,$B$4:$B$681,"NO LABEL"),BIN2HEX(IF(N535="CarryEn","1","0")&amp;IF(M535="SubXY","1","0")&amp;IF(H535&lt;&gt;"",VLOOKUP(H535,Ops!$F$2:'Ops'!$G$20,2,FALSE),"000000"),2)),2)</f>
        <v>51</v>
      </c>
      <c r="Q535" s="26" t="str" cm="1">
        <f t="array" ref="Q535">BIN2HEX(_xlfn.IFS(D535="HWINTEN","10",G535="KeyAck","01",G535="InitLp8","01",TRUE,"00")&amp;IF(OR(Ops!$O$2:'Ops'!$O$13=K535),VLOOKUP(K535,Ops!$O$2:'Ops'!$P$13,2,FALSE),"000")&amp;IF(E535&lt;&gt;"",IF(LEN(_xlfn.XLOOKUP($E535,$C$5:$C$681,$B$5:$B$681,0))=3,HEX2BIN(LEFT(_xlfn.XLOOKUP($E535,$C$5:$C$681,$B$5:$B$681,0),1),3),IF(OR(Ops!$L$2:'Ops'!$L$11=J535),VLOOKUP(J535,Ops!$L$2:'Ops'!$M$11,2,FALSE),"000")),IF(OR(Ops!$L$2:'Ops'!$L$11=J535),VLOOKUP(J535,Ops!$L$2:'Ops'!$M$11,2,FALSE),"000")),2)</f>
        <v>06</v>
      </c>
      <c r="R535" s="27"/>
      <c r="S535" s="4" t="s">
        <v>300</v>
      </c>
      <c r="Z535" s="74" t="str">
        <f t="shared" ref="Z535:Z549" si="160">IF(O535="", "};", "0x"&amp;O535&amp;",")</f>
        <v>0x3C,</v>
      </c>
      <c r="AA535" s="75" t="str">
        <f t="shared" ref="AA535:AA550" si="161">"0x"&amp;P535&amp;","</f>
        <v>0x51,</v>
      </c>
      <c r="AB535" s="75" t="str">
        <f t="shared" ref="AB535:AB550" si="162">"0x"&amp;Q535&amp;","</f>
        <v>0x06,</v>
      </c>
      <c r="AC535" s="76"/>
    </row>
    <row r="536" spans="1:29" x14ac:dyDescent="0.3">
      <c r="A536" s="79">
        <f t="shared" si="153"/>
        <v>1614</v>
      </c>
      <c r="B536" s="80" t="str">
        <f t="shared" si="159"/>
        <v>64E</v>
      </c>
      <c r="D536" s="29" t="s">
        <v>0</v>
      </c>
      <c r="E536" s="4" t="s">
        <v>304</v>
      </c>
      <c r="F536" s="29"/>
      <c r="G536" s="24"/>
      <c r="H536" s="29"/>
      <c r="M536" s="14"/>
      <c r="O536" s="25" t="str" cm="1">
        <f t="array" ref="O536">BIN2HEX(IF(I536&lt;&gt;"",VLOOKUP(I536,Ops!$I$2:'Ops'!$J$15,2,FALSE),IF(ISNUMBER(SEARCH("BR",D536)),"001","000"))&amp;IF(D536&lt;&gt;"",VLOOKUP(D536,Ops!$B$2:'Ops'!$C$23,2,FALSE),"0")&amp;_xlfn.IFS(ISNUMBER(SEARCH("BR",D536)),VLOOKUP(D536,Ops!$B$3:'Ops'!$D$22,3,FALSE),F536&lt;&gt;"",VLOOKUP(F536,Ops!$R$2:'Ops'!$S$11,2),L536&lt;&gt;"",VLOOKUP(L536,Ops!$R$2:'Ops'!$S$25,2,FALSE),TRUE,"0000"),2)</f>
        <v>10</v>
      </c>
      <c r="P536" s="26" t="str">
        <f>RIGHT(IF($E536&lt;&gt;"",_xlfn.XLOOKUP($E536,$C$4:$C$681,$B$4:$B$681,"NO LABEL"),BIN2HEX(IF(N536="CarryEn","1","0")&amp;IF(M536="SubXY","1","0")&amp;IF(H536&lt;&gt;"",VLOOKUP(H536,Ops!$F$2:'Ops'!$G$20,2,FALSE),"000000"),2)),2)</f>
        <v>72</v>
      </c>
      <c r="Q536" s="26" t="str" cm="1">
        <f t="array" ref="Q536">BIN2HEX(_xlfn.IFS(D536="HWINTEN","10",G536="KeyAck","01",G536="InitLp8","01",TRUE,"00")&amp;IF(OR(Ops!$O$2:'Ops'!$O$13=K536),VLOOKUP(K536,Ops!$O$2:'Ops'!$P$13,2,FALSE),"000")&amp;IF(E536&lt;&gt;"",IF(LEN(_xlfn.XLOOKUP($E536,$C$5:$C$681,$B$5:$B$681,0))=3,HEX2BIN(LEFT(_xlfn.XLOOKUP($E536,$C$5:$C$681,$B$5:$B$681,0),1),3),IF(OR(Ops!$L$2:'Ops'!$L$11=J536),VLOOKUP(J536,Ops!$L$2:'Ops'!$M$11,2,FALSE),"000")),IF(OR(Ops!$L$2:'Ops'!$L$11=J536),VLOOKUP(J536,Ops!$L$2:'Ops'!$M$11,2,FALSE),"000")),2)</f>
        <v>06</v>
      </c>
      <c r="R536" s="27"/>
      <c r="Z536" s="74" t="str">
        <f t="shared" si="160"/>
        <v>0x10,</v>
      </c>
      <c r="AA536" s="75" t="str">
        <f t="shared" si="161"/>
        <v>0x72,</v>
      </c>
      <c r="AB536" s="75" t="str">
        <f t="shared" si="162"/>
        <v>0x06,</v>
      </c>
      <c r="AC536" s="76"/>
    </row>
    <row r="537" spans="1:29" x14ac:dyDescent="0.3">
      <c r="A537" s="79">
        <f t="shared" si="153"/>
        <v>1617</v>
      </c>
      <c r="B537" s="80" t="str">
        <f t="shared" si="159"/>
        <v>651</v>
      </c>
      <c r="C537" s="4" t="s">
        <v>298</v>
      </c>
      <c r="D537" s="29"/>
      <c r="F537" s="29"/>
      <c r="G537" s="24"/>
      <c r="H537" s="29" t="s">
        <v>62</v>
      </c>
      <c r="I537" s="4" t="s">
        <v>482</v>
      </c>
      <c r="J537" s="4" t="s">
        <v>63</v>
      </c>
      <c r="K537" s="4" t="s">
        <v>470</v>
      </c>
      <c r="M537" s="14"/>
      <c r="O537" s="25" t="str" cm="1">
        <f t="array" ref="O537">BIN2HEX(IF(I537&lt;&gt;"",VLOOKUP(I537,Ops!$I$2:'Ops'!$J$15,2,FALSE),IF(ISNUMBER(SEARCH("BR",D537)),"001","000"))&amp;IF(D537&lt;&gt;"",VLOOKUP(D537,Ops!$B$2:'Ops'!$C$23,2,FALSE),"0")&amp;_xlfn.IFS(ISNUMBER(SEARCH("BR",D537)),VLOOKUP(D537,Ops!$B$3:'Ops'!$D$22,3,FALSE),F537&lt;&gt;"",VLOOKUP(F537,Ops!$R$2:'Ops'!$S$11,2),L537&lt;&gt;"",VLOOKUP(L537,Ops!$R$2:'Ops'!$S$25,2,FALSE),TRUE,"0000"),2)</f>
        <v>00</v>
      </c>
      <c r="P537" s="26" t="str">
        <f>RIGHT(IF($E537&lt;&gt;"",_xlfn.XLOOKUP($E537,$C$4:$C$681,$B$4:$B$681,"NO LABEL"),BIN2HEX(IF(N537="CarryEn","1","0")&amp;IF(M537="SubXY","1","0")&amp;IF(H537&lt;&gt;"",VLOOKUP(H537,Ops!$F$2:'Ops'!$G$20,2,FALSE),"000000"),2)),2)</f>
        <v>05</v>
      </c>
      <c r="Q537" s="26" t="str" cm="1">
        <f t="array" ref="Q537">BIN2HEX(_xlfn.IFS(D537="HWINTEN","10",G537="KeyAck","01",G537="InitLp8","01",TRUE,"00")&amp;IF(OR(Ops!$O$2:'Ops'!$O$13=K537),VLOOKUP(K537,Ops!$O$2:'Ops'!$P$13,2,FALSE),"000")&amp;IF(E537&lt;&gt;"",IF(LEN(_xlfn.XLOOKUP($E537,$C$5:$C$681,$B$5:$B$681,0))=3,HEX2BIN(LEFT(_xlfn.XLOOKUP($E537,$C$5:$C$681,$B$5:$B$681,0),1),3),IF(OR(Ops!$L$2:'Ops'!$L$11=J537),VLOOKUP(J537,Ops!$L$2:'Ops'!$M$11,2,FALSE),"000")),IF(OR(Ops!$L$2:'Ops'!$L$11=J537),VLOOKUP(J537,Ops!$L$2:'Ops'!$M$11,2,FALSE),"000")),2)</f>
        <v>14</v>
      </c>
      <c r="R537" s="27"/>
      <c r="S537" s="4" t="s">
        <v>301</v>
      </c>
      <c r="Z537" s="74" t="str">
        <f t="shared" si="160"/>
        <v>0x00,</v>
      </c>
      <c r="AA537" s="75" t="str">
        <f t="shared" si="161"/>
        <v>0x05,</v>
      </c>
      <c r="AB537" s="75" t="str">
        <f t="shared" si="162"/>
        <v>0x14,</v>
      </c>
      <c r="AC537" s="76"/>
    </row>
    <row r="538" spans="1:29" x14ac:dyDescent="0.3">
      <c r="A538" s="79">
        <f t="shared" si="153"/>
        <v>1620</v>
      </c>
      <c r="B538" s="80" t="str">
        <f t="shared" si="159"/>
        <v>654</v>
      </c>
      <c r="D538" s="29"/>
      <c r="F538" s="29"/>
      <c r="G538" s="24"/>
      <c r="H538" s="29" t="s">
        <v>62</v>
      </c>
      <c r="I538" s="4" t="s">
        <v>482</v>
      </c>
      <c r="J538" s="4" t="s">
        <v>63</v>
      </c>
      <c r="K538" s="4" t="s">
        <v>470</v>
      </c>
      <c r="M538" s="14"/>
      <c r="N538" s="4" t="s">
        <v>41</v>
      </c>
      <c r="O538" s="25" t="str" cm="1">
        <f t="array" ref="O538">BIN2HEX(IF(I538&lt;&gt;"",VLOOKUP(I538,Ops!$I$2:'Ops'!$J$15,2,FALSE),IF(ISNUMBER(SEARCH("BR",D538)),"001","000"))&amp;IF(D538&lt;&gt;"",VLOOKUP(D538,Ops!$B$2:'Ops'!$C$23,2,FALSE),"0")&amp;_xlfn.IFS(ISNUMBER(SEARCH("BR",D538)),VLOOKUP(D538,Ops!$B$3:'Ops'!$D$22,3,FALSE),F538&lt;&gt;"",VLOOKUP(F538,Ops!$R$2:'Ops'!$S$11,2),L538&lt;&gt;"",VLOOKUP(L538,Ops!$R$2:'Ops'!$S$25,2,FALSE),TRUE,"0000"),2)</f>
        <v>00</v>
      </c>
      <c r="P538" s="26" t="str">
        <f>RIGHT(IF($E538&lt;&gt;"",_xlfn.XLOOKUP($E538,$C$4:$C$681,$B$4:$B$681,"NO LABEL"),BIN2HEX(IF(N538="CarryEn","1","0")&amp;IF(M538="SubXY","1","0")&amp;IF(H538&lt;&gt;"",VLOOKUP(H538,Ops!$F$2:'Ops'!$G$20,2,FALSE),"000000"),2)),2)</f>
        <v>85</v>
      </c>
      <c r="Q538" s="26" t="str" cm="1">
        <f t="array" ref="Q538">BIN2HEX(_xlfn.IFS(D538="HWINTEN","10",G538="KeyAck","01",G538="InitLp8","01",TRUE,"00")&amp;IF(OR(Ops!$O$2:'Ops'!$O$13=K538),VLOOKUP(K538,Ops!$O$2:'Ops'!$P$13,2,FALSE),"000")&amp;IF(E538&lt;&gt;"",IF(LEN(_xlfn.XLOOKUP($E538,$C$5:$C$681,$B$5:$B$681,0))=3,HEX2BIN(LEFT(_xlfn.XLOOKUP($E538,$C$5:$C$681,$B$5:$B$681,0),1),3),IF(OR(Ops!$L$2:'Ops'!$L$11=J538),VLOOKUP(J538,Ops!$L$2:'Ops'!$M$11,2,FALSE),"000")),IF(OR(Ops!$L$2:'Ops'!$L$11=J538),VLOOKUP(J538,Ops!$L$2:'Ops'!$M$11,2,FALSE),"000")),2)</f>
        <v>14</v>
      </c>
      <c r="R538" s="27"/>
      <c r="Z538" s="74" t="str">
        <f t="shared" si="160"/>
        <v>0x00,</v>
      </c>
      <c r="AA538" s="75" t="str">
        <f t="shared" si="161"/>
        <v>0x85,</v>
      </c>
      <c r="AB538" s="75" t="str">
        <f t="shared" si="162"/>
        <v>0x14,</v>
      </c>
      <c r="AC538" s="76"/>
    </row>
    <row r="539" spans="1:29" x14ac:dyDescent="0.3">
      <c r="A539" s="79">
        <f t="shared" si="153"/>
        <v>1623</v>
      </c>
      <c r="B539" s="80" t="str">
        <f t="shared" si="159"/>
        <v>657</v>
      </c>
      <c r="D539" s="29"/>
      <c r="F539" s="29"/>
      <c r="G539" s="24"/>
      <c r="H539" s="29" t="s">
        <v>62</v>
      </c>
      <c r="I539" s="4" t="s">
        <v>482</v>
      </c>
      <c r="J539" s="4" t="s">
        <v>63</v>
      </c>
      <c r="K539" s="4" t="s">
        <v>470</v>
      </c>
      <c r="M539" s="14"/>
      <c r="N539" s="4" t="s">
        <v>41</v>
      </c>
      <c r="O539" s="25" t="str" cm="1">
        <f t="array" ref="O539">BIN2HEX(IF(I539&lt;&gt;"",VLOOKUP(I539,Ops!$I$2:'Ops'!$J$15,2,FALSE),IF(ISNUMBER(SEARCH("BR",D539)),"001","000"))&amp;IF(D539&lt;&gt;"",VLOOKUP(D539,Ops!$B$2:'Ops'!$C$23,2,FALSE),"0")&amp;_xlfn.IFS(ISNUMBER(SEARCH("BR",D539)),VLOOKUP(D539,Ops!$B$3:'Ops'!$D$22,3,FALSE),F539&lt;&gt;"",VLOOKUP(F539,Ops!$R$2:'Ops'!$S$11,2),L539&lt;&gt;"",VLOOKUP(L539,Ops!$R$2:'Ops'!$S$25,2,FALSE),TRUE,"0000"),2)</f>
        <v>00</v>
      </c>
      <c r="P539" s="26" t="str">
        <f>RIGHT(IF($E539&lt;&gt;"",_xlfn.XLOOKUP($E539,$C$4:$C$681,$B$4:$B$681,"NO LABEL"),BIN2HEX(IF(N539="CarryEn","1","0")&amp;IF(M539="SubXY","1","0")&amp;IF(H539&lt;&gt;"",VLOOKUP(H539,Ops!$F$2:'Ops'!$G$20,2,FALSE),"000000"),2)),2)</f>
        <v>85</v>
      </c>
      <c r="Q539" s="26" t="str" cm="1">
        <f t="array" ref="Q539">BIN2HEX(_xlfn.IFS(D539="HWINTEN","10",G539="KeyAck","01",G539="InitLp8","01",TRUE,"00")&amp;IF(OR(Ops!$O$2:'Ops'!$O$13=K539),VLOOKUP(K539,Ops!$O$2:'Ops'!$P$13,2,FALSE),"000")&amp;IF(E539&lt;&gt;"",IF(LEN(_xlfn.XLOOKUP($E539,$C$5:$C$681,$B$5:$B$681,0))=3,HEX2BIN(LEFT(_xlfn.XLOOKUP($E539,$C$5:$C$681,$B$5:$B$681,0),1),3),IF(OR(Ops!$L$2:'Ops'!$L$11=J539),VLOOKUP(J539,Ops!$L$2:'Ops'!$M$11,2,FALSE),"000")),IF(OR(Ops!$L$2:'Ops'!$L$11=J539),VLOOKUP(J539,Ops!$L$2:'Ops'!$M$11,2,FALSE),"000")),2)</f>
        <v>14</v>
      </c>
      <c r="R539" s="27"/>
      <c r="Z539" s="74" t="str">
        <f t="shared" si="160"/>
        <v>0x00,</v>
      </c>
      <c r="AA539" s="75" t="str">
        <f t="shared" si="161"/>
        <v>0x85,</v>
      </c>
      <c r="AB539" s="75" t="str">
        <f t="shared" si="162"/>
        <v>0x14,</v>
      </c>
      <c r="AC539" s="76"/>
    </row>
    <row r="540" spans="1:29" x14ac:dyDescent="0.3">
      <c r="A540" s="79">
        <f t="shared" si="153"/>
        <v>1626</v>
      </c>
      <c r="B540" s="80" t="str">
        <f t="shared" si="159"/>
        <v>65A</v>
      </c>
      <c r="D540" s="29"/>
      <c r="F540" s="29"/>
      <c r="G540" s="24"/>
      <c r="H540" s="29" t="s">
        <v>62</v>
      </c>
      <c r="I540" s="4" t="s">
        <v>482</v>
      </c>
      <c r="J540" s="4" t="s">
        <v>63</v>
      </c>
      <c r="K540" s="4" t="s">
        <v>470</v>
      </c>
      <c r="M540" s="14"/>
      <c r="N540" s="4" t="s">
        <v>41</v>
      </c>
      <c r="O540" s="25" t="str" cm="1">
        <f t="array" ref="O540">BIN2HEX(IF(I540&lt;&gt;"",VLOOKUP(I540,Ops!$I$2:'Ops'!$J$15,2,FALSE),IF(ISNUMBER(SEARCH("BR",D540)),"001","000"))&amp;IF(D540&lt;&gt;"",VLOOKUP(D540,Ops!$B$2:'Ops'!$C$23,2,FALSE),"0")&amp;_xlfn.IFS(ISNUMBER(SEARCH("BR",D540)),VLOOKUP(D540,Ops!$B$3:'Ops'!$D$22,3,FALSE),F540&lt;&gt;"",VLOOKUP(F540,Ops!$R$2:'Ops'!$S$11,2),L540&lt;&gt;"",VLOOKUP(L540,Ops!$R$2:'Ops'!$S$25,2,FALSE),TRUE,"0000"),2)</f>
        <v>00</v>
      </c>
      <c r="P540" s="26" t="str">
        <f>RIGHT(IF($E540&lt;&gt;"",_xlfn.XLOOKUP($E540,$C$4:$C$681,$B$4:$B$681,"NO LABEL"),BIN2HEX(IF(N540="CarryEn","1","0")&amp;IF(M540="SubXY","1","0")&amp;IF(H540&lt;&gt;"",VLOOKUP(H540,Ops!$F$2:'Ops'!$G$20,2,FALSE),"000000"),2)),2)</f>
        <v>85</v>
      </c>
      <c r="Q540" s="26" t="str" cm="1">
        <f t="array" ref="Q540">BIN2HEX(_xlfn.IFS(D540="HWINTEN","10",G540="KeyAck","01",G540="InitLp8","01",TRUE,"00")&amp;IF(OR(Ops!$O$2:'Ops'!$O$13=K540),VLOOKUP(K540,Ops!$O$2:'Ops'!$P$13,2,FALSE),"000")&amp;IF(E540&lt;&gt;"",IF(LEN(_xlfn.XLOOKUP($E540,$C$5:$C$681,$B$5:$B$681,0))=3,HEX2BIN(LEFT(_xlfn.XLOOKUP($E540,$C$5:$C$681,$B$5:$B$681,0),1),3),IF(OR(Ops!$L$2:'Ops'!$L$11=J540),VLOOKUP(J540,Ops!$L$2:'Ops'!$M$11,2,FALSE),"000")),IF(OR(Ops!$L$2:'Ops'!$L$11=J540),VLOOKUP(J540,Ops!$L$2:'Ops'!$M$11,2,FALSE),"000")),2)</f>
        <v>14</v>
      </c>
      <c r="R540" s="27"/>
      <c r="Z540" s="74" t="str">
        <f t="shared" si="160"/>
        <v>0x00,</v>
      </c>
      <c r="AA540" s="75" t="str">
        <f t="shared" si="161"/>
        <v>0x85,</v>
      </c>
      <c r="AB540" s="75" t="str">
        <f t="shared" si="162"/>
        <v>0x14,</v>
      </c>
      <c r="AC540" s="76"/>
    </row>
    <row r="541" spans="1:29" x14ac:dyDescent="0.3">
      <c r="A541" s="79">
        <f t="shared" si="153"/>
        <v>1629</v>
      </c>
      <c r="B541" s="80" t="str">
        <f t="shared" si="159"/>
        <v>65D</v>
      </c>
      <c r="D541" s="29"/>
      <c r="F541" s="29"/>
      <c r="G541" s="24"/>
      <c r="H541" s="29" t="s">
        <v>62</v>
      </c>
      <c r="I541" s="4" t="s">
        <v>482</v>
      </c>
      <c r="J541" s="4" t="s">
        <v>63</v>
      </c>
      <c r="K541" s="4" t="s">
        <v>470</v>
      </c>
      <c r="M541" s="14"/>
      <c r="N541" s="4" t="s">
        <v>41</v>
      </c>
      <c r="O541" s="25" t="str" cm="1">
        <f t="array" ref="O541">BIN2HEX(IF(I541&lt;&gt;"",VLOOKUP(I541,Ops!$I$2:'Ops'!$J$15,2,FALSE),IF(ISNUMBER(SEARCH("BR",D541)),"001","000"))&amp;IF(D541&lt;&gt;"",VLOOKUP(D541,Ops!$B$2:'Ops'!$C$23,2,FALSE),"0")&amp;_xlfn.IFS(ISNUMBER(SEARCH("BR",D541)),VLOOKUP(D541,Ops!$B$3:'Ops'!$D$22,3,FALSE),F541&lt;&gt;"",VLOOKUP(F541,Ops!$R$2:'Ops'!$S$11,2),L541&lt;&gt;"",VLOOKUP(L541,Ops!$R$2:'Ops'!$S$25,2,FALSE),TRUE,"0000"),2)</f>
        <v>00</v>
      </c>
      <c r="P541" s="26" t="str">
        <f>RIGHT(IF($E541&lt;&gt;"",_xlfn.XLOOKUP($E541,$C$4:$C$681,$B$4:$B$681,"NO LABEL"),BIN2HEX(IF(N541="CarryEn","1","0")&amp;IF(M541="SubXY","1","0")&amp;IF(H541&lt;&gt;"",VLOOKUP(H541,Ops!$F$2:'Ops'!$G$20,2,FALSE),"000000"),2)),2)</f>
        <v>85</v>
      </c>
      <c r="Q541" s="26" t="str" cm="1">
        <f t="array" ref="Q541">BIN2HEX(_xlfn.IFS(D541="HWINTEN","10",G541="KeyAck","01",G541="InitLp8","01",TRUE,"00")&amp;IF(OR(Ops!$O$2:'Ops'!$O$13=K541),VLOOKUP(K541,Ops!$O$2:'Ops'!$P$13,2,FALSE),"000")&amp;IF(E541&lt;&gt;"",IF(LEN(_xlfn.XLOOKUP($E541,$C$5:$C$681,$B$5:$B$681,0))=3,HEX2BIN(LEFT(_xlfn.XLOOKUP($E541,$C$5:$C$681,$B$5:$B$681,0),1),3),IF(OR(Ops!$L$2:'Ops'!$L$11=J541),VLOOKUP(J541,Ops!$L$2:'Ops'!$M$11,2,FALSE),"000")),IF(OR(Ops!$L$2:'Ops'!$L$11=J541),VLOOKUP(J541,Ops!$L$2:'Ops'!$M$11,2,FALSE),"000")),2)</f>
        <v>14</v>
      </c>
      <c r="R541" s="27"/>
      <c r="Z541" s="74" t="str">
        <f t="shared" si="160"/>
        <v>0x00,</v>
      </c>
      <c r="AA541" s="75" t="str">
        <f t="shared" si="161"/>
        <v>0x85,</v>
      </c>
      <c r="AB541" s="75" t="str">
        <f t="shared" si="162"/>
        <v>0x14,</v>
      </c>
      <c r="AC541" s="76"/>
    </row>
    <row r="542" spans="1:29" x14ac:dyDescent="0.3">
      <c r="A542" s="79">
        <f t="shared" si="153"/>
        <v>1632</v>
      </c>
      <c r="B542" s="80" t="str">
        <f t="shared" si="159"/>
        <v>660</v>
      </c>
      <c r="D542" s="29"/>
      <c r="F542" s="29"/>
      <c r="G542" s="24"/>
      <c r="H542" s="29" t="s">
        <v>62</v>
      </c>
      <c r="I542" s="4" t="s">
        <v>482</v>
      </c>
      <c r="J542" s="4" t="s">
        <v>63</v>
      </c>
      <c r="K542" s="4" t="s">
        <v>470</v>
      </c>
      <c r="M542" s="14"/>
      <c r="N542" s="4" t="s">
        <v>41</v>
      </c>
      <c r="O542" s="25" t="str" cm="1">
        <f t="array" ref="O542">BIN2HEX(IF(I542&lt;&gt;"",VLOOKUP(I542,Ops!$I$2:'Ops'!$J$15,2,FALSE),IF(ISNUMBER(SEARCH("BR",D542)),"001","000"))&amp;IF(D542&lt;&gt;"",VLOOKUP(D542,Ops!$B$2:'Ops'!$C$23,2,FALSE),"0")&amp;_xlfn.IFS(ISNUMBER(SEARCH("BR",D542)),VLOOKUP(D542,Ops!$B$3:'Ops'!$D$22,3,FALSE),F542&lt;&gt;"",VLOOKUP(F542,Ops!$R$2:'Ops'!$S$11,2),L542&lt;&gt;"",VLOOKUP(L542,Ops!$R$2:'Ops'!$S$25,2,FALSE),TRUE,"0000"),2)</f>
        <v>00</v>
      </c>
      <c r="P542" s="26" t="str">
        <f>RIGHT(IF($E542&lt;&gt;"",_xlfn.XLOOKUP($E542,$C$4:$C$681,$B$4:$B$681,"NO LABEL"),BIN2HEX(IF(N542="CarryEn","1","0")&amp;IF(M542="SubXY","1","0")&amp;IF(H542&lt;&gt;"",VLOOKUP(H542,Ops!$F$2:'Ops'!$G$20,2,FALSE),"000000"),2)),2)</f>
        <v>85</v>
      </c>
      <c r="Q542" s="26" t="str" cm="1">
        <f t="array" ref="Q542">BIN2HEX(_xlfn.IFS(D542="HWINTEN","10",G542="KeyAck","01",G542="InitLp8","01",TRUE,"00")&amp;IF(OR(Ops!$O$2:'Ops'!$O$13=K542),VLOOKUP(K542,Ops!$O$2:'Ops'!$P$13,2,FALSE),"000")&amp;IF(E542&lt;&gt;"",IF(LEN(_xlfn.XLOOKUP($E542,$C$5:$C$681,$B$5:$B$681,0))=3,HEX2BIN(LEFT(_xlfn.XLOOKUP($E542,$C$5:$C$681,$B$5:$B$681,0),1),3),IF(OR(Ops!$L$2:'Ops'!$L$11=J542),VLOOKUP(J542,Ops!$L$2:'Ops'!$M$11,2,FALSE),"000")),IF(OR(Ops!$L$2:'Ops'!$L$11=J542),VLOOKUP(J542,Ops!$L$2:'Ops'!$M$11,2,FALSE),"000")),2)</f>
        <v>14</v>
      </c>
      <c r="R542" s="27"/>
      <c r="Z542" s="74" t="str">
        <f t="shared" si="160"/>
        <v>0x00,</v>
      </c>
      <c r="AA542" s="75" t="str">
        <f t="shared" si="161"/>
        <v>0x85,</v>
      </c>
      <c r="AB542" s="75" t="str">
        <f t="shared" si="162"/>
        <v>0x14,</v>
      </c>
      <c r="AC542" s="76"/>
    </row>
    <row r="543" spans="1:29" x14ac:dyDescent="0.3">
      <c r="A543" s="79">
        <f t="shared" si="153"/>
        <v>1635</v>
      </c>
      <c r="B543" s="80" t="str">
        <f t="shared" si="159"/>
        <v>663</v>
      </c>
      <c r="D543" s="29"/>
      <c r="F543" s="29"/>
      <c r="G543" s="24"/>
      <c r="H543" s="29" t="s">
        <v>62</v>
      </c>
      <c r="I543" s="4" t="s">
        <v>482</v>
      </c>
      <c r="J543" s="4" t="s">
        <v>63</v>
      </c>
      <c r="K543" s="4" t="s">
        <v>470</v>
      </c>
      <c r="M543" s="14"/>
      <c r="N543" s="4" t="s">
        <v>41</v>
      </c>
      <c r="O543" s="25" t="str" cm="1">
        <f t="array" ref="O543">BIN2HEX(IF(I543&lt;&gt;"",VLOOKUP(I543,Ops!$I$2:'Ops'!$J$15,2,FALSE),IF(ISNUMBER(SEARCH("BR",D543)),"001","000"))&amp;IF(D543&lt;&gt;"",VLOOKUP(D543,Ops!$B$2:'Ops'!$C$23,2,FALSE),"0")&amp;_xlfn.IFS(ISNUMBER(SEARCH("BR",D543)),VLOOKUP(D543,Ops!$B$3:'Ops'!$D$22,3,FALSE),F543&lt;&gt;"",VLOOKUP(F543,Ops!$R$2:'Ops'!$S$11,2),L543&lt;&gt;"",VLOOKUP(L543,Ops!$R$2:'Ops'!$S$25,2,FALSE),TRUE,"0000"),2)</f>
        <v>00</v>
      </c>
      <c r="P543" s="26" t="str">
        <f>RIGHT(IF($E543&lt;&gt;"",_xlfn.XLOOKUP($E543,$C$4:$C$681,$B$4:$B$681,"NO LABEL"),BIN2HEX(IF(N543="CarryEn","1","0")&amp;IF(M543="SubXY","1","0")&amp;IF(H543&lt;&gt;"",VLOOKUP(H543,Ops!$F$2:'Ops'!$G$20,2,FALSE),"000000"),2)),2)</f>
        <v>85</v>
      </c>
      <c r="Q543" s="26" t="str" cm="1">
        <f t="array" ref="Q543">BIN2HEX(_xlfn.IFS(D543="HWINTEN","10",G543="KeyAck","01",G543="InitLp8","01",TRUE,"00")&amp;IF(OR(Ops!$O$2:'Ops'!$O$13=K543),VLOOKUP(K543,Ops!$O$2:'Ops'!$P$13,2,FALSE),"000")&amp;IF(E543&lt;&gt;"",IF(LEN(_xlfn.XLOOKUP($E543,$C$5:$C$681,$B$5:$B$681,0))=3,HEX2BIN(LEFT(_xlfn.XLOOKUP($E543,$C$5:$C$681,$B$5:$B$681,0),1),3),IF(OR(Ops!$L$2:'Ops'!$L$11=J543),VLOOKUP(J543,Ops!$L$2:'Ops'!$M$11,2,FALSE),"000")),IF(OR(Ops!$L$2:'Ops'!$L$11=J543),VLOOKUP(J543,Ops!$L$2:'Ops'!$M$11,2,FALSE),"000")),2)</f>
        <v>14</v>
      </c>
      <c r="R543" s="27"/>
      <c r="Z543" s="74" t="str">
        <f t="shared" si="160"/>
        <v>0x00,</v>
      </c>
      <c r="AA543" s="75" t="str">
        <f t="shared" si="161"/>
        <v>0x85,</v>
      </c>
      <c r="AB543" s="75" t="str">
        <f t="shared" si="162"/>
        <v>0x14,</v>
      </c>
      <c r="AC543" s="76"/>
    </row>
    <row r="544" spans="1:29" x14ac:dyDescent="0.3">
      <c r="A544" s="79">
        <f t="shared" si="153"/>
        <v>1638</v>
      </c>
      <c r="B544" s="80" t="str">
        <f t="shared" si="159"/>
        <v>666</v>
      </c>
      <c r="D544" s="29"/>
      <c r="F544" s="29"/>
      <c r="G544" s="24"/>
      <c r="H544" s="29" t="s">
        <v>62</v>
      </c>
      <c r="I544" s="4" t="s">
        <v>482</v>
      </c>
      <c r="J544" s="4" t="s">
        <v>63</v>
      </c>
      <c r="K544" s="4" t="s">
        <v>470</v>
      </c>
      <c r="M544" s="14"/>
      <c r="N544" s="4" t="s">
        <v>41</v>
      </c>
      <c r="O544" s="25" t="str" cm="1">
        <f t="array" ref="O544">BIN2HEX(IF(I544&lt;&gt;"",VLOOKUP(I544,Ops!$I$2:'Ops'!$J$15,2,FALSE),IF(ISNUMBER(SEARCH("BR",D544)),"001","000"))&amp;IF(D544&lt;&gt;"",VLOOKUP(D544,Ops!$B$2:'Ops'!$C$23,2,FALSE),"0")&amp;_xlfn.IFS(ISNUMBER(SEARCH("BR",D544)),VLOOKUP(D544,Ops!$B$3:'Ops'!$D$22,3,FALSE),F544&lt;&gt;"",VLOOKUP(F544,Ops!$R$2:'Ops'!$S$11,2),L544&lt;&gt;"",VLOOKUP(L544,Ops!$R$2:'Ops'!$S$25,2,FALSE),TRUE,"0000"),2)</f>
        <v>00</v>
      </c>
      <c r="P544" s="26" t="str">
        <f>RIGHT(IF($E544&lt;&gt;"",_xlfn.XLOOKUP($E544,$C$4:$C$681,$B$4:$B$681,"NO LABEL"),BIN2HEX(IF(N544="CarryEn","1","0")&amp;IF(M544="SubXY","1","0")&amp;IF(H544&lt;&gt;"",VLOOKUP(H544,Ops!$F$2:'Ops'!$G$20,2,FALSE),"000000"),2)),2)</f>
        <v>85</v>
      </c>
      <c r="Q544" s="26" t="str" cm="1">
        <f t="array" ref="Q544">BIN2HEX(_xlfn.IFS(D544="HWINTEN","10",G544="KeyAck","01",G544="InitLp8","01",TRUE,"00")&amp;IF(OR(Ops!$O$2:'Ops'!$O$13=K544),VLOOKUP(K544,Ops!$O$2:'Ops'!$P$13,2,FALSE),"000")&amp;IF(E544&lt;&gt;"",IF(LEN(_xlfn.XLOOKUP($E544,$C$5:$C$681,$B$5:$B$681,0))=3,HEX2BIN(LEFT(_xlfn.XLOOKUP($E544,$C$5:$C$681,$B$5:$B$681,0),1),3),IF(OR(Ops!$L$2:'Ops'!$L$11=J544),VLOOKUP(J544,Ops!$L$2:'Ops'!$M$11,2,FALSE),"000")),IF(OR(Ops!$L$2:'Ops'!$L$11=J544),VLOOKUP(J544,Ops!$L$2:'Ops'!$M$11,2,FALSE),"000")),2)</f>
        <v>14</v>
      </c>
      <c r="R544" s="27"/>
      <c r="Z544" s="74" t="str">
        <f t="shared" si="160"/>
        <v>0x00,</v>
      </c>
      <c r="AA544" s="75" t="str">
        <f t="shared" si="161"/>
        <v>0x85,</v>
      </c>
      <c r="AB544" s="75" t="str">
        <f t="shared" si="162"/>
        <v>0x14,</v>
      </c>
      <c r="AC544" s="76"/>
    </row>
    <row r="545" spans="1:29" x14ac:dyDescent="0.3">
      <c r="A545" s="79">
        <f t="shared" si="153"/>
        <v>1641</v>
      </c>
      <c r="B545" s="80" t="str">
        <f t="shared" si="159"/>
        <v>669</v>
      </c>
      <c r="D545" s="29"/>
      <c r="F545" s="29"/>
      <c r="G545" s="24"/>
      <c r="H545" s="29" t="s">
        <v>463</v>
      </c>
      <c r="I545" s="4" t="s">
        <v>479</v>
      </c>
      <c r="M545" s="14"/>
      <c r="O545" s="25" t="str" cm="1">
        <f t="array" ref="O545">BIN2HEX(IF(I545&lt;&gt;"",VLOOKUP(I545,Ops!$I$2:'Ops'!$J$15,2,FALSE),IF(ISNUMBER(SEARCH("BR",D545)),"001","000"))&amp;IF(D545&lt;&gt;"",VLOOKUP(D545,Ops!$B$2:'Ops'!$C$23,2,FALSE),"0")&amp;_xlfn.IFS(ISNUMBER(SEARCH("BR",D545)),VLOOKUP(D545,Ops!$B$3:'Ops'!$D$22,3,FALSE),F545&lt;&gt;"",VLOOKUP(F545,Ops!$R$2:'Ops'!$S$11,2),L545&lt;&gt;"",VLOOKUP(L545,Ops!$R$2:'Ops'!$S$25,2,FALSE),TRUE,"0000"),2)</f>
        <v>60</v>
      </c>
      <c r="P545" s="26" t="str">
        <f>RIGHT(IF($E545&lt;&gt;"",_xlfn.XLOOKUP($E545,$C$4:$C$681,$B$4:$B$681,"NO LABEL"),BIN2HEX(IF(N545="CarryEn","1","0")&amp;IF(M545="SubXY","1","0")&amp;IF(H545&lt;&gt;"",VLOOKUP(H545,Ops!$F$2:'Ops'!$G$20,2,FALSE),"000000"),2)),2)</f>
        <v>22</v>
      </c>
      <c r="Q545" s="26" t="str" cm="1">
        <f t="array" ref="Q545">BIN2HEX(_xlfn.IFS(D545="HWINTEN","10",G545="KeyAck","01",G545="InitLp8","01",TRUE,"00")&amp;IF(OR(Ops!$O$2:'Ops'!$O$13=K545),VLOOKUP(K545,Ops!$O$2:'Ops'!$P$13,2,FALSE),"000")&amp;IF(E545&lt;&gt;"",IF(LEN(_xlfn.XLOOKUP($E545,$C$5:$C$681,$B$5:$B$681,0))=3,HEX2BIN(LEFT(_xlfn.XLOOKUP($E545,$C$5:$C$681,$B$5:$B$681,0),1),3),IF(OR(Ops!$L$2:'Ops'!$L$11=J545),VLOOKUP(J545,Ops!$L$2:'Ops'!$M$11,2,FALSE),"000")),IF(OR(Ops!$L$2:'Ops'!$L$11=J545),VLOOKUP(J545,Ops!$L$2:'Ops'!$M$11,2,FALSE),"000")),2)</f>
        <v>00</v>
      </c>
      <c r="R545" s="27"/>
      <c r="S545" s="4" t="s">
        <v>302</v>
      </c>
      <c r="Z545" s="74" t="str">
        <f t="shared" si="160"/>
        <v>0x60,</v>
      </c>
      <c r="AA545" s="75" t="str">
        <f t="shared" si="161"/>
        <v>0x22,</v>
      </c>
      <c r="AB545" s="75" t="str">
        <f t="shared" si="162"/>
        <v>0x00,</v>
      </c>
      <c r="AC545" s="76"/>
    </row>
    <row r="546" spans="1:29" x14ac:dyDescent="0.3">
      <c r="A546" s="79">
        <f t="shared" si="153"/>
        <v>1644</v>
      </c>
      <c r="B546" s="80" t="str">
        <f t="shared" si="159"/>
        <v>66C</v>
      </c>
      <c r="D546" s="29"/>
      <c r="F546" s="29"/>
      <c r="G546" s="24"/>
      <c r="H546" s="29"/>
      <c r="J546" s="4" t="s">
        <v>314</v>
      </c>
      <c r="L546" s="4" t="s">
        <v>181</v>
      </c>
      <c r="M546" s="14"/>
      <c r="O546" s="25" t="str" cm="1">
        <f t="array" ref="O546">BIN2HEX(IF(I546&lt;&gt;"",VLOOKUP(I546,Ops!$I$2:'Ops'!$J$15,2,FALSE),IF(ISNUMBER(SEARCH("BR",D546)),"001","000"))&amp;IF(D546&lt;&gt;"",VLOOKUP(D546,Ops!$B$2:'Ops'!$C$23,2,FALSE),"0")&amp;_xlfn.IFS(ISNUMBER(SEARCH("BR",D546)),VLOOKUP(D546,Ops!$B$3:'Ops'!$D$22,3,FALSE),F546&lt;&gt;"",VLOOKUP(F546,Ops!$R$2:'Ops'!$S$11,2),L546&lt;&gt;"",VLOOKUP(L546,Ops!$R$2:'Ops'!$S$25,2,FALSE),TRUE,"0000"),2)</f>
        <v>02</v>
      </c>
      <c r="P546" s="26" t="str">
        <f>RIGHT(IF($E546&lt;&gt;"",_xlfn.XLOOKUP($E546,$C$4:$C$681,$B$4:$B$681,"NO LABEL"),BIN2HEX(IF(N546="CarryEn","1","0")&amp;IF(M546="SubXY","1","0")&amp;IF(H546&lt;&gt;"",VLOOKUP(H546,Ops!$F$2:'Ops'!$G$20,2,FALSE),"000000"),2)),2)</f>
        <v>00</v>
      </c>
      <c r="Q546" s="26" t="str" cm="1">
        <f t="array" ref="Q546">BIN2HEX(_xlfn.IFS(D546="HWINTEN","10",G546="KeyAck","01",G546="InitLp8","01",TRUE,"00")&amp;IF(OR(Ops!$O$2:'Ops'!$O$13=K546),VLOOKUP(K546,Ops!$O$2:'Ops'!$P$13,2,FALSE),"000")&amp;IF(E546&lt;&gt;"",IF(LEN(_xlfn.XLOOKUP($E546,$C$5:$C$681,$B$5:$B$681,0))=3,HEX2BIN(LEFT(_xlfn.XLOOKUP($E546,$C$5:$C$681,$B$5:$B$681,0),1),3),IF(OR(Ops!$L$2:'Ops'!$L$11=J546),VLOOKUP(J546,Ops!$L$2:'Ops'!$M$11,2,FALSE),"000")),IF(OR(Ops!$L$2:'Ops'!$L$11=J546),VLOOKUP(J546,Ops!$L$2:'Ops'!$M$11,2,FALSE),"000")),2)</f>
        <v>06</v>
      </c>
      <c r="R546" s="27"/>
      <c r="S546" s="4" t="s">
        <v>303</v>
      </c>
      <c r="Z546" s="74" t="str">
        <f t="shared" si="160"/>
        <v>0x02,</v>
      </c>
      <c r="AA546" s="75" t="str">
        <f t="shared" si="161"/>
        <v>0x00,</v>
      </c>
      <c r="AB546" s="75" t="str">
        <f t="shared" si="162"/>
        <v>0x06,</v>
      </c>
      <c r="AC546" s="76"/>
    </row>
    <row r="547" spans="1:29" x14ac:dyDescent="0.3">
      <c r="A547" s="79">
        <f t="shared" si="153"/>
        <v>1647</v>
      </c>
      <c r="B547" s="80" t="str">
        <f t="shared" si="159"/>
        <v>66F</v>
      </c>
      <c r="D547" s="29" t="s">
        <v>0</v>
      </c>
      <c r="E547" s="4" t="s">
        <v>626</v>
      </c>
      <c r="F547" s="29"/>
      <c r="G547" s="24"/>
      <c r="H547" s="29"/>
      <c r="M547" s="14"/>
      <c r="O547" s="25" t="str" cm="1">
        <f t="array" ref="O547">BIN2HEX(IF(I547&lt;&gt;"",VLOOKUP(I547,Ops!$I$2:'Ops'!$J$15,2,FALSE),IF(ISNUMBER(SEARCH("BR",D547)),"001","000"))&amp;IF(D547&lt;&gt;"",VLOOKUP(D547,Ops!$B$2:'Ops'!$C$23,2,FALSE),"0")&amp;_xlfn.IFS(ISNUMBER(SEARCH("BR",D547)),VLOOKUP(D547,Ops!$B$3:'Ops'!$D$22,3,FALSE),F547&lt;&gt;"",VLOOKUP(F547,Ops!$R$2:'Ops'!$S$11,2),L547&lt;&gt;"",VLOOKUP(L547,Ops!$R$2:'Ops'!$S$25,2,FALSE),TRUE,"0000"),2)</f>
        <v>10</v>
      </c>
      <c r="P547" s="26" t="str">
        <f>RIGHT(IF($E547&lt;&gt;"",_xlfn.XLOOKUP($E547,$C$4:$C$681,$B$4:$B$681,"NO LABEL"),BIN2HEX(IF(N547="CarryEn","1","0")&amp;IF(M547="SubXY","1","0")&amp;IF(H547&lt;&gt;"",VLOOKUP(H547,Ops!$F$2:'Ops'!$G$20,2,FALSE),"000000"),2)),2)</f>
        <v>8A</v>
      </c>
      <c r="Q547" s="26" t="str" cm="1">
        <f t="array" ref="Q547">BIN2HEX(_xlfn.IFS(D547="HWINTEN","10",G547="KeyAck","01",G547="InitLp8","01",TRUE,"00")&amp;IF(OR(Ops!$O$2:'Ops'!$O$13=K547),VLOOKUP(K547,Ops!$O$2:'Ops'!$P$13,2,FALSE),"000")&amp;IF(E547&lt;&gt;"",IF(LEN(_xlfn.XLOOKUP($E547,$C$5:$C$681,$B$5:$B$681,0))=3,HEX2BIN(LEFT(_xlfn.XLOOKUP($E547,$C$5:$C$681,$B$5:$B$681,0),1),3),IF(OR(Ops!$L$2:'Ops'!$L$11=J547),VLOOKUP(J547,Ops!$L$2:'Ops'!$M$11,2,FALSE),"000")),IF(OR(Ops!$L$2:'Ops'!$L$11=J547),VLOOKUP(J547,Ops!$L$2:'Ops'!$M$11,2,FALSE),"000")),2)</f>
        <v>06</v>
      </c>
      <c r="R547" s="27"/>
      <c r="S547" s="4" t="s">
        <v>633</v>
      </c>
      <c r="Z547" s="74" t="str">
        <f t="shared" si="160"/>
        <v>0x10,</v>
      </c>
      <c r="AA547" s="75" t="str">
        <f t="shared" si="161"/>
        <v>0x8A,</v>
      </c>
      <c r="AB547" s="75" t="str">
        <f t="shared" si="162"/>
        <v>0x06,</v>
      </c>
      <c r="AC547" s="76"/>
    </row>
    <row r="548" spans="1:29" x14ac:dyDescent="0.3">
      <c r="A548" s="79">
        <f t="shared" si="153"/>
        <v>1650</v>
      </c>
      <c r="B548" s="80" t="str">
        <f t="shared" si="159"/>
        <v>672</v>
      </c>
      <c r="C548" s="4" t="s">
        <v>304</v>
      </c>
      <c r="D548" s="29"/>
      <c r="F548" s="29"/>
      <c r="G548" s="24"/>
      <c r="H548" s="29" t="s">
        <v>62</v>
      </c>
      <c r="I548" s="4" t="s">
        <v>482</v>
      </c>
      <c r="J548" s="4" t="s">
        <v>63</v>
      </c>
      <c r="K548" s="4" t="s">
        <v>470</v>
      </c>
      <c r="M548" s="14"/>
      <c r="O548" s="25" t="str" cm="1">
        <f t="array" ref="O548">BIN2HEX(IF(I548&lt;&gt;"",VLOOKUP(I548,Ops!$I$2:'Ops'!$J$15,2,FALSE),IF(ISNUMBER(SEARCH("BR",D548)),"001","000"))&amp;IF(D548&lt;&gt;"",VLOOKUP(D548,Ops!$B$2:'Ops'!$C$23,2,FALSE),"0")&amp;_xlfn.IFS(ISNUMBER(SEARCH("BR",D548)),VLOOKUP(D548,Ops!$B$3:'Ops'!$D$22,3,FALSE),F548&lt;&gt;"",VLOOKUP(F548,Ops!$R$2:'Ops'!$S$11,2),L548&lt;&gt;"",VLOOKUP(L548,Ops!$R$2:'Ops'!$S$25,2,FALSE),TRUE,"0000"),2)</f>
        <v>00</v>
      </c>
      <c r="P548" s="26" t="str">
        <f>RIGHT(IF($E548&lt;&gt;"",_xlfn.XLOOKUP($E548,$C$4:$C$681,$B$4:$B$681,"NO LABEL"),BIN2HEX(IF(N548="CarryEn","1","0")&amp;IF(M548="SubXY","1","0")&amp;IF(H548&lt;&gt;"",VLOOKUP(H548,Ops!$F$2:'Ops'!$G$20,2,FALSE),"000000"),2)),2)</f>
        <v>05</v>
      </c>
      <c r="Q548" s="26" t="str" cm="1">
        <f t="array" ref="Q548">BIN2HEX(_xlfn.IFS(D548="HWINTEN","10",G548="KeyAck","01",G548="InitLp8","01",TRUE,"00")&amp;IF(OR(Ops!$O$2:'Ops'!$O$13=K548),VLOOKUP(K548,Ops!$O$2:'Ops'!$P$13,2,FALSE),"000")&amp;IF(E548&lt;&gt;"",IF(LEN(_xlfn.XLOOKUP($E548,$C$5:$C$681,$B$5:$B$681,0))=3,HEX2BIN(LEFT(_xlfn.XLOOKUP($E548,$C$5:$C$681,$B$5:$B$681,0),1),3),IF(OR(Ops!$L$2:'Ops'!$L$11=J548),VLOOKUP(J548,Ops!$L$2:'Ops'!$M$11,2,FALSE),"000")),IF(OR(Ops!$L$2:'Ops'!$L$11=J548),VLOOKUP(J548,Ops!$L$2:'Ops'!$M$11,2,FALSE),"000")),2)</f>
        <v>14</v>
      </c>
      <c r="R548" s="27"/>
      <c r="S548" s="4" t="s">
        <v>299</v>
      </c>
      <c r="Z548" s="74" t="str">
        <f t="shared" si="160"/>
        <v>0x00,</v>
      </c>
      <c r="AA548" s="75" t="str">
        <f t="shared" si="161"/>
        <v>0x05,</v>
      </c>
      <c r="AB548" s="75" t="str">
        <f t="shared" si="162"/>
        <v>0x14,</v>
      </c>
      <c r="AC548" s="76"/>
    </row>
    <row r="549" spans="1:29" x14ac:dyDescent="0.3">
      <c r="A549" s="79">
        <f t="shared" si="153"/>
        <v>1653</v>
      </c>
      <c r="B549" s="80" t="str">
        <f t="shared" si="159"/>
        <v>675</v>
      </c>
      <c r="D549" s="29"/>
      <c r="F549" s="29"/>
      <c r="G549" s="24"/>
      <c r="H549" s="29" t="s">
        <v>62</v>
      </c>
      <c r="I549" s="4" t="s">
        <v>482</v>
      </c>
      <c r="J549" s="4" t="s">
        <v>63</v>
      </c>
      <c r="K549" s="4" t="s">
        <v>470</v>
      </c>
      <c r="M549" s="14"/>
      <c r="N549" s="4" t="s">
        <v>41</v>
      </c>
      <c r="O549" s="25" t="str" cm="1">
        <f t="array" ref="O549">BIN2HEX(IF(I549&lt;&gt;"",VLOOKUP(I549,Ops!$I$2:'Ops'!$J$15,2,FALSE),IF(ISNUMBER(SEARCH("BR",D549)),"001","000"))&amp;IF(D549&lt;&gt;"",VLOOKUP(D549,Ops!$B$2:'Ops'!$C$23,2,FALSE),"0")&amp;_xlfn.IFS(ISNUMBER(SEARCH("BR",D549)),VLOOKUP(D549,Ops!$B$3:'Ops'!$D$22,3,FALSE),F549&lt;&gt;"",VLOOKUP(F549,Ops!$R$2:'Ops'!$S$11,2),L549&lt;&gt;"",VLOOKUP(L549,Ops!$R$2:'Ops'!$S$25,2,FALSE),TRUE,"0000"),2)</f>
        <v>00</v>
      </c>
      <c r="P549" s="26" t="str">
        <f>RIGHT(IF($E549&lt;&gt;"",_xlfn.XLOOKUP($E549,$C$4:$C$681,$B$4:$B$681,"NO LABEL"),BIN2HEX(IF(N549="CarryEn","1","0")&amp;IF(M549="SubXY","1","0")&amp;IF(H549&lt;&gt;"",VLOOKUP(H549,Ops!$F$2:'Ops'!$G$20,2,FALSE),"000000"),2)),2)</f>
        <v>85</v>
      </c>
      <c r="Q549" s="26" t="str" cm="1">
        <f t="array" ref="Q549">BIN2HEX(_xlfn.IFS(D549="HWINTEN","10",G549="KeyAck","01",G549="InitLp8","01",TRUE,"00")&amp;IF(OR(Ops!$O$2:'Ops'!$O$13=K549),VLOOKUP(K549,Ops!$O$2:'Ops'!$P$13,2,FALSE),"000")&amp;IF(E549&lt;&gt;"",IF(LEN(_xlfn.XLOOKUP($E549,$C$5:$C$681,$B$5:$B$681,0))=3,HEX2BIN(LEFT(_xlfn.XLOOKUP($E549,$C$5:$C$681,$B$5:$B$681,0),1),3),IF(OR(Ops!$L$2:'Ops'!$L$11=J549),VLOOKUP(J549,Ops!$L$2:'Ops'!$M$11,2,FALSE),"000")),IF(OR(Ops!$L$2:'Ops'!$L$11=J549),VLOOKUP(J549,Ops!$L$2:'Ops'!$M$11,2,FALSE),"000")),2)</f>
        <v>14</v>
      </c>
      <c r="R549" s="27"/>
      <c r="Z549" s="74" t="str">
        <f t="shared" si="160"/>
        <v>0x00,</v>
      </c>
      <c r="AA549" s="75" t="str">
        <f t="shared" si="161"/>
        <v>0x85,</v>
      </c>
      <c r="AB549" s="75" t="str">
        <f t="shared" si="162"/>
        <v>0x14,</v>
      </c>
      <c r="AC549" s="76"/>
    </row>
    <row r="550" spans="1:29" x14ac:dyDescent="0.3">
      <c r="A550" s="79">
        <f t="shared" si="153"/>
        <v>1656</v>
      </c>
      <c r="B550" s="80" t="str">
        <f t="shared" si="159"/>
        <v>678</v>
      </c>
      <c r="D550" s="29"/>
      <c r="F550" s="29"/>
      <c r="G550" s="24"/>
      <c r="H550" s="29" t="s">
        <v>62</v>
      </c>
      <c r="I550" s="4" t="s">
        <v>482</v>
      </c>
      <c r="J550" s="4" t="s">
        <v>63</v>
      </c>
      <c r="K550" s="4" t="s">
        <v>470</v>
      </c>
      <c r="M550" s="14"/>
      <c r="N550" s="4" t="s">
        <v>41</v>
      </c>
      <c r="O550" s="25" t="str" cm="1">
        <f t="array" ref="O550">BIN2HEX(IF(I550&lt;&gt;"",VLOOKUP(I550,Ops!$I$2:'Ops'!$J$15,2,FALSE),IF(ISNUMBER(SEARCH("BR",D550)),"001","000"))&amp;IF(D550&lt;&gt;"",VLOOKUP(D550,Ops!$B$2:'Ops'!$C$23,2,FALSE),"0")&amp;_xlfn.IFS(ISNUMBER(SEARCH("BR",D550)),VLOOKUP(D550,Ops!$B$3:'Ops'!$D$22,3,FALSE),F550&lt;&gt;"",VLOOKUP(F550,Ops!$R$2:'Ops'!$S$11,2),L550&lt;&gt;"",VLOOKUP(L550,Ops!$R$2:'Ops'!$S$25,2,FALSE),TRUE,"0000"),2)</f>
        <v>00</v>
      </c>
      <c r="P550" s="26" t="str">
        <f>RIGHT(IF($E550&lt;&gt;"",_xlfn.XLOOKUP($E550,$C$4:$C$681,$B$4:$B$681,"NO LABEL"),BIN2HEX(IF(N550="CarryEn","1","0")&amp;IF(M550="SubXY","1","0")&amp;IF(H550&lt;&gt;"",VLOOKUP(H550,Ops!$F$2:'Ops'!$G$20,2,FALSE),"000000"),2)),2)</f>
        <v>85</v>
      </c>
      <c r="Q550" s="26" t="str" cm="1">
        <f t="array" ref="Q550">BIN2HEX(_xlfn.IFS(D550="HWINTEN","10",G550="KeyAck","01",G550="InitLp8","01",TRUE,"00")&amp;IF(OR(Ops!$O$2:'Ops'!$O$13=K550),VLOOKUP(K550,Ops!$O$2:'Ops'!$P$13,2,FALSE),"000")&amp;IF(E550&lt;&gt;"",IF(LEN(_xlfn.XLOOKUP($E550,$C$5:$C$681,$B$5:$B$681,0))=3,HEX2BIN(LEFT(_xlfn.XLOOKUP($E550,$C$5:$C$681,$B$5:$B$681,0),1),3),IF(OR(Ops!$L$2:'Ops'!$L$11=J550),VLOOKUP(J550,Ops!$L$2:'Ops'!$M$11,2,FALSE),"000")),IF(OR(Ops!$L$2:'Ops'!$L$11=J550),VLOOKUP(J550,Ops!$L$2:'Ops'!$M$11,2,FALSE),"000")),2)</f>
        <v>14</v>
      </c>
      <c r="R550" s="27"/>
      <c r="Z550" s="74" t="str">
        <f t="shared" ref="Z550:Z586" si="163">IF(O550="", "};", "0x"&amp;O550&amp;",")</f>
        <v>0x00,</v>
      </c>
      <c r="AA550" s="75" t="str">
        <f t="shared" si="161"/>
        <v>0x85,</v>
      </c>
      <c r="AB550" s="75" t="str">
        <f t="shared" si="162"/>
        <v>0x14,</v>
      </c>
      <c r="AC550" s="76"/>
    </row>
    <row r="551" spans="1:29" x14ac:dyDescent="0.3">
      <c r="A551" s="79">
        <f t="shared" si="153"/>
        <v>1659</v>
      </c>
      <c r="B551" s="80" t="str">
        <f t="shared" si="159"/>
        <v>67B</v>
      </c>
      <c r="D551" s="29"/>
      <c r="F551" s="29"/>
      <c r="G551" s="24"/>
      <c r="H551" s="29" t="s">
        <v>62</v>
      </c>
      <c r="I551" s="4" t="s">
        <v>482</v>
      </c>
      <c r="J551" s="4" t="s">
        <v>63</v>
      </c>
      <c r="K551" s="4" t="s">
        <v>470</v>
      </c>
      <c r="M551" s="14"/>
      <c r="N551" s="4" t="s">
        <v>41</v>
      </c>
      <c r="O551" s="25" t="str" cm="1">
        <f t="array" ref="O551">BIN2HEX(IF(I551&lt;&gt;"",VLOOKUP(I551,Ops!$I$2:'Ops'!$J$15,2,FALSE),IF(ISNUMBER(SEARCH("BR",D551)),"001","000"))&amp;IF(D551&lt;&gt;"",VLOOKUP(D551,Ops!$B$2:'Ops'!$C$23,2,FALSE),"0")&amp;_xlfn.IFS(ISNUMBER(SEARCH("BR",D551)),VLOOKUP(D551,Ops!$B$3:'Ops'!$D$22,3,FALSE),F551&lt;&gt;"",VLOOKUP(F551,Ops!$R$2:'Ops'!$S$11,2),L551&lt;&gt;"",VLOOKUP(L551,Ops!$R$2:'Ops'!$S$25,2,FALSE),TRUE,"0000"),2)</f>
        <v>00</v>
      </c>
      <c r="P551" s="26" t="str">
        <f>RIGHT(IF($E551&lt;&gt;"",_xlfn.XLOOKUP($E551,$C$4:$C$681,$B$4:$B$681,"NO LABEL"),BIN2HEX(IF(N551="CarryEn","1","0")&amp;IF(M551="SubXY","1","0")&amp;IF(H551&lt;&gt;"",VLOOKUP(H551,Ops!$F$2:'Ops'!$G$20,2,FALSE),"000000"),2)),2)</f>
        <v>85</v>
      </c>
      <c r="Q551" s="26" t="str" cm="1">
        <f t="array" ref="Q551">BIN2HEX(_xlfn.IFS(D551="HWINTEN","10",G551="KeyAck","01",G551="InitLp8","01",TRUE,"00")&amp;IF(OR(Ops!$O$2:'Ops'!$O$13=K551),VLOOKUP(K551,Ops!$O$2:'Ops'!$P$13,2,FALSE),"000")&amp;IF(E551&lt;&gt;"",IF(LEN(_xlfn.XLOOKUP($E551,$C$5:$C$681,$B$5:$B$681,0))=3,HEX2BIN(LEFT(_xlfn.XLOOKUP($E551,$C$5:$C$681,$B$5:$B$681,0),1),3),IF(OR(Ops!$L$2:'Ops'!$L$11=J551),VLOOKUP(J551,Ops!$L$2:'Ops'!$M$11,2,FALSE),"000")),IF(OR(Ops!$L$2:'Ops'!$L$11=J551),VLOOKUP(J551,Ops!$L$2:'Ops'!$M$11,2,FALSE),"000")),2)</f>
        <v>14</v>
      </c>
      <c r="R551" s="27"/>
      <c r="Z551" s="74" t="str">
        <f t="shared" si="163"/>
        <v>0x00,</v>
      </c>
      <c r="AA551" s="75" t="str">
        <f t="shared" ref="AA551:AA586" si="164">"0x"&amp;P551&amp;","</f>
        <v>0x85,</v>
      </c>
      <c r="AB551" s="75" t="str">
        <f t="shared" ref="AB551:AB586" si="165">"0x"&amp;Q551&amp;","</f>
        <v>0x14,</v>
      </c>
      <c r="AC551" s="76"/>
    </row>
    <row r="552" spans="1:29" x14ac:dyDescent="0.3">
      <c r="A552" s="79">
        <f t="shared" si="153"/>
        <v>1662</v>
      </c>
      <c r="B552" s="80" t="str">
        <f t="shared" si="159"/>
        <v>67E</v>
      </c>
      <c r="D552" s="29"/>
      <c r="F552" s="29"/>
      <c r="G552" s="24"/>
      <c r="H552" s="29" t="s">
        <v>62</v>
      </c>
      <c r="I552" s="4" t="s">
        <v>482</v>
      </c>
      <c r="J552" s="4" t="s">
        <v>63</v>
      </c>
      <c r="K552" s="4" t="s">
        <v>470</v>
      </c>
      <c r="M552" s="14"/>
      <c r="N552" s="4" t="s">
        <v>41</v>
      </c>
      <c r="O552" s="25" t="str" cm="1">
        <f t="array" ref="O552">BIN2HEX(IF(I552&lt;&gt;"",VLOOKUP(I552,Ops!$I$2:'Ops'!$J$15,2,FALSE),IF(ISNUMBER(SEARCH("BR",D552)),"001","000"))&amp;IF(D552&lt;&gt;"",VLOOKUP(D552,Ops!$B$2:'Ops'!$C$23,2,FALSE),"0")&amp;_xlfn.IFS(ISNUMBER(SEARCH("BR",D552)),VLOOKUP(D552,Ops!$B$3:'Ops'!$D$22,3,FALSE),F552&lt;&gt;"",VLOOKUP(F552,Ops!$R$2:'Ops'!$S$11,2),L552&lt;&gt;"",VLOOKUP(L552,Ops!$R$2:'Ops'!$S$25,2,FALSE),TRUE,"0000"),2)</f>
        <v>00</v>
      </c>
      <c r="P552" s="26" t="str">
        <f>RIGHT(IF($E552&lt;&gt;"",_xlfn.XLOOKUP($E552,$C$4:$C$681,$B$4:$B$681,"NO LABEL"),BIN2HEX(IF(N552="CarryEn","1","0")&amp;IF(M552="SubXY","1","0")&amp;IF(H552&lt;&gt;"",VLOOKUP(H552,Ops!$F$2:'Ops'!$G$20,2,FALSE),"000000"),2)),2)</f>
        <v>85</v>
      </c>
      <c r="Q552" s="26" t="str" cm="1">
        <f t="array" ref="Q552">BIN2HEX(_xlfn.IFS(D552="HWINTEN","10",G552="KeyAck","01",G552="InitLp8","01",TRUE,"00")&amp;IF(OR(Ops!$O$2:'Ops'!$O$13=K552),VLOOKUP(K552,Ops!$O$2:'Ops'!$P$13,2,FALSE),"000")&amp;IF(E552&lt;&gt;"",IF(LEN(_xlfn.XLOOKUP($E552,$C$5:$C$681,$B$5:$B$681,0))=3,HEX2BIN(LEFT(_xlfn.XLOOKUP($E552,$C$5:$C$681,$B$5:$B$681,0),1),3),IF(OR(Ops!$L$2:'Ops'!$L$11=J552),VLOOKUP(J552,Ops!$L$2:'Ops'!$M$11,2,FALSE),"000")),IF(OR(Ops!$L$2:'Ops'!$L$11=J552),VLOOKUP(J552,Ops!$L$2:'Ops'!$M$11,2,FALSE),"000")),2)</f>
        <v>14</v>
      </c>
      <c r="R552" s="27"/>
      <c r="Z552" s="74" t="str">
        <f t="shared" si="163"/>
        <v>0x00,</v>
      </c>
      <c r="AA552" s="75" t="str">
        <f t="shared" si="164"/>
        <v>0x85,</v>
      </c>
      <c r="AB552" s="75" t="str">
        <f t="shared" si="165"/>
        <v>0x14,</v>
      </c>
      <c r="AC552" s="76"/>
    </row>
    <row r="553" spans="1:29" x14ac:dyDescent="0.3">
      <c r="A553" s="79">
        <f t="shared" si="153"/>
        <v>1665</v>
      </c>
      <c r="B553" s="80" t="str">
        <f t="shared" si="159"/>
        <v>681</v>
      </c>
      <c r="D553" s="29"/>
      <c r="F553" s="29"/>
      <c r="G553" s="24"/>
      <c r="H553" s="29" t="s">
        <v>62</v>
      </c>
      <c r="I553" s="4" t="s">
        <v>482</v>
      </c>
      <c r="J553" s="4" t="s">
        <v>63</v>
      </c>
      <c r="K553" s="4" t="s">
        <v>470</v>
      </c>
      <c r="M553" s="14"/>
      <c r="N553" s="4" t="s">
        <v>41</v>
      </c>
      <c r="O553" s="25" t="str" cm="1">
        <f t="array" ref="O553">BIN2HEX(IF(I553&lt;&gt;"",VLOOKUP(I553,Ops!$I$2:'Ops'!$J$15,2,FALSE),IF(ISNUMBER(SEARCH("BR",D553)),"001","000"))&amp;IF(D553&lt;&gt;"",VLOOKUP(D553,Ops!$B$2:'Ops'!$C$23,2,FALSE),"0")&amp;_xlfn.IFS(ISNUMBER(SEARCH("BR",D553)),VLOOKUP(D553,Ops!$B$3:'Ops'!$D$22,3,FALSE),F553&lt;&gt;"",VLOOKUP(F553,Ops!$R$2:'Ops'!$S$11,2),L553&lt;&gt;"",VLOOKUP(L553,Ops!$R$2:'Ops'!$S$25,2,FALSE),TRUE,"0000"),2)</f>
        <v>00</v>
      </c>
      <c r="P553" s="26" t="str">
        <f>RIGHT(IF($E553&lt;&gt;"",_xlfn.XLOOKUP($E553,$C$4:$C$681,$B$4:$B$681,"NO LABEL"),BIN2HEX(IF(N553="CarryEn","1","0")&amp;IF(M553="SubXY","1","0")&amp;IF(H553&lt;&gt;"",VLOOKUP(H553,Ops!$F$2:'Ops'!$G$20,2,FALSE),"000000"),2)),2)</f>
        <v>85</v>
      </c>
      <c r="Q553" s="26" t="str" cm="1">
        <f t="array" ref="Q553">BIN2HEX(_xlfn.IFS(D553="HWINTEN","10",G553="KeyAck","01",G553="InitLp8","01",TRUE,"00")&amp;IF(OR(Ops!$O$2:'Ops'!$O$13=K553),VLOOKUP(K553,Ops!$O$2:'Ops'!$P$13,2,FALSE),"000")&amp;IF(E553&lt;&gt;"",IF(LEN(_xlfn.XLOOKUP($E553,$C$5:$C$681,$B$5:$B$681,0))=3,HEX2BIN(LEFT(_xlfn.XLOOKUP($E553,$C$5:$C$681,$B$5:$B$681,0),1),3),IF(OR(Ops!$L$2:'Ops'!$L$11=J553),VLOOKUP(J553,Ops!$L$2:'Ops'!$M$11,2,FALSE),"000")),IF(OR(Ops!$L$2:'Ops'!$L$11=J553),VLOOKUP(J553,Ops!$L$2:'Ops'!$M$11,2,FALSE),"000")),2)</f>
        <v>14</v>
      </c>
      <c r="R553" s="27"/>
      <c r="Z553" s="74" t="str">
        <f t="shared" si="163"/>
        <v>0x00,</v>
      </c>
      <c r="AA553" s="75" t="str">
        <f t="shared" si="164"/>
        <v>0x85,</v>
      </c>
      <c r="AB553" s="75" t="str">
        <f t="shared" si="165"/>
        <v>0x14,</v>
      </c>
      <c r="AC553" s="76"/>
    </row>
    <row r="554" spans="1:29" x14ac:dyDescent="0.3">
      <c r="A554" s="79">
        <f t="shared" si="153"/>
        <v>1668</v>
      </c>
      <c r="B554" s="80" t="str">
        <f t="shared" si="159"/>
        <v>684</v>
      </c>
      <c r="D554" s="29"/>
      <c r="F554" s="29"/>
      <c r="G554" s="24"/>
      <c r="H554" s="29" t="s">
        <v>62</v>
      </c>
      <c r="I554" s="4" t="s">
        <v>482</v>
      </c>
      <c r="J554" s="4" t="s">
        <v>63</v>
      </c>
      <c r="K554" s="4" t="s">
        <v>470</v>
      </c>
      <c r="M554" s="14"/>
      <c r="N554" s="4" t="s">
        <v>41</v>
      </c>
      <c r="O554" s="25" t="str" cm="1">
        <f t="array" ref="O554">BIN2HEX(IF(I554&lt;&gt;"",VLOOKUP(I554,Ops!$I$2:'Ops'!$J$15,2,FALSE),IF(ISNUMBER(SEARCH("BR",D554)),"001","000"))&amp;IF(D554&lt;&gt;"",VLOOKUP(D554,Ops!$B$2:'Ops'!$C$23,2,FALSE),"0")&amp;_xlfn.IFS(ISNUMBER(SEARCH("BR",D554)),VLOOKUP(D554,Ops!$B$3:'Ops'!$D$22,3,FALSE),F554&lt;&gt;"",VLOOKUP(F554,Ops!$R$2:'Ops'!$S$11,2),L554&lt;&gt;"",VLOOKUP(L554,Ops!$R$2:'Ops'!$S$25,2,FALSE),TRUE,"0000"),2)</f>
        <v>00</v>
      </c>
      <c r="P554" s="26" t="str">
        <f>RIGHT(IF($E554&lt;&gt;"",_xlfn.XLOOKUP($E554,$C$4:$C$681,$B$4:$B$681,"NO LABEL"),BIN2HEX(IF(N554="CarryEn","1","0")&amp;IF(M554="SubXY","1","0")&amp;IF(H554&lt;&gt;"",VLOOKUP(H554,Ops!$F$2:'Ops'!$G$20,2,FALSE),"000000"),2)),2)</f>
        <v>85</v>
      </c>
      <c r="Q554" s="26" t="str" cm="1">
        <f t="array" ref="Q554">BIN2HEX(_xlfn.IFS(D554="HWINTEN","10",G554="KeyAck","01",G554="InitLp8","01",TRUE,"00")&amp;IF(OR(Ops!$O$2:'Ops'!$O$13=K554),VLOOKUP(K554,Ops!$O$2:'Ops'!$P$13,2,FALSE),"000")&amp;IF(E554&lt;&gt;"",IF(LEN(_xlfn.XLOOKUP($E554,$C$5:$C$681,$B$5:$B$681,0))=3,HEX2BIN(LEFT(_xlfn.XLOOKUP($E554,$C$5:$C$681,$B$5:$B$681,0),1),3),IF(OR(Ops!$L$2:'Ops'!$L$11=J554),VLOOKUP(J554,Ops!$L$2:'Ops'!$M$11,2,FALSE),"000")),IF(OR(Ops!$L$2:'Ops'!$L$11=J554),VLOOKUP(J554,Ops!$L$2:'Ops'!$M$11,2,FALSE),"000")),2)</f>
        <v>14</v>
      </c>
      <c r="R554" s="27"/>
      <c r="Z554" s="74" t="str">
        <f t="shared" si="163"/>
        <v>0x00,</v>
      </c>
      <c r="AA554" s="75" t="str">
        <f t="shared" si="164"/>
        <v>0x85,</v>
      </c>
      <c r="AB554" s="75" t="str">
        <f t="shared" si="165"/>
        <v>0x14,</v>
      </c>
      <c r="AC554" s="76"/>
    </row>
    <row r="555" spans="1:29" x14ac:dyDescent="0.3">
      <c r="A555" s="79">
        <f t="shared" si="153"/>
        <v>1671</v>
      </c>
      <c r="B555" s="80" t="str">
        <f t="shared" si="159"/>
        <v>687</v>
      </c>
      <c r="D555" s="29"/>
      <c r="F555" s="29"/>
      <c r="G555" s="24"/>
      <c r="H555" s="29" t="s">
        <v>62</v>
      </c>
      <c r="I555" s="4" t="s">
        <v>482</v>
      </c>
      <c r="J555" s="4" t="s">
        <v>63</v>
      </c>
      <c r="K555" s="4" t="s">
        <v>470</v>
      </c>
      <c r="M555" s="14"/>
      <c r="N555" s="4" t="s">
        <v>41</v>
      </c>
      <c r="O555" s="25" t="str" cm="1">
        <f t="array" ref="O555">BIN2HEX(IF(I555&lt;&gt;"",VLOOKUP(I555,Ops!$I$2:'Ops'!$J$15,2,FALSE),IF(ISNUMBER(SEARCH("BR",D555)),"001","000"))&amp;IF(D555&lt;&gt;"",VLOOKUP(D555,Ops!$B$2:'Ops'!$C$23,2,FALSE),"0")&amp;_xlfn.IFS(ISNUMBER(SEARCH("BR",D555)),VLOOKUP(D555,Ops!$B$3:'Ops'!$D$22,3,FALSE),F555&lt;&gt;"",VLOOKUP(F555,Ops!$R$2:'Ops'!$S$11,2),L555&lt;&gt;"",VLOOKUP(L555,Ops!$R$2:'Ops'!$S$25,2,FALSE),TRUE,"0000"),2)</f>
        <v>00</v>
      </c>
      <c r="P555" s="26" t="str">
        <f>RIGHT(IF($E555&lt;&gt;"",_xlfn.XLOOKUP($E555,$C$4:$C$681,$B$4:$B$681,"NO LABEL"),BIN2HEX(IF(N555="CarryEn","1","0")&amp;IF(M555="SubXY","1","0")&amp;IF(H555&lt;&gt;"",VLOOKUP(H555,Ops!$F$2:'Ops'!$G$20,2,FALSE),"000000"),2)),2)</f>
        <v>85</v>
      </c>
      <c r="Q555" s="26" t="str" cm="1">
        <f t="array" ref="Q555">BIN2HEX(_xlfn.IFS(D555="HWINTEN","10",G555="KeyAck","01",G555="InitLp8","01",TRUE,"00")&amp;IF(OR(Ops!$O$2:'Ops'!$O$13=K555),VLOOKUP(K555,Ops!$O$2:'Ops'!$P$13,2,FALSE),"000")&amp;IF(E555&lt;&gt;"",IF(LEN(_xlfn.XLOOKUP($E555,$C$5:$C$681,$B$5:$B$681,0))=3,HEX2BIN(LEFT(_xlfn.XLOOKUP($E555,$C$5:$C$681,$B$5:$B$681,0),1),3),IF(OR(Ops!$L$2:'Ops'!$L$11=J555),VLOOKUP(J555,Ops!$L$2:'Ops'!$M$11,2,FALSE),"000")),IF(OR(Ops!$L$2:'Ops'!$L$11=J555),VLOOKUP(J555,Ops!$L$2:'Ops'!$M$11,2,FALSE),"000")),2)</f>
        <v>14</v>
      </c>
      <c r="R555" s="27"/>
      <c r="Z555" s="74" t="str">
        <f t="shared" si="163"/>
        <v>0x00,</v>
      </c>
      <c r="AA555" s="75" t="str">
        <f t="shared" si="164"/>
        <v>0x85,</v>
      </c>
      <c r="AB555" s="75" t="str">
        <f t="shared" si="165"/>
        <v>0x14,</v>
      </c>
      <c r="AC555" s="76"/>
    </row>
    <row r="556" spans="1:29" x14ac:dyDescent="0.3">
      <c r="A556" s="79">
        <f t="shared" si="153"/>
        <v>1674</v>
      </c>
      <c r="B556" s="80" t="str">
        <f t="shared" si="159"/>
        <v>68A</v>
      </c>
      <c r="C556" s="4" t="s">
        <v>626</v>
      </c>
      <c r="D556" s="29"/>
      <c r="F556" s="29"/>
      <c r="G556" s="24" t="s">
        <v>692</v>
      </c>
      <c r="H556" s="29"/>
      <c r="M556" s="14"/>
      <c r="O556" s="25" t="str" cm="1">
        <f t="array" ref="O556">BIN2HEX(IF(I556&lt;&gt;"",VLOOKUP(I556,Ops!$I$2:'Ops'!$J$15,2,FALSE),IF(ISNUMBER(SEARCH("BR",D556)),"001","000"))&amp;IF(D556&lt;&gt;"",VLOOKUP(D556,Ops!$B$2:'Ops'!$C$23,2,FALSE),"0")&amp;_xlfn.IFS(ISNUMBER(SEARCH("BR",D556)),VLOOKUP(D556,Ops!$B$3:'Ops'!$D$22,3,FALSE),F556&lt;&gt;"",VLOOKUP(F556,Ops!$R$2:'Ops'!$S$11,2),L556&lt;&gt;"",VLOOKUP(L556,Ops!$R$2:'Ops'!$S$25,2,FALSE),TRUE,"0000"),2)</f>
        <v>00</v>
      </c>
      <c r="P556" s="26" t="str">
        <f>RIGHT(IF($E556&lt;&gt;"",_xlfn.XLOOKUP($E556,$C$4:$C$681,$B$4:$B$681,"NO LABEL"),BIN2HEX(IF(N556="CarryEn","1","0")&amp;IF(M556="SubXY","1","0")&amp;IF(H556&lt;&gt;"",VLOOKUP(H556,Ops!$F$2:'Ops'!$G$20,2,FALSE),"000000"),2)),2)</f>
        <v>00</v>
      </c>
      <c r="Q556" s="26" t="str" cm="1">
        <f t="array" ref="Q556">BIN2HEX(_xlfn.IFS(D556="HWINTEN","10",G556="KeyAck","01",G556="InitLp8","01",TRUE,"00")&amp;IF(OR(Ops!$O$2:'Ops'!$O$13=K556),VLOOKUP(K556,Ops!$O$2:'Ops'!$P$13,2,FALSE),"000")&amp;IF(E556&lt;&gt;"",IF(LEN(_xlfn.XLOOKUP($E556,$C$5:$C$681,$B$5:$B$681,0))=3,HEX2BIN(LEFT(_xlfn.XLOOKUP($E556,$C$5:$C$681,$B$5:$B$681,0),1),3),IF(OR(Ops!$L$2:'Ops'!$L$11=J556),VLOOKUP(J556,Ops!$L$2:'Ops'!$M$11,2,FALSE),"000")),IF(OR(Ops!$L$2:'Ops'!$L$11=J556),VLOOKUP(J556,Ops!$L$2:'Ops'!$M$11,2,FALSE),"000")),2)</f>
        <v>40</v>
      </c>
      <c r="R556" s="27"/>
      <c r="S556" t="s">
        <v>632</v>
      </c>
      <c r="Z556" s="74" t="str">
        <f t="shared" si="163"/>
        <v>0x00,</v>
      </c>
      <c r="AA556" s="75" t="str">
        <f t="shared" si="164"/>
        <v>0x00,</v>
      </c>
      <c r="AB556" s="75" t="str">
        <f t="shared" si="165"/>
        <v>0x40,</v>
      </c>
      <c r="AC556" s="76"/>
    </row>
    <row r="557" spans="1:29" x14ac:dyDescent="0.3">
      <c r="A557" s="79">
        <f t="shared" si="153"/>
        <v>1677</v>
      </c>
      <c r="B557" s="80" t="str">
        <f>DEC2HEX(A557)</f>
        <v>68D</v>
      </c>
      <c r="D557" s="29" t="s">
        <v>251</v>
      </c>
      <c r="E557" s="4" t="s">
        <v>627</v>
      </c>
      <c r="F557" s="29"/>
      <c r="G557" s="24"/>
      <c r="H557" s="29"/>
      <c r="M557" s="14"/>
      <c r="O557" s="25" t="str" cm="1">
        <f t="array" ref="O557">BIN2HEX(IF(I557&lt;&gt;"",VLOOKUP(I557,Ops!$I$2:'Ops'!$J$15,2,FALSE),IF(ISNUMBER(SEARCH("BR",D557)),"001","000"))&amp;IF(D557&lt;&gt;"",VLOOKUP(D557,Ops!$B$2:'Ops'!$C$23,2,FALSE),"0")&amp;_xlfn.IFS(ISNUMBER(SEARCH("BR",D557)),VLOOKUP(D557,Ops!$B$3:'Ops'!$D$22,3,FALSE),F557&lt;&gt;"",VLOOKUP(F557,Ops!$R$2:'Ops'!$S$11,2),L557&lt;&gt;"",VLOOKUP(L557,Ops!$R$2:'Ops'!$S$25,2,FALSE),TRUE,"0000"),2)</f>
        <v>3F</v>
      </c>
      <c r="P557" s="26" t="str">
        <f>RIGHT(IF($E557&lt;&gt;"",_xlfn.XLOOKUP($E557,$C$4:$C$681,$B$4:$B$681,"NO LABEL"),BIN2HEX(IF(N557="CarryEn","1","0")&amp;IF(M557="SubXY","1","0")&amp;IF(H557&lt;&gt;"",VLOOKUP(H557,Ops!$F$2:'Ops'!$G$20,2,FALSE),"000000"),2)),2)</f>
        <v>99</v>
      </c>
      <c r="Q557" s="26" t="str" cm="1">
        <f t="array" ref="Q557">BIN2HEX(_xlfn.IFS(D557="HWINTEN","10",G557="KeyAck","01",G557="InitLp8","01",TRUE,"00")&amp;IF(OR(Ops!$O$2:'Ops'!$O$13=K557),VLOOKUP(K557,Ops!$O$2:'Ops'!$P$13,2,FALSE),"000")&amp;IF(E557&lt;&gt;"",IF(LEN(_xlfn.XLOOKUP($E557,$C$5:$C$681,$B$5:$B$681,0))=3,HEX2BIN(LEFT(_xlfn.XLOOKUP($E557,$C$5:$C$681,$B$5:$B$681,0),1),3),IF(OR(Ops!$L$2:'Ops'!$L$11=J557),VLOOKUP(J557,Ops!$L$2:'Ops'!$M$11,2,FALSE),"000")),IF(OR(Ops!$L$2:'Ops'!$L$11=J557),VLOOKUP(J557,Ops!$L$2:'Ops'!$M$11,2,FALSE),"000")),2)</f>
        <v>06</v>
      </c>
      <c r="R557" s="27"/>
      <c r="S557" s="3"/>
      <c r="Z557" s="74" t="str">
        <f>IF(O557="", "};", "0x"&amp;O557&amp;",")</f>
        <v>0x3F,</v>
      </c>
      <c r="AA557" s="75" t="str">
        <f t="shared" ref="AA557:AB561" si="166">"0x"&amp;P557&amp;","</f>
        <v>0x99,</v>
      </c>
      <c r="AB557" s="75" t="str">
        <f t="shared" si="166"/>
        <v>0x06,</v>
      </c>
      <c r="AC557" s="76"/>
    </row>
    <row r="558" spans="1:29" x14ac:dyDescent="0.3">
      <c r="A558" s="79">
        <f t="shared" si="153"/>
        <v>1680</v>
      </c>
      <c r="B558" s="80" t="str">
        <f>DEC2HEX(A558)</f>
        <v>690</v>
      </c>
      <c r="C558" s="4" t="s">
        <v>625</v>
      </c>
      <c r="D558" s="29"/>
      <c r="F558" s="29"/>
      <c r="G558" s="24"/>
      <c r="H558" s="14" t="s">
        <v>465</v>
      </c>
      <c r="I558" s="4" t="s">
        <v>479</v>
      </c>
      <c r="M558" s="14"/>
      <c r="O558" s="25" t="str" cm="1">
        <f t="array" ref="O558">BIN2HEX(IF(I558&lt;&gt;"",VLOOKUP(I558,Ops!$I$2:'Ops'!$J$15,2,FALSE),IF(ISNUMBER(SEARCH("BR",D558)),"001","000"))&amp;IF(D558&lt;&gt;"",VLOOKUP(D558,Ops!$B$2:'Ops'!$C$23,2,FALSE),"0")&amp;_xlfn.IFS(ISNUMBER(SEARCH("BR",D558)),VLOOKUP(D558,Ops!$B$3:'Ops'!$D$22,3,FALSE),F558&lt;&gt;"",VLOOKUP(F558,Ops!$R$2:'Ops'!$S$11,2),L558&lt;&gt;"",VLOOKUP(L558,Ops!$R$2:'Ops'!$S$25,2,FALSE),TRUE,"0000"),2)</f>
        <v>60</v>
      </c>
      <c r="P558" s="26" t="str">
        <f>RIGHT(IF($E558&lt;&gt;"",_xlfn.XLOOKUP($E558,$C$4:$C$681,$B$4:$B$681,"NO LABEL"),BIN2HEX(IF(N558="CarryEn","1","0")&amp;IF(M558="SubXY","1","0")&amp;IF(H558&lt;&gt;"",VLOOKUP(H558,Ops!$F$2:'Ops'!$G$20,2,FALSE),"000000"),2)),2)</f>
        <v>02</v>
      </c>
      <c r="Q558" s="26" t="str" cm="1">
        <f t="array" ref="Q558">BIN2HEX(_xlfn.IFS(D558="HWINTEN","10",G558="KeyAck","01",G558="InitLp8","01",TRUE,"00")&amp;IF(OR(Ops!$O$2:'Ops'!$O$13=K558),VLOOKUP(K558,Ops!$O$2:'Ops'!$P$13,2,FALSE),"000")&amp;IF(E558&lt;&gt;"",IF(LEN(_xlfn.XLOOKUP($E558,$C$5:$C$681,$B$5:$B$681,0))=3,HEX2BIN(LEFT(_xlfn.XLOOKUP($E558,$C$5:$C$681,$B$5:$B$681,0),1),3),IF(OR(Ops!$L$2:'Ops'!$L$11=J558),VLOOKUP(J558,Ops!$L$2:'Ops'!$M$11,2,FALSE),"000")),IF(OR(Ops!$L$2:'Ops'!$L$11=J558),VLOOKUP(J558,Ops!$L$2:'Ops'!$M$11,2,FALSE),"000")),2)</f>
        <v>00</v>
      </c>
      <c r="R558" s="27"/>
      <c r="S558" s="4" t="s">
        <v>288</v>
      </c>
      <c r="Z558" s="74" t="str">
        <f>IF(O558="", "};", "0x"&amp;O558&amp;",")</f>
        <v>0x60,</v>
      </c>
      <c r="AA558" s="75" t="str">
        <f t="shared" si="166"/>
        <v>0x02,</v>
      </c>
      <c r="AB558" s="75" t="str">
        <f t="shared" si="166"/>
        <v>0x00,</v>
      </c>
      <c r="AC558" s="76"/>
    </row>
    <row r="559" spans="1:29" x14ac:dyDescent="0.3">
      <c r="A559" s="79">
        <f t="shared" si="153"/>
        <v>1683</v>
      </c>
      <c r="B559" s="80" t="str">
        <f>DEC2HEX(A559)</f>
        <v>693</v>
      </c>
      <c r="D559" s="29"/>
      <c r="F559" s="29"/>
      <c r="G559" s="24"/>
      <c r="H559" s="4" t="s">
        <v>466</v>
      </c>
      <c r="I559"/>
      <c r="K559" s="3"/>
      <c r="M559" s="14"/>
      <c r="O559" s="25" t="str" cm="1">
        <f t="array" ref="O559">BIN2HEX(IF(I559&lt;&gt;"",VLOOKUP(I559,Ops!$I$2:'Ops'!$J$15,2,FALSE),IF(ISNUMBER(SEARCH("BR",D559)),"001","000"))&amp;IF(D559&lt;&gt;"",VLOOKUP(D559,Ops!$B$2:'Ops'!$C$23,2,FALSE),"0")&amp;_xlfn.IFS(ISNUMBER(SEARCH("BR",D559)),VLOOKUP(D559,Ops!$B$3:'Ops'!$D$22,3,FALSE),F559&lt;&gt;"",VLOOKUP(F559,Ops!$R$2:'Ops'!$S$11,2),L559&lt;&gt;"",VLOOKUP(L559,Ops!$R$2:'Ops'!$S$25,2,FALSE),TRUE,"0000"),2)</f>
        <v>00</v>
      </c>
      <c r="P559" s="26" t="str">
        <f>RIGHT(IF($E559&lt;&gt;"",_xlfn.XLOOKUP($E559,$C$4:$C$681,$B$4:$B$681,"NO LABEL"),BIN2HEX(IF(N559="CarryEn","1","0")&amp;IF(M559="SubXY","1","0")&amp;IF(H559&lt;&gt;"",VLOOKUP(H559,Ops!$F$2:'Ops'!$G$20,2,FALSE),"000000"),2)),2)</f>
        <v>20</v>
      </c>
      <c r="Q559" s="26" t="str" cm="1">
        <f t="array" ref="Q559">BIN2HEX(_xlfn.IFS(D559="HWINTEN","10",G559="KeyAck","01",G559="InitLp8","01",TRUE,"00")&amp;IF(OR(Ops!$O$2:'Ops'!$O$13=K559),VLOOKUP(K559,Ops!$O$2:'Ops'!$P$13,2,FALSE),"000")&amp;IF(E559&lt;&gt;"",IF(LEN(_xlfn.XLOOKUP($E559,$C$5:$C$681,$B$5:$B$681,0))=3,HEX2BIN(LEFT(_xlfn.XLOOKUP($E559,$C$5:$C$681,$B$5:$B$681,0),1),3),IF(OR(Ops!$L$2:'Ops'!$L$11=J559),VLOOKUP(J559,Ops!$L$2:'Ops'!$M$11,2,FALSE),"000")),IF(OR(Ops!$L$2:'Ops'!$L$11=J559),VLOOKUP(J559,Ops!$L$2:'Ops'!$M$11,2,FALSE),"000")),2)</f>
        <v>00</v>
      </c>
      <c r="R559" s="27"/>
      <c r="S559" s="4" t="s">
        <v>545</v>
      </c>
      <c r="Z559" s="74" t="str">
        <f>IF(O559="", "};", "0x"&amp;O559&amp;",")</f>
        <v>0x00,</v>
      </c>
      <c r="AA559" s="75" t="str">
        <f t="shared" si="166"/>
        <v>0x20,</v>
      </c>
      <c r="AB559" s="75" t="str">
        <f t="shared" si="166"/>
        <v>0x00,</v>
      </c>
      <c r="AC559" s="76"/>
    </row>
    <row r="560" spans="1:29" x14ac:dyDescent="0.3">
      <c r="A560" s="79">
        <f t="shared" ref="A560:A588" si="167">A559+3</f>
        <v>1686</v>
      </c>
      <c r="B560" s="80" t="str">
        <f t="shared" ref="B560:B566" si="168">DEC2HEX(A560)</f>
        <v>696</v>
      </c>
      <c r="D560" s="29"/>
      <c r="F560" s="29"/>
      <c r="G560" s="24"/>
      <c r="I560" t="s">
        <v>291</v>
      </c>
      <c r="K560" s="4" t="s">
        <v>483</v>
      </c>
      <c r="M560" s="14"/>
      <c r="O560" s="25" t="str" cm="1">
        <f t="array" ref="O560">BIN2HEX(IF(I560&lt;&gt;"",VLOOKUP(I560,Ops!$I$2:'Ops'!$J$15,2,FALSE),IF(ISNUMBER(SEARCH("BR",D560)),"001","000"))&amp;IF(D560&lt;&gt;"",VLOOKUP(D560,Ops!$B$2:'Ops'!$C$23,2,FALSE),"0")&amp;_xlfn.IFS(ISNUMBER(SEARCH("BR",D560)),VLOOKUP(D560,Ops!$B$3:'Ops'!$D$22,3,FALSE),F560&lt;&gt;"",VLOOKUP(F560,Ops!$R$2:'Ops'!$S$11,2),L560&lt;&gt;"",VLOOKUP(L560,Ops!$R$2:'Ops'!$S$25,2,FALSE),TRUE,"0000"),2)</f>
        <v>80</v>
      </c>
      <c r="P560" s="26" t="str">
        <f>RIGHT(IF($E560&lt;&gt;"",_xlfn.XLOOKUP($E560,$C$4:$C$681,$B$4:$B$681,"NO LABEL"),BIN2HEX(IF(N560="CarryEn","1","0")&amp;IF(M560="SubXY","1","0")&amp;IF(H560&lt;&gt;"",VLOOKUP(H560,Ops!$F$2:'Ops'!$G$20,2,FALSE),"000000"),2)),2)</f>
        <v>00</v>
      </c>
      <c r="Q560" s="26" t="str" cm="1">
        <f t="array" ref="Q560">BIN2HEX(_xlfn.IFS(D560="HWINTEN","10",G560="KeyAck","01",G560="InitLp8","01",TRUE,"00")&amp;IF(OR(Ops!$O$2:'Ops'!$O$13=K560),VLOOKUP(K560,Ops!$O$2:'Ops'!$P$13,2,FALSE),"000")&amp;IF(E560&lt;&gt;"",IF(LEN(_xlfn.XLOOKUP($E560,$C$5:$C$681,$B$5:$B$681,0))=3,HEX2BIN(LEFT(_xlfn.XLOOKUP($E560,$C$5:$C$681,$B$5:$B$681,0),1),3),IF(OR(Ops!$L$2:'Ops'!$L$11=J560),VLOOKUP(J560,Ops!$L$2:'Ops'!$M$11,2,FALSE),"000")),IF(OR(Ops!$L$2:'Ops'!$L$11=J560),VLOOKUP(J560,Ops!$L$2:'Ops'!$M$11,2,FALSE),"000")),2)</f>
        <v>00</v>
      </c>
      <c r="R560" s="27"/>
      <c r="S560" s="4" t="s">
        <v>544</v>
      </c>
      <c r="Z560" s="74" t="str">
        <f>IF(O560="", "};", "0x"&amp;O560&amp;",")</f>
        <v>0x80,</v>
      </c>
      <c r="AA560" s="75" t="str">
        <f t="shared" si="166"/>
        <v>0x00,</v>
      </c>
      <c r="AB560" s="75" t="str">
        <f t="shared" si="166"/>
        <v>0x00,</v>
      </c>
      <c r="AC560" s="76"/>
    </row>
    <row r="561" spans="1:29" x14ac:dyDescent="0.3">
      <c r="A561" s="79">
        <f t="shared" si="167"/>
        <v>1689</v>
      </c>
      <c r="B561" s="80" t="str">
        <f t="shared" si="168"/>
        <v>699</v>
      </c>
      <c r="C561" s="4" t="s">
        <v>627</v>
      </c>
      <c r="D561" s="29"/>
      <c r="F561" s="29"/>
      <c r="G561" s="24"/>
      <c r="H561" s="29" t="s">
        <v>62</v>
      </c>
      <c r="I561" s="4" t="s">
        <v>482</v>
      </c>
      <c r="J561" s="4" t="s">
        <v>63</v>
      </c>
      <c r="K561" s="4" t="s">
        <v>470</v>
      </c>
      <c r="M561" s="14" t="s">
        <v>69</v>
      </c>
      <c r="O561" s="25" t="str" cm="1">
        <f t="array" ref="O561">BIN2HEX(IF(I561&lt;&gt;"",VLOOKUP(I561,Ops!$I$2:'Ops'!$J$15,2,FALSE),IF(ISNUMBER(SEARCH("BR",D561)),"001","000"))&amp;IF(D561&lt;&gt;"",VLOOKUP(D561,Ops!$B$2:'Ops'!$C$23,2,FALSE),"0")&amp;_xlfn.IFS(ISNUMBER(SEARCH("BR",D561)),VLOOKUP(D561,Ops!$B$3:'Ops'!$D$22,3,FALSE),F561&lt;&gt;"",VLOOKUP(F561,Ops!$R$2:'Ops'!$S$11,2),L561&lt;&gt;"",VLOOKUP(L561,Ops!$R$2:'Ops'!$S$25,2,FALSE),TRUE,"0000"),2)</f>
        <v>00</v>
      </c>
      <c r="P561" s="26" t="str">
        <f>RIGHT(IF($E561&lt;&gt;"",_xlfn.XLOOKUP($E561,$C$4:$C$681,$B$4:$B$681,"NO LABEL"),BIN2HEX(IF(N561="CarryEn","1","0")&amp;IF(M561="SubXY","1","0")&amp;IF(H561&lt;&gt;"",VLOOKUP(H561,Ops!$F$2:'Ops'!$G$20,2,FALSE),"000000"),2)),2)</f>
        <v>45</v>
      </c>
      <c r="Q561" s="26" t="str" cm="1">
        <f t="array" ref="Q561">BIN2HEX(_xlfn.IFS(D561="HWINTEN","10",G561="KeyAck","01",G561="InitLp8","01",TRUE,"00")&amp;IF(OR(Ops!$O$2:'Ops'!$O$13=K561),VLOOKUP(K561,Ops!$O$2:'Ops'!$P$13,2,FALSE),"000")&amp;IF(E561&lt;&gt;"",IF(LEN(_xlfn.XLOOKUP($E561,$C$5:$C$681,$B$5:$B$681,0))=3,HEX2BIN(LEFT(_xlfn.XLOOKUP($E561,$C$5:$C$681,$B$5:$B$681,0),1),3),IF(OR(Ops!$L$2:'Ops'!$L$11=J561),VLOOKUP(J561,Ops!$L$2:'Ops'!$M$11,2,FALSE),"000")),IF(OR(Ops!$L$2:'Ops'!$L$11=J561),VLOOKUP(J561,Ops!$L$2:'Ops'!$M$11,2,FALSE),"000")),2)</f>
        <v>14</v>
      </c>
      <c r="R561" s="27"/>
      <c r="S561" s="4" t="s">
        <v>156</v>
      </c>
      <c r="Z561" s="74" t="str">
        <f>IF(O561="", "};", "0x"&amp;O561&amp;",")</f>
        <v>0x00,</v>
      </c>
      <c r="AA561" s="75" t="str">
        <f t="shared" si="166"/>
        <v>0x45,</v>
      </c>
      <c r="AB561" s="75" t="str">
        <f t="shared" si="166"/>
        <v>0x14,</v>
      </c>
      <c r="AC561" s="76"/>
    </row>
    <row r="562" spans="1:29" x14ac:dyDescent="0.3">
      <c r="A562" s="79">
        <f t="shared" si="167"/>
        <v>1692</v>
      </c>
      <c r="B562" s="80" t="str">
        <f t="shared" si="168"/>
        <v>69C</v>
      </c>
      <c r="D562" s="29"/>
      <c r="F562" s="29"/>
      <c r="G562" s="24"/>
      <c r="H562" s="29" t="s">
        <v>62</v>
      </c>
      <c r="I562" s="4" t="s">
        <v>482</v>
      </c>
      <c r="J562" s="4" t="s">
        <v>63</v>
      </c>
      <c r="K562" s="4" t="s">
        <v>470</v>
      </c>
      <c r="M562" s="14" t="s">
        <v>69</v>
      </c>
      <c r="N562" s="4" t="s">
        <v>41</v>
      </c>
      <c r="O562" s="25" t="str" cm="1">
        <f t="array" ref="O562">BIN2HEX(IF(I562&lt;&gt;"",VLOOKUP(I562,Ops!$I$2:'Ops'!$J$15,2,FALSE),IF(ISNUMBER(SEARCH("BR",D562)),"001","000"))&amp;IF(D562&lt;&gt;"",VLOOKUP(D562,Ops!$B$2:'Ops'!$C$23,2,FALSE),"0")&amp;_xlfn.IFS(ISNUMBER(SEARCH("BR",D562)),VLOOKUP(D562,Ops!$B$3:'Ops'!$D$22,3,FALSE),F562&lt;&gt;"",VLOOKUP(F562,Ops!$R$2:'Ops'!$S$11,2),L562&lt;&gt;"",VLOOKUP(L562,Ops!$R$2:'Ops'!$S$25,2,FALSE),TRUE,"0000"),2)</f>
        <v>00</v>
      </c>
      <c r="P562" s="26" t="str">
        <f>RIGHT(IF($E562&lt;&gt;"",_xlfn.XLOOKUP($E562,$C$4:$C$681,$B$4:$B$681,"NO LABEL"),BIN2HEX(IF(N562="CarryEn","1","0")&amp;IF(M562="SubXY","1","0")&amp;IF(H562&lt;&gt;"",VLOOKUP(H562,Ops!$F$2:'Ops'!$G$20,2,FALSE),"000000"),2)),2)</f>
        <v>C5</v>
      </c>
      <c r="Q562" s="26" t="str" cm="1">
        <f t="array" ref="Q562">BIN2HEX(_xlfn.IFS(D562="HWINTEN","10",G562="KeyAck","01",G562="InitLp8","01",TRUE,"00")&amp;IF(OR(Ops!$O$2:'Ops'!$O$13=K562),VLOOKUP(K562,Ops!$O$2:'Ops'!$P$13,2,FALSE),"000")&amp;IF(E562&lt;&gt;"",IF(LEN(_xlfn.XLOOKUP($E562,$C$5:$C$681,$B$5:$B$681,0))=3,HEX2BIN(LEFT(_xlfn.XLOOKUP($E562,$C$5:$C$681,$B$5:$B$681,0),1),3),IF(OR(Ops!$L$2:'Ops'!$L$11=J562),VLOOKUP(J562,Ops!$L$2:'Ops'!$M$11,2,FALSE),"000")),IF(OR(Ops!$L$2:'Ops'!$L$11=J562),VLOOKUP(J562,Ops!$L$2:'Ops'!$M$11,2,FALSE),"000")),2)</f>
        <v>14</v>
      </c>
      <c r="R562" s="27"/>
      <c r="Z562" s="74" t="str">
        <f t="shared" si="163"/>
        <v>0x00,</v>
      </c>
      <c r="AA562" s="75" t="str">
        <f t="shared" si="164"/>
        <v>0xC5,</v>
      </c>
      <c r="AB562" s="75" t="str">
        <f t="shared" si="165"/>
        <v>0x14,</v>
      </c>
      <c r="AC562" s="76"/>
    </row>
    <row r="563" spans="1:29" x14ac:dyDescent="0.3">
      <c r="A563" s="79">
        <f t="shared" si="167"/>
        <v>1695</v>
      </c>
      <c r="B563" s="80" t="str">
        <f t="shared" si="168"/>
        <v>69F</v>
      </c>
      <c r="D563" s="29"/>
      <c r="F563" s="29"/>
      <c r="G563" s="24"/>
      <c r="H563" s="29" t="s">
        <v>62</v>
      </c>
      <c r="I563" s="4" t="s">
        <v>482</v>
      </c>
      <c r="J563" s="4" t="s">
        <v>63</v>
      </c>
      <c r="K563" s="4" t="s">
        <v>470</v>
      </c>
      <c r="M563" s="14" t="s">
        <v>69</v>
      </c>
      <c r="N563" s="4" t="s">
        <v>41</v>
      </c>
      <c r="O563" s="25" t="str" cm="1">
        <f t="array" ref="O563">BIN2HEX(IF(I563&lt;&gt;"",VLOOKUP(I563,Ops!$I$2:'Ops'!$J$15,2,FALSE),IF(ISNUMBER(SEARCH("BR",D563)),"001","000"))&amp;IF(D563&lt;&gt;"",VLOOKUP(D563,Ops!$B$2:'Ops'!$C$23,2,FALSE),"0")&amp;_xlfn.IFS(ISNUMBER(SEARCH("BR",D563)),VLOOKUP(D563,Ops!$B$3:'Ops'!$D$22,3,FALSE),F563&lt;&gt;"",VLOOKUP(F563,Ops!$R$2:'Ops'!$S$11,2),L563&lt;&gt;"",VLOOKUP(L563,Ops!$R$2:'Ops'!$S$25,2,FALSE),TRUE,"0000"),2)</f>
        <v>00</v>
      </c>
      <c r="P563" s="26" t="str">
        <f>RIGHT(IF($E563&lt;&gt;"",_xlfn.XLOOKUP($E563,$C$4:$C$681,$B$4:$B$681,"NO LABEL"),BIN2HEX(IF(N563="CarryEn","1","0")&amp;IF(M563="SubXY","1","0")&amp;IF(H563&lt;&gt;"",VLOOKUP(H563,Ops!$F$2:'Ops'!$G$20,2,FALSE),"000000"),2)),2)</f>
        <v>C5</v>
      </c>
      <c r="Q563" s="26" t="str" cm="1">
        <f t="array" ref="Q563">BIN2HEX(_xlfn.IFS(D563="HWINTEN","10",G563="KeyAck","01",G563="InitLp8","01",TRUE,"00")&amp;IF(OR(Ops!$O$2:'Ops'!$O$13=K563),VLOOKUP(K563,Ops!$O$2:'Ops'!$P$13,2,FALSE),"000")&amp;IF(E563&lt;&gt;"",IF(LEN(_xlfn.XLOOKUP($E563,$C$5:$C$681,$B$5:$B$681,0))=3,HEX2BIN(LEFT(_xlfn.XLOOKUP($E563,$C$5:$C$681,$B$5:$B$681,0),1),3),IF(OR(Ops!$L$2:'Ops'!$L$11=J563),VLOOKUP(J563,Ops!$L$2:'Ops'!$M$11,2,FALSE),"000")),IF(OR(Ops!$L$2:'Ops'!$L$11=J563),VLOOKUP(J563,Ops!$L$2:'Ops'!$M$11,2,FALSE),"000")),2)</f>
        <v>14</v>
      </c>
      <c r="R563" s="27"/>
      <c r="Z563" s="74" t="str">
        <f t="shared" si="163"/>
        <v>0x00,</v>
      </c>
      <c r="AA563" s="75" t="str">
        <f t="shared" si="164"/>
        <v>0xC5,</v>
      </c>
      <c r="AB563" s="75" t="str">
        <f t="shared" si="165"/>
        <v>0x14,</v>
      </c>
      <c r="AC563" s="76"/>
    </row>
    <row r="564" spans="1:29" x14ac:dyDescent="0.3">
      <c r="A564" s="79">
        <f t="shared" si="167"/>
        <v>1698</v>
      </c>
      <c r="B564" s="80" t="str">
        <f t="shared" si="168"/>
        <v>6A2</v>
      </c>
      <c r="D564" s="29"/>
      <c r="F564" s="29"/>
      <c r="G564" s="24"/>
      <c r="H564" s="29" t="s">
        <v>62</v>
      </c>
      <c r="I564" s="4" t="s">
        <v>482</v>
      </c>
      <c r="J564" s="4" t="s">
        <v>63</v>
      </c>
      <c r="K564" s="4" t="s">
        <v>470</v>
      </c>
      <c r="M564" s="14" t="s">
        <v>69</v>
      </c>
      <c r="N564" s="4" t="s">
        <v>41</v>
      </c>
      <c r="O564" s="25" t="str" cm="1">
        <f t="array" ref="O564">BIN2HEX(IF(I564&lt;&gt;"",VLOOKUP(I564,Ops!$I$2:'Ops'!$J$15,2,FALSE),IF(ISNUMBER(SEARCH("BR",D564)),"001","000"))&amp;IF(D564&lt;&gt;"",VLOOKUP(D564,Ops!$B$2:'Ops'!$C$23,2,FALSE),"0")&amp;_xlfn.IFS(ISNUMBER(SEARCH("BR",D564)),VLOOKUP(D564,Ops!$B$3:'Ops'!$D$22,3,FALSE),F564&lt;&gt;"",VLOOKUP(F564,Ops!$R$2:'Ops'!$S$11,2),L564&lt;&gt;"",VLOOKUP(L564,Ops!$R$2:'Ops'!$S$25,2,FALSE),TRUE,"0000"),2)</f>
        <v>00</v>
      </c>
      <c r="P564" s="26" t="str">
        <f>RIGHT(IF($E564&lt;&gt;"",_xlfn.XLOOKUP($E564,$C$4:$C$681,$B$4:$B$681,"NO LABEL"),BIN2HEX(IF(N564="CarryEn","1","0")&amp;IF(M564="SubXY","1","0")&amp;IF(H564&lt;&gt;"",VLOOKUP(H564,Ops!$F$2:'Ops'!$G$20,2,FALSE),"000000"),2)),2)</f>
        <v>C5</v>
      </c>
      <c r="Q564" s="26" t="str" cm="1">
        <f t="array" ref="Q564">BIN2HEX(_xlfn.IFS(D564="HWINTEN","10",G564="KeyAck","01",G564="InitLp8","01",TRUE,"00")&amp;IF(OR(Ops!$O$2:'Ops'!$O$13=K564),VLOOKUP(K564,Ops!$O$2:'Ops'!$P$13,2,FALSE),"000")&amp;IF(E564&lt;&gt;"",IF(LEN(_xlfn.XLOOKUP($E564,$C$5:$C$681,$B$5:$B$681,0))=3,HEX2BIN(LEFT(_xlfn.XLOOKUP($E564,$C$5:$C$681,$B$5:$B$681,0),1),3),IF(OR(Ops!$L$2:'Ops'!$L$11=J564),VLOOKUP(J564,Ops!$L$2:'Ops'!$M$11,2,FALSE),"000")),IF(OR(Ops!$L$2:'Ops'!$L$11=J564),VLOOKUP(J564,Ops!$L$2:'Ops'!$M$11,2,FALSE),"000")),2)</f>
        <v>14</v>
      </c>
      <c r="R564" s="27"/>
      <c r="Z564" s="74" t="str">
        <f t="shared" si="163"/>
        <v>0x00,</v>
      </c>
      <c r="AA564" s="75" t="str">
        <f t="shared" si="164"/>
        <v>0xC5,</v>
      </c>
      <c r="AB564" s="75" t="str">
        <f t="shared" si="165"/>
        <v>0x14,</v>
      </c>
      <c r="AC564" s="76"/>
    </row>
    <row r="565" spans="1:29" x14ac:dyDescent="0.3">
      <c r="A565" s="79">
        <f t="shared" si="167"/>
        <v>1701</v>
      </c>
      <c r="B565" s="80" t="str">
        <f t="shared" si="168"/>
        <v>6A5</v>
      </c>
      <c r="D565" s="29"/>
      <c r="F565" s="29"/>
      <c r="G565" s="24"/>
      <c r="H565" s="29" t="s">
        <v>62</v>
      </c>
      <c r="I565" s="4" t="s">
        <v>482</v>
      </c>
      <c r="J565" s="4" t="s">
        <v>63</v>
      </c>
      <c r="K565" s="4" t="s">
        <v>470</v>
      </c>
      <c r="M565" s="14" t="s">
        <v>69</v>
      </c>
      <c r="N565" s="4" t="s">
        <v>41</v>
      </c>
      <c r="O565" s="25" t="str" cm="1">
        <f t="array" ref="O565">BIN2HEX(IF(I565&lt;&gt;"",VLOOKUP(I565,Ops!$I$2:'Ops'!$J$15,2,FALSE),IF(ISNUMBER(SEARCH("BR",D565)),"001","000"))&amp;IF(D565&lt;&gt;"",VLOOKUP(D565,Ops!$B$2:'Ops'!$C$23,2,FALSE),"0")&amp;_xlfn.IFS(ISNUMBER(SEARCH("BR",D565)),VLOOKUP(D565,Ops!$B$3:'Ops'!$D$22,3,FALSE),F565&lt;&gt;"",VLOOKUP(F565,Ops!$R$2:'Ops'!$S$11,2),L565&lt;&gt;"",VLOOKUP(L565,Ops!$R$2:'Ops'!$S$25,2,FALSE),TRUE,"0000"),2)</f>
        <v>00</v>
      </c>
      <c r="P565" s="26" t="str">
        <f>RIGHT(IF($E565&lt;&gt;"",_xlfn.XLOOKUP($E565,$C$4:$C$681,$B$4:$B$681,"NO LABEL"),BIN2HEX(IF(N565="CarryEn","1","0")&amp;IF(M565="SubXY","1","0")&amp;IF(H565&lt;&gt;"",VLOOKUP(H565,Ops!$F$2:'Ops'!$G$20,2,FALSE),"000000"),2)),2)</f>
        <v>C5</v>
      </c>
      <c r="Q565" s="26" t="str" cm="1">
        <f t="array" ref="Q565">BIN2HEX(_xlfn.IFS(D565="HWINTEN","10",G565="KeyAck","01",G565="InitLp8","01",TRUE,"00")&amp;IF(OR(Ops!$O$2:'Ops'!$O$13=K565),VLOOKUP(K565,Ops!$O$2:'Ops'!$P$13,2,FALSE),"000")&amp;IF(E565&lt;&gt;"",IF(LEN(_xlfn.XLOOKUP($E565,$C$5:$C$681,$B$5:$B$681,0))=3,HEX2BIN(LEFT(_xlfn.XLOOKUP($E565,$C$5:$C$681,$B$5:$B$681,0),1),3),IF(OR(Ops!$L$2:'Ops'!$L$11=J565),VLOOKUP(J565,Ops!$L$2:'Ops'!$M$11,2,FALSE),"000")),IF(OR(Ops!$L$2:'Ops'!$L$11=J565),VLOOKUP(J565,Ops!$L$2:'Ops'!$M$11,2,FALSE),"000")),2)</f>
        <v>14</v>
      </c>
      <c r="R565" s="27"/>
      <c r="Z565" s="74" t="str">
        <f t="shared" si="163"/>
        <v>0x00,</v>
      </c>
      <c r="AA565" s="75" t="str">
        <f t="shared" si="164"/>
        <v>0xC5,</v>
      </c>
      <c r="AB565" s="75" t="str">
        <f t="shared" si="165"/>
        <v>0x14,</v>
      </c>
      <c r="AC565" s="76"/>
    </row>
    <row r="566" spans="1:29" x14ac:dyDescent="0.3">
      <c r="A566" s="79">
        <f t="shared" si="167"/>
        <v>1704</v>
      </c>
      <c r="B566" s="80" t="str">
        <f t="shared" si="168"/>
        <v>6A8</v>
      </c>
      <c r="D566" s="29"/>
      <c r="F566" s="29"/>
      <c r="G566" s="24"/>
      <c r="H566" s="29" t="s">
        <v>62</v>
      </c>
      <c r="I566" s="4" t="s">
        <v>482</v>
      </c>
      <c r="J566" s="4" t="s">
        <v>63</v>
      </c>
      <c r="K566" s="4" t="s">
        <v>470</v>
      </c>
      <c r="M566" s="14" t="s">
        <v>69</v>
      </c>
      <c r="N566" s="4" t="s">
        <v>41</v>
      </c>
      <c r="O566" s="25" t="str" cm="1">
        <f t="array" ref="O566">BIN2HEX(IF(I566&lt;&gt;"",VLOOKUP(I566,Ops!$I$2:'Ops'!$J$15,2,FALSE),IF(ISNUMBER(SEARCH("BR",D566)),"001","000"))&amp;IF(D566&lt;&gt;"",VLOOKUP(D566,Ops!$B$2:'Ops'!$C$23,2,FALSE),"0")&amp;_xlfn.IFS(ISNUMBER(SEARCH("BR",D566)),VLOOKUP(D566,Ops!$B$3:'Ops'!$D$22,3,FALSE),F566&lt;&gt;"",VLOOKUP(F566,Ops!$R$2:'Ops'!$S$11,2),L566&lt;&gt;"",VLOOKUP(L566,Ops!$R$2:'Ops'!$S$25,2,FALSE),TRUE,"0000"),2)</f>
        <v>00</v>
      </c>
      <c r="P566" s="26" t="str">
        <f>RIGHT(IF($E566&lt;&gt;"",_xlfn.XLOOKUP($E566,$C$4:$C$681,$B$4:$B$681,"NO LABEL"),BIN2HEX(IF(N566="CarryEn","1","0")&amp;IF(M566="SubXY","1","0")&amp;IF(H566&lt;&gt;"",VLOOKUP(H566,Ops!$F$2:'Ops'!$G$20,2,FALSE),"000000"),2)),2)</f>
        <v>C5</v>
      </c>
      <c r="Q566" s="26" t="str" cm="1">
        <f t="array" ref="Q566">BIN2HEX(_xlfn.IFS(D566="HWINTEN","10",G566="KeyAck","01",G566="InitLp8","01",TRUE,"00")&amp;IF(OR(Ops!$O$2:'Ops'!$O$13=K566),VLOOKUP(K566,Ops!$O$2:'Ops'!$P$13,2,FALSE),"000")&amp;IF(E566&lt;&gt;"",IF(LEN(_xlfn.XLOOKUP($E566,$C$5:$C$681,$B$5:$B$681,0))=3,HEX2BIN(LEFT(_xlfn.XLOOKUP($E566,$C$5:$C$681,$B$5:$B$681,0),1),3),IF(OR(Ops!$L$2:'Ops'!$L$11=J566),VLOOKUP(J566,Ops!$L$2:'Ops'!$M$11,2,FALSE),"000")),IF(OR(Ops!$L$2:'Ops'!$L$11=J566),VLOOKUP(J566,Ops!$L$2:'Ops'!$M$11,2,FALSE),"000")),2)</f>
        <v>14</v>
      </c>
      <c r="R566" s="27"/>
      <c r="Z566" s="74" t="str">
        <f t="shared" si="163"/>
        <v>0x00,</v>
      </c>
      <c r="AA566" s="75" t="str">
        <f t="shared" si="164"/>
        <v>0xC5,</v>
      </c>
      <c r="AB566" s="75" t="str">
        <f t="shared" si="165"/>
        <v>0x14,</v>
      </c>
      <c r="AC566" s="76"/>
    </row>
    <row r="567" spans="1:29" x14ac:dyDescent="0.3">
      <c r="A567" s="79">
        <f t="shared" si="167"/>
        <v>1707</v>
      </c>
      <c r="B567" s="80" t="str">
        <f t="shared" ref="B567:B572" si="169">DEC2HEX(A567)</f>
        <v>6AB</v>
      </c>
      <c r="D567" s="29"/>
      <c r="F567" s="29"/>
      <c r="G567" s="24"/>
      <c r="H567" s="29" t="s">
        <v>62</v>
      </c>
      <c r="I567" s="4" t="s">
        <v>482</v>
      </c>
      <c r="J567" s="4" t="s">
        <v>63</v>
      </c>
      <c r="K567" s="4" t="s">
        <v>470</v>
      </c>
      <c r="M567" s="14" t="s">
        <v>69</v>
      </c>
      <c r="N567" s="4" t="s">
        <v>41</v>
      </c>
      <c r="O567" s="25" t="str" cm="1">
        <f t="array" ref="O567">BIN2HEX(IF(I567&lt;&gt;"",VLOOKUP(I567,Ops!$I$2:'Ops'!$J$15,2,FALSE),IF(ISNUMBER(SEARCH("BR",D567)),"001","000"))&amp;IF(D567&lt;&gt;"",VLOOKUP(D567,Ops!$B$2:'Ops'!$C$23,2,FALSE),"0")&amp;_xlfn.IFS(ISNUMBER(SEARCH("BR",D567)),VLOOKUP(D567,Ops!$B$3:'Ops'!$D$22,3,FALSE),F567&lt;&gt;"",VLOOKUP(F567,Ops!$R$2:'Ops'!$S$11,2),L567&lt;&gt;"",VLOOKUP(L567,Ops!$R$2:'Ops'!$S$25,2,FALSE),TRUE,"0000"),2)</f>
        <v>00</v>
      </c>
      <c r="P567" s="26" t="str">
        <f>RIGHT(IF($E567&lt;&gt;"",_xlfn.XLOOKUP($E567,$C$4:$C$681,$B$4:$B$681,"NO LABEL"),BIN2HEX(IF(N567="CarryEn","1","0")&amp;IF(M567="SubXY","1","0")&amp;IF(H567&lt;&gt;"",VLOOKUP(H567,Ops!$F$2:'Ops'!$G$20,2,FALSE),"000000"),2)),2)</f>
        <v>C5</v>
      </c>
      <c r="Q567" s="26" t="str" cm="1">
        <f t="array" ref="Q567">BIN2HEX(_xlfn.IFS(D567="HWINTEN","10",G567="KeyAck","01",G567="InitLp8","01",TRUE,"00")&amp;IF(OR(Ops!$O$2:'Ops'!$O$13=K567),VLOOKUP(K567,Ops!$O$2:'Ops'!$P$13,2,FALSE),"000")&amp;IF(E567&lt;&gt;"",IF(LEN(_xlfn.XLOOKUP($E567,$C$5:$C$681,$B$5:$B$681,0))=3,HEX2BIN(LEFT(_xlfn.XLOOKUP($E567,$C$5:$C$681,$B$5:$B$681,0),1),3),IF(OR(Ops!$L$2:'Ops'!$L$11=J567),VLOOKUP(J567,Ops!$L$2:'Ops'!$M$11,2,FALSE),"000")),IF(OR(Ops!$L$2:'Ops'!$L$11=J567),VLOOKUP(J567,Ops!$L$2:'Ops'!$M$11,2,FALSE),"000")),2)</f>
        <v>14</v>
      </c>
      <c r="R567" s="27"/>
      <c r="Z567" s="74" t="str">
        <f t="shared" si="163"/>
        <v>0x00,</v>
      </c>
      <c r="AA567" s="75" t="str">
        <f t="shared" si="164"/>
        <v>0xC5,</v>
      </c>
      <c r="AB567" s="75" t="str">
        <f t="shared" si="165"/>
        <v>0x14,</v>
      </c>
      <c r="AC567" s="76"/>
    </row>
    <row r="568" spans="1:29" x14ac:dyDescent="0.3">
      <c r="A568" s="79">
        <f t="shared" si="167"/>
        <v>1710</v>
      </c>
      <c r="B568" s="80" t="str">
        <f t="shared" si="169"/>
        <v>6AE</v>
      </c>
      <c r="D568" s="29"/>
      <c r="F568" s="29"/>
      <c r="G568" s="24"/>
      <c r="H568" s="29" t="s">
        <v>62</v>
      </c>
      <c r="I568" s="4" t="s">
        <v>482</v>
      </c>
      <c r="J568" s="4" t="s">
        <v>63</v>
      </c>
      <c r="K568" s="4" t="s">
        <v>470</v>
      </c>
      <c r="M568" s="14" t="s">
        <v>69</v>
      </c>
      <c r="N568" s="4" t="s">
        <v>41</v>
      </c>
      <c r="O568" s="25" t="str" cm="1">
        <f t="array" ref="O568">BIN2HEX(IF(I568&lt;&gt;"",VLOOKUP(I568,Ops!$I$2:'Ops'!$J$15,2,FALSE),IF(ISNUMBER(SEARCH("BR",D568)),"001","000"))&amp;IF(D568&lt;&gt;"",VLOOKUP(D568,Ops!$B$2:'Ops'!$C$23,2,FALSE),"0")&amp;_xlfn.IFS(ISNUMBER(SEARCH("BR",D568)),VLOOKUP(D568,Ops!$B$3:'Ops'!$D$22,3,FALSE),F568&lt;&gt;"",VLOOKUP(F568,Ops!$R$2:'Ops'!$S$11,2),L568&lt;&gt;"",VLOOKUP(L568,Ops!$R$2:'Ops'!$S$25,2,FALSE),TRUE,"0000"),2)</f>
        <v>00</v>
      </c>
      <c r="P568" s="26" t="str">
        <f>RIGHT(IF($E568&lt;&gt;"",_xlfn.XLOOKUP($E568,$C$4:$C$681,$B$4:$B$681,"NO LABEL"),BIN2HEX(IF(N568="CarryEn","1","0")&amp;IF(M568="SubXY","1","0")&amp;IF(H568&lt;&gt;"",VLOOKUP(H568,Ops!$F$2:'Ops'!$G$20,2,FALSE),"000000"),2)),2)</f>
        <v>C5</v>
      </c>
      <c r="Q568" s="26" t="str" cm="1">
        <f t="array" ref="Q568">BIN2HEX(_xlfn.IFS(D568="HWINTEN","10",G568="KeyAck","01",G568="InitLp8","01",TRUE,"00")&amp;IF(OR(Ops!$O$2:'Ops'!$O$13=K568),VLOOKUP(K568,Ops!$O$2:'Ops'!$P$13,2,FALSE),"000")&amp;IF(E568&lt;&gt;"",IF(LEN(_xlfn.XLOOKUP($E568,$C$5:$C$681,$B$5:$B$681,0))=3,HEX2BIN(LEFT(_xlfn.XLOOKUP($E568,$C$5:$C$681,$B$5:$B$681,0),1),3),IF(OR(Ops!$L$2:'Ops'!$L$11=J568),VLOOKUP(J568,Ops!$L$2:'Ops'!$M$11,2,FALSE),"000")),IF(OR(Ops!$L$2:'Ops'!$L$11=J568),VLOOKUP(J568,Ops!$L$2:'Ops'!$M$11,2,FALSE),"000")),2)</f>
        <v>14</v>
      </c>
      <c r="R568" s="27"/>
      <c r="Z568" s="74" t="str">
        <f t="shared" si="163"/>
        <v>0x00,</v>
      </c>
      <c r="AA568" s="75" t="str">
        <f t="shared" si="164"/>
        <v>0xC5,</v>
      </c>
      <c r="AB568" s="75" t="str">
        <f t="shared" si="165"/>
        <v>0x14,</v>
      </c>
      <c r="AC568" s="76"/>
    </row>
    <row r="569" spans="1:29" x14ac:dyDescent="0.3">
      <c r="A569" s="79">
        <f t="shared" si="167"/>
        <v>1713</v>
      </c>
      <c r="B569" s="80" t="str">
        <f t="shared" si="169"/>
        <v>6B1</v>
      </c>
      <c r="D569" s="29" t="s">
        <v>73</v>
      </c>
      <c r="E569" s="4" t="s">
        <v>628</v>
      </c>
      <c r="F569" s="29"/>
      <c r="G569" s="24"/>
      <c r="H569" s="29"/>
      <c r="M569" s="14"/>
      <c r="O569" s="25" t="str" cm="1">
        <f t="array" ref="O569">BIN2HEX(IF(I569&lt;&gt;"",VLOOKUP(I569,Ops!$I$2:'Ops'!$J$15,2,FALSE),IF(ISNUMBER(SEARCH("BR",D569)),"001","000"))&amp;IF(D569&lt;&gt;"",VLOOKUP(D569,Ops!$B$2:'Ops'!$C$23,2,FALSE),"0")&amp;_xlfn.IFS(ISNUMBER(SEARCH("BR",D569)),VLOOKUP(D569,Ops!$B$3:'Ops'!$D$22,3,FALSE),F569&lt;&gt;"",VLOOKUP(F569,Ops!$R$2:'Ops'!$S$11,2),L569&lt;&gt;"",VLOOKUP(L569,Ops!$R$2:'Ops'!$S$25,2,FALSE),TRUE,"0000"),2)</f>
        <v>3C</v>
      </c>
      <c r="P569" s="26" t="str">
        <f>RIGHT(IF($E569&lt;&gt;"",_xlfn.XLOOKUP($E569,$C$4:$C$681,$B$4:$B$681,"NO LABEL"),BIN2HEX(IF(N569="CarryEn","1","0")&amp;IF(M569="SubXY","1","0")&amp;IF(H569&lt;&gt;"",VLOOKUP(H569,Ops!$F$2:'Ops'!$G$20,2,FALSE),"000000"),2)),2)</f>
        <v>BA</v>
      </c>
      <c r="Q569" s="26" t="str" cm="1">
        <f t="array" ref="Q569">BIN2HEX(_xlfn.IFS(D569="HWINTEN","10",G569="KeyAck","01",G569="InitLp8","01",TRUE,"00")&amp;IF(OR(Ops!$O$2:'Ops'!$O$13=K569),VLOOKUP(K569,Ops!$O$2:'Ops'!$P$13,2,FALSE),"000")&amp;IF(E569&lt;&gt;"",IF(LEN(_xlfn.XLOOKUP($E569,$C$5:$C$681,$B$5:$B$681,0))=3,HEX2BIN(LEFT(_xlfn.XLOOKUP($E569,$C$5:$C$681,$B$5:$B$681,0),1),3),IF(OR(Ops!$L$2:'Ops'!$L$11=J569),VLOOKUP(J569,Ops!$L$2:'Ops'!$M$11,2,FALSE),"000")),IF(OR(Ops!$L$2:'Ops'!$L$11=J569),VLOOKUP(J569,Ops!$L$2:'Ops'!$M$11,2,FALSE),"000")),2)</f>
        <v>06</v>
      </c>
      <c r="R569" s="27"/>
      <c r="S569" s="4" t="s">
        <v>155</v>
      </c>
      <c r="Z569" s="74" t="str">
        <f t="shared" si="163"/>
        <v>0x3C,</v>
      </c>
      <c r="AA569" s="75" t="str">
        <f t="shared" si="164"/>
        <v>0xBA,</v>
      </c>
      <c r="AB569" s="75" t="str">
        <f t="shared" si="165"/>
        <v>0x06,</v>
      </c>
      <c r="AC569" s="76"/>
    </row>
    <row r="570" spans="1:29" x14ac:dyDescent="0.3">
      <c r="A570" s="79">
        <f t="shared" si="167"/>
        <v>1716</v>
      </c>
      <c r="B570" s="80" t="str">
        <f t="shared" si="169"/>
        <v>6B4</v>
      </c>
      <c r="D570" s="29"/>
      <c r="F570" s="29"/>
      <c r="G570" s="24"/>
      <c r="H570" s="29"/>
      <c r="J570" s="4" t="s">
        <v>314</v>
      </c>
      <c r="K570" s="4" t="s">
        <v>313</v>
      </c>
      <c r="L570" s="4" t="s">
        <v>293</v>
      </c>
      <c r="M570" s="14"/>
      <c r="O570" s="25" t="str" cm="1">
        <f t="array" ref="O570">BIN2HEX(IF(I570&lt;&gt;"",VLOOKUP(I570,Ops!$I$2:'Ops'!$J$15,2,FALSE),IF(ISNUMBER(SEARCH("BR",D570)),"001","000"))&amp;IF(D570&lt;&gt;"",VLOOKUP(D570,Ops!$B$2:'Ops'!$C$23,2,FALSE),"0")&amp;_xlfn.IFS(ISNUMBER(SEARCH("BR",D570)),VLOOKUP(D570,Ops!$B$3:'Ops'!$D$22,3,FALSE),F570&lt;&gt;"",VLOOKUP(F570,Ops!$R$2:'Ops'!$S$11,2),L570&lt;&gt;"",VLOOKUP(L570,Ops!$R$2:'Ops'!$S$25,2,FALSE),TRUE,"0000"),2)</f>
        <v>06</v>
      </c>
      <c r="P570" s="26" t="str">
        <f>RIGHT(IF($E570&lt;&gt;"",_xlfn.XLOOKUP($E570,$C$4:$C$681,$B$4:$B$681,"NO LABEL"),BIN2HEX(IF(N570="CarryEn","1","0")&amp;IF(M570="SubXY","1","0")&amp;IF(H570&lt;&gt;"",VLOOKUP(H570,Ops!$F$2:'Ops'!$G$20,2,FALSE),"000000"),2)),2)</f>
        <v>00</v>
      </c>
      <c r="Q570" s="26" t="str" cm="1">
        <f t="array" ref="Q570">BIN2HEX(_xlfn.IFS(D570="HWINTEN","10",G570="KeyAck","01",G570="InitLp8","01",TRUE,"00")&amp;IF(OR(Ops!$O$2:'Ops'!$O$13=K570),VLOOKUP(K570,Ops!$O$2:'Ops'!$P$13,2,FALSE),"000")&amp;IF(E570&lt;&gt;"",IF(LEN(_xlfn.XLOOKUP($E570,$C$5:$C$681,$B$5:$B$681,0))=3,HEX2BIN(LEFT(_xlfn.XLOOKUP($E570,$C$5:$C$681,$B$5:$B$681,0),1),3),IF(OR(Ops!$L$2:'Ops'!$L$11=J570),VLOOKUP(J570,Ops!$L$2:'Ops'!$M$11,2,FALSE),"000")),IF(OR(Ops!$L$2:'Ops'!$L$11=J570),VLOOKUP(J570,Ops!$L$2:'Ops'!$M$11,2,FALSE),"000")),2)</f>
        <v>36</v>
      </c>
      <c r="R570" s="27"/>
      <c r="Z570" s="74" t="str">
        <f t="shared" si="163"/>
        <v>0x06,</v>
      </c>
      <c r="AA570" s="75" t="str">
        <f t="shared" si="164"/>
        <v>0x00,</v>
      </c>
      <c r="AB570" s="75" t="str">
        <f t="shared" si="165"/>
        <v>0x36,</v>
      </c>
      <c r="AC570" s="76"/>
    </row>
    <row r="571" spans="1:29" x14ac:dyDescent="0.3">
      <c r="A571" s="79">
        <f t="shared" si="167"/>
        <v>1719</v>
      </c>
      <c r="B571" s="80" t="str">
        <f t="shared" si="169"/>
        <v>6B7</v>
      </c>
      <c r="D571" s="29" t="s">
        <v>0</v>
      </c>
      <c r="E571" s="4" t="s">
        <v>627</v>
      </c>
      <c r="F571" s="29"/>
      <c r="G571" s="24"/>
      <c r="H571" s="29"/>
      <c r="M571" s="14"/>
      <c r="O571" s="25" t="str" cm="1">
        <f t="array" ref="O571">BIN2HEX(IF(I571&lt;&gt;"",VLOOKUP(I571,Ops!$I$2:'Ops'!$J$15,2,FALSE),IF(ISNUMBER(SEARCH("BR",D571)),"001","000"))&amp;IF(D571&lt;&gt;"",VLOOKUP(D571,Ops!$B$2:'Ops'!$C$23,2,FALSE),"0")&amp;_xlfn.IFS(ISNUMBER(SEARCH("BR",D571)),VLOOKUP(D571,Ops!$B$3:'Ops'!$D$22,3,FALSE),F571&lt;&gt;"",VLOOKUP(F571,Ops!$R$2:'Ops'!$S$11,2),L571&lt;&gt;"",VLOOKUP(L571,Ops!$R$2:'Ops'!$S$25,2,FALSE),TRUE,"0000"),2)</f>
        <v>10</v>
      </c>
      <c r="P571" s="26" t="str">
        <f>RIGHT(IF($E571&lt;&gt;"",_xlfn.XLOOKUP($E571,$C$4:$C$681,$B$4:$B$681,"NO LABEL"),BIN2HEX(IF(N571="CarryEn","1","0")&amp;IF(M571="SubXY","1","0")&amp;IF(H571&lt;&gt;"",VLOOKUP(H571,Ops!$F$2:'Ops'!$G$20,2,FALSE),"000000"),2)),2)</f>
        <v>99</v>
      </c>
      <c r="Q571" s="26" t="str" cm="1">
        <f t="array" ref="Q571">BIN2HEX(_xlfn.IFS(D571="HWINTEN","10",G571="KeyAck","01",G571="InitLp8","01",TRUE,"00")&amp;IF(OR(Ops!$O$2:'Ops'!$O$13=K571),VLOOKUP(K571,Ops!$O$2:'Ops'!$P$13,2,FALSE),"000")&amp;IF(E571&lt;&gt;"",IF(LEN(_xlfn.XLOOKUP($E571,$C$5:$C$681,$B$5:$B$681,0))=3,HEX2BIN(LEFT(_xlfn.XLOOKUP($E571,$C$5:$C$681,$B$5:$B$681,0),1),3),IF(OR(Ops!$L$2:'Ops'!$L$11=J571),VLOOKUP(J571,Ops!$L$2:'Ops'!$M$11,2,FALSE),"000")),IF(OR(Ops!$L$2:'Ops'!$L$11=J571),VLOOKUP(J571,Ops!$L$2:'Ops'!$M$11,2,FALSE),"000")),2)</f>
        <v>06</v>
      </c>
      <c r="R571" s="27"/>
      <c r="Z571" s="74" t="str">
        <f t="shared" si="163"/>
        <v>0x10,</v>
      </c>
      <c r="AA571" s="75" t="str">
        <f t="shared" si="164"/>
        <v>0x99,</v>
      </c>
      <c r="AB571" s="75" t="str">
        <f t="shared" si="165"/>
        <v>0x06,</v>
      </c>
      <c r="AC571" s="76"/>
    </row>
    <row r="572" spans="1:29" x14ac:dyDescent="0.3">
      <c r="A572" s="79">
        <f t="shared" si="167"/>
        <v>1722</v>
      </c>
      <c r="B572" s="80" t="str">
        <f t="shared" si="169"/>
        <v>6BA</v>
      </c>
      <c r="C572" s="4" t="s">
        <v>628</v>
      </c>
      <c r="D572" s="29"/>
      <c r="F572" s="29"/>
      <c r="G572" s="24"/>
      <c r="H572" s="29" t="s">
        <v>62</v>
      </c>
      <c r="I572" s="4" t="s">
        <v>482</v>
      </c>
      <c r="J572" s="4" t="s">
        <v>63</v>
      </c>
      <c r="K572" s="4" t="s">
        <v>470</v>
      </c>
      <c r="M572" s="14"/>
      <c r="O572" s="25" t="str" cm="1">
        <f t="array" ref="O572">BIN2HEX(IF(I572&lt;&gt;"",VLOOKUP(I572,Ops!$I$2:'Ops'!$J$15,2,FALSE),IF(ISNUMBER(SEARCH("BR",D572)),"001","000"))&amp;IF(D572&lt;&gt;"",VLOOKUP(D572,Ops!$B$2:'Ops'!$C$23,2,FALSE),"0")&amp;_xlfn.IFS(ISNUMBER(SEARCH("BR",D572)),VLOOKUP(D572,Ops!$B$3:'Ops'!$D$22,3,FALSE),F572&lt;&gt;"",VLOOKUP(F572,Ops!$R$2:'Ops'!$S$11,2),L572&lt;&gt;"",VLOOKUP(L572,Ops!$R$2:'Ops'!$S$25,2,FALSE),TRUE,"0000"),2)</f>
        <v>00</v>
      </c>
      <c r="P572" s="26" t="str">
        <f>RIGHT(IF($E572&lt;&gt;"",_xlfn.XLOOKUP($E572,$C$4:$C$681,$B$4:$B$681,"NO LABEL"),BIN2HEX(IF(N572="CarryEn","1","0")&amp;IF(M572="SubXY","1","0")&amp;IF(H572&lt;&gt;"",VLOOKUP(H572,Ops!$F$2:'Ops'!$G$20,2,FALSE),"000000"),2)),2)</f>
        <v>05</v>
      </c>
      <c r="Q572" s="26" t="str" cm="1">
        <f t="array" ref="Q572">BIN2HEX(_xlfn.IFS(D572="HWINTEN","10",G572="KeyAck","01",G572="InitLp8","01",TRUE,"00")&amp;IF(OR(Ops!$O$2:'Ops'!$O$13=K572),VLOOKUP(K572,Ops!$O$2:'Ops'!$P$13,2,FALSE),"000")&amp;IF(E572&lt;&gt;"",IF(LEN(_xlfn.XLOOKUP($E572,$C$5:$C$681,$B$5:$B$681,0))=3,HEX2BIN(LEFT(_xlfn.XLOOKUP($E572,$C$5:$C$681,$B$5:$B$681,0),1),3),IF(OR(Ops!$L$2:'Ops'!$L$11=J572),VLOOKUP(J572,Ops!$L$2:'Ops'!$M$11,2,FALSE),"000")),IF(OR(Ops!$L$2:'Ops'!$L$11=J572),VLOOKUP(J572,Ops!$L$2:'Ops'!$M$11,2,FALSE),"000")),2)</f>
        <v>14</v>
      </c>
      <c r="R572" s="27"/>
      <c r="Z572" s="74" t="str">
        <f t="shared" si="163"/>
        <v>0x00,</v>
      </c>
      <c r="AA572" s="75" t="str">
        <f t="shared" si="164"/>
        <v>0x05,</v>
      </c>
      <c r="AB572" s="75" t="str">
        <f t="shared" si="165"/>
        <v>0x14,</v>
      </c>
      <c r="AC572" s="76"/>
    </row>
    <row r="573" spans="1:29" x14ac:dyDescent="0.3">
      <c r="A573" s="79">
        <f t="shared" si="167"/>
        <v>1725</v>
      </c>
      <c r="B573" s="80" t="str">
        <f t="shared" ref="B573:B579" si="170">DEC2HEX(A573)</f>
        <v>6BD</v>
      </c>
      <c r="D573" s="29"/>
      <c r="F573" s="29"/>
      <c r="G573" s="24"/>
      <c r="H573" s="29" t="s">
        <v>62</v>
      </c>
      <c r="I573" s="4" t="s">
        <v>482</v>
      </c>
      <c r="J573" s="4" t="s">
        <v>63</v>
      </c>
      <c r="K573" s="4" t="s">
        <v>470</v>
      </c>
      <c r="M573" s="14"/>
      <c r="N573" s="4" t="s">
        <v>41</v>
      </c>
      <c r="O573" s="25" t="str" cm="1">
        <f t="array" ref="O573">BIN2HEX(IF(I573&lt;&gt;"",VLOOKUP(I573,Ops!$I$2:'Ops'!$J$15,2,FALSE),IF(ISNUMBER(SEARCH("BR",D573)),"001","000"))&amp;IF(D573&lt;&gt;"",VLOOKUP(D573,Ops!$B$2:'Ops'!$C$23,2,FALSE),"0")&amp;_xlfn.IFS(ISNUMBER(SEARCH("BR",D573)),VLOOKUP(D573,Ops!$B$3:'Ops'!$D$22,3,FALSE),F573&lt;&gt;"",VLOOKUP(F573,Ops!$R$2:'Ops'!$S$11,2),L573&lt;&gt;"",VLOOKUP(L573,Ops!$R$2:'Ops'!$S$25,2,FALSE),TRUE,"0000"),2)</f>
        <v>00</v>
      </c>
      <c r="P573" s="26" t="str">
        <f>RIGHT(IF($E573&lt;&gt;"",_xlfn.XLOOKUP($E573,$C$4:$C$681,$B$4:$B$681,"NO LABEL"),BIN2HEX(IF(N573="CarryEn","1","0")&amp;IF(M573="SubXY","1","0")&amp;IF(H573&lt;&gt;"",VLOOKUP(H573,Ops!$F$2:'Ops'!$G$20,2,FALSE),"000000"),2)),2)</f>
        <v>85</v>
      </c>
      <c r="Q573" s="26" t="str" cm="1">
        <f t="array" ref="Q573">BIN2HEX(_xlfn.IFS(D573="HWINTEN","10",G573="KeyAck","01",G573="InitLp8","01",TRUE,"00")&amp;IF(OR(Ops!$O$2:'Ops'!$O$13=K573),VLOOKUP(K573,Ops!$O$2:'Ops'!$P$13,2,FALSE),"000")&amp;IF(E573&lt;&gt;"",IF(LEN(_xlfn.XLOOKUP($E573,$C$5:$C$681,$B$5:$B$681,0))=3,HEX2BIN(LEFT(_xlfn.XLOOKUP($E573,$C$5:$C$681,$B$5:$B$681,0),1),3),IF(OR(Ops!$L$2:'Ops'!$L$11=J573),VLOOKUP(J573,Ops!$L$2:'Ops'!$M$11,2,FALSE),"000")),IF(OR(Ops!$L$2:'Ops'!$L$11=J573),VLOOKUP(J573,Ops!$L$2:'Ops'!$M$11,2,FALSE),"000")),2)</f>
        <v>14</v>
      </c>
      <c r="R573" s="27"/>
      <c r="S573" s="4" t="s">
        <v>157</v>
      </c>
      <c r="Z573" s="74" t="str">
        <f t="shared" si="163"/>
        <v>0x00,</v>
      </c>
      <c r="AA573" s="75" t="str">
        <f t="shared" si="164"/>
        <v>0x85,</v>
      </c>
      <c r="AB573" s="75" t="str">
        <f t="shared" si="165"/>
        <v>0x14,</v>
      </c>
      <c r="AC573" s="76"/>
    </row>
    <row r="574" spans="1:29" x14ac:dyDescent="0.3">
      <c r="A574" s="79">
        <f t="shared" si="167"/>
        <v>1728</v>
      </c>
      <c r="B574" s="80" t="str">
        <f t="shared" si="170"/>
        <v>6C0</v>
      </c>
      <c r="D574" s="29"/>
      <c r="F574" s="29"/>
      <c r="G574" s="24"/>
      <c r="H574" s="29" t="s">
        <v>62</v>
      </c>
      <c r="I574" s="4" t="s">
        <v>482</v>
      </c>
      <c r="J574" s="4" t="s">
        <v>63</v>
      </c>
      <c r="K574" s="4" t="s">
        <v>470</v>
      </c>
      <c r="M574" s="14"/>
      <c r="N574" s="4" t="s">
        <v>41</v>
      </c>
      <c r="O574" s="25" t="str" cm="1">
        <f t="array" ref="O574">BIN2HEX(IF(I574&lt;&gt;"",VLOOKUP(I574,Ops!$I$2:'Ops'!$J$15,2,FALSE),IF(ISNUMBER(SEARCH("BR",D574)),"001","000"))&amp;IF(D574&lt;&gt;"",VLOOKUP(D574,Ops!$B$2:'Ops'!$C$23,2,FALSE),"0")&amp;_xlfn.IFS(ISNUMBER(SEARCH("BR",D574)),VLOOKUP(D574,Ops!$B$3:'Ops'!$D$22,3,FALSE),F574&lt;&gt;"",VLOOKUP(F574,Ops!$R$2:'Ops'!$S$11,2),L574&lt;&gt;"",VLOOKUP(L574,Ops!$R$2:'Ops'!$S$25,2,FALSE),TRUE,"0000"),2)</f>
        <v>00</v>
      </c>
      <c r="P574" s="26" t="str">
        <f>RIGHT(IF($E574&lt;&gt;"",_xlfn.XLOOKUP($E574,$C$4:$C$681,$B$4:$B$681,"NO LABEL"),BIN2HEX(IF(N574="CarryEn","1","0")&amp;IF(M574="SubXY","1","0")&amp;IF(H574&lt;&gt;"",VLOOKUP(H574,Ops!$F$2:'Ops'!$G$20,2,FALSE),"000000"),2)),2)</f>
        <v>85</v>
      </c>
      <c r="Q574" s="26" t="str" cm="1">
        <f t="array" ref="Q574">BIN2HEX(_xlfn.IFS(D574="HWINTEN","10",G574="KeyAck","01",G574="InitLp8","01",TRUE,"00")&amp;IF(OR(Ops!$O$2:'Ops'!$O$13=K574),VLOOKUP(K574,Ops!$O$2:'Ops'!$P$13,2,FALSE),"000")&amp;IF(E574&lt;&gt;"",IF(LEN(_xlfn.XLOOKUP($E574,$C$5:$C$681,$B$5:$B$681,0))=3,HEX2BIN(LEFT(_xlfn.XLOOKUP($E574,$C$5:$C$681,$B$5:$B$681,0),1),3),IF(OR(Ops!$L$2:'Ops'!$L$11=J574),VLOOKUP(J574,Ops!$L$2:'Ops'!$M$11,2,FALSE),"000")),IF(OR(Ops!$L$2:'Ops'!$L$11=J574),VLOOKUP(J574,Ops!$L$2:'Ops'!$M$11,2,FALSE),"000")),2)</f>
        <v>14</v>
      </c>
      <c r="R574" s="27"/>
      <c r="Z574" s="74" t="str">
        <f t="shared" si="163"/>
        <v>0x00,</v>
      </c>
      <c r="AA574" s="75" t="str">
        <f t="shared" si="164"/>
        <v>0x85,</v>
      </c>
      <c r="AB574" s="75" t="str">
        <f t="shared" si="165"/>
        <v>0x14,</v>
      </c>
      <c r="AC574" s="76"/>
    </row>
    <row r="575" spans="1:29" x14ac:dyDescent="0.3">
      <c r="A575" s="79">
        <f t="shared" si="167"/>
        <v>1731</v>
      </c>
      <c r="B575" s="80" t="str">
        <f t="shared" si="170"/>
        <v>6C3</v>
      </c>
      <c r="D575" s="29"/>
      <c r="F575" s="29"/>
      <c r="G575" s="24"/>
      <c r="H575" s="29" t="s">
        <v>62</v>
      </c>
      <c r="I575" s="4" t="s">
        <v>482</v>
      </c>
      <c r="J575" s="4" t="s">
        <v>63</v>
      </c>
      <c r="K575" s="4" t="s">
        <v>470</v>
      </c>
      <c r="M575" s="14"/>
      <c r="N575" s="4" t="s">
        <v>41</v>
      </c>
      <c r="O575" s="25" t="str" cm="1">
        <f t="array" ref="O575">BIN2HEX(IF(I575&lt;&gt;"",VLOOKUP(I575,Ops!$I$2:'Ops'!$J$15,2,FALSE),IF(ISNUMBER(SEARCH("BR",D575)),"001","000"))&amp;IF(D575&lt;&gt;"",VLOOKUP(D575,Ops!$B$2:'Ops'!$C$23,2,FALSE),"0")&amp;_xlfn.IFS(ISNUMBER(SEARCH("BR",D575)),VLOOKUP(D575,Ops!$B$3:'Ops'!$D$22,3,FALSE),F575&lt;&gt;"",VLOOKUP(F575,Ops!$R$2:'Ops'!$S$11,2),L575&lt;&gt;"",VLOOKUP(L575,Ops!$R$2:'Ops'!$S$25,2,FALSE),TRUE,"0000"),2)</f>
        <v>00</v>
      </c>
      <c r="P575" s="26" t="str">
        <f>RIGHT(IF($E575&lt;&gt;"",_xlfn.XLOOKUP($E575,$C$4:$C$681,$B$4:$B$681,"NO LABEL"),BIN2HEX(IF(N575="CarryEn","1","0")&amp;IF(M575="SubXY","1","0")&amp;IF(H575&lt;&gt;"",VLOOKUP(H575,Ops!$F$2:'Ops'!$G$20,2,FALSE),"000000"),2)),2)</f>
        <v>85</v>
      </c>
      <c r="Q575" s="26" t="str" cm="1">
        <f t="array" ref="Q575">BIN2HEX(_xlfn.IFS(D575="HWINTEN","10",G575="KeyAck","01",G575="InitLp8","01",TRUE,"00")&amp;IF(OR(Ops!$O$2:'Ops'!$O$13=K575),VLOOKUP(K575,Ops!$O$2:'Ops'!$P$13,2,FALSE),"000")&amp;IF(E575&lt;&gt;"",IF(LEN(_xlfn.XLOOKUP($E575,$C$5:$C$681,$B$5:$B$681,0))=3,HEX2BIN(LEFT(_xlfn.XLOOKUP($E575,$C$5:$C$681,$B$5:$B$681,0),1),3),IF(OR(Ops!$L$2:'Ops'!$L$11=J575),VLOOKUP(J575,Ops!$L$2:'Ops'!$M$11,2,FALSE),"000")),IF(OR(Ops!$L$2:'Ops'!$L$11=J575),VLOOKUP(J575,Ops!$L$2:'Ops'!$M$11,2,FALSE),"000")),2)</f>
        <v>14</v>
      </c>
      <c r="R575" s="27"/>
      <c r="Z575" s="74" t="str">
        <f t="shared" si="163"/>
        <v>0x00,</v>
      </c>
      <c r="AA575" s="75" t="str">
        <f t="shared" si="164"/>
        <v>0x85,</v>
      </c>
      <c r="AB575" s="75" t="str">
        <f t="shared" si="165"/>
        <v>0x14,</v>
      </c>
      <c r="AC575" s="76"/>
    </row>
    <row r="576" spans="1:29" x14ac:dyDescent="0.3">
      <c r="A576" s="79">
        <f t="shared" si="167"/>
        <v>1734</v>
      </c>
      <c r="B576" s="80" t="str">
        <f t="shared" si="170"/>
        <v>6C6</v>
      </c>
      <c r="D576" s="29"/>
      <c r="F576" s="29"/>
      <c r="G576" s="24"/>
      <c r="H576" s="29" t="s">
        <v>62</v>
      </c>
      <c r="I576" s="4" t="s">
        <v>482</v>
      </c>
      <c r="J576" s="4" t="s">
        <v>63</v>
      </c>
      <c r="K576" s="4" t="s">
        <v>470</v>
      </c>
      <c r="M576" s="14"/>
      <c r="N576" s="4" t="s">
        <v>41</v>
      </c>
      <c r="O576" s="25" t="str" cm="1">
        <f t="array" ref="O576">BIN2HEX(IF(I576&lt;&gt;"",VLOOKUP(I576,Ops!$I$2:'Ops'!$J$15,2,FALSE),IF(ISNUMBER(SEARCH("BR",D576)),"001","000"))&amp;IF(D576&lt;&gt;"",VLOOKUP(D576,Ops!$B$2:'Ops'!$C$23,2,FALSE),"0")&amp;_xlfn.IFS(ISNUMBER(SEARCH("BR",D576)),VLOOKUP(D576,Ops!$B$3:'Ops'!$D$22,3,FALSE),F576&lt;&gt;"",VLOOKUP(F576,Ops!$R$2:'Ops'!$S$11,2),L576&lt;&gt;"",VLOOKUP(L576,Ops!$R$2:'Ops'!$S$25,2,FALSE),TRUE,"0000"),2)</f>
        <v>00</v>
      </c>
      <c r="P576" s="26" t="str">
        <f>RIGHT(IF($E576&lt;&gt;"",_xlfn.XLOOKUP($E576,$C$4:$C$681,$B$4:$B$681,"NO LABEL"),BIN2HEX(IF(N576="CarryEn","1","0")&amp;IF(M576="SubXY","1","0")&amp;IF(H576&lt;&gt;"",VLOOKUP(H576,Ops!$F$2:'Ops'!$G$20,2,FALSE),"000000"),2)),2)</f>
        <v>85</v>
      </c>
      <c r="Q576" s="26" t="str" cm="1">
        <f t="array" ref="Q576">BIN2HEX(_xlfn.IFS(D576="HWINTEN","10",G576="KeyAck","01",G576="InitLp8","01",TRUE,"00")&amp;IF(OR(Ops!$O$2:'Ops'!$O$13=K576),VLOOKUP(K576,Ops!$O$2:'Ops'!$P$13,2,FALSE),"000")&amp;IF(E576&lt;&gt;"",IF(LEN(_xlfn.XLOOKUP($E576,$C$5:$C$681,$B$5:$B$681,0))=3,HEX2BIN(LEFT(_xlfn.XLOOKUP($E576,$C$5:$C$681,$B$5:$B$681,0),1),3),IF(OR(Ops!$L$2:'Ops'!$L$11=J576),VLOOKUP(J576,Ops!$L$2:'Ops'!$M$11,2,FALSE),"000")),IF(OR(Ops!$L$2:'Ops'!$L$11=J576),VLOOKUP(J576,Ops!$L$2:'Ops'!$M$11,2,FALSE),"000")),2)</f>
        <v>14</v>
      </c>
      <c r="R576" s="27"/>
      <c r="Z576" s="74" t="str">
        <f t="shared" si="163"/>
        <v>0x00,</v>
      </c>
      <c r="AA576" s="75" t="str">
        <f t="shared" si="164"/>
        <v>0x85,</v>
      </c>
      <c r="AB576" s="75" t="str">
        <f t="shared" si="165"/>
        <v>0x14,</v>
      </c>
      <c r="AC576" s="76"/>
    </row>
    <row r="577" spans="1:29" x14ac:dyDescent="0.3">
      <c r="A577" s="79">
        <f t="shared" si="167"/>
        <v>1737</v>
      </c>
      <c r="B577" s="80" t="str">
        <f t="shared" si="170"/>
        <v>6C9</v>
      </c>
      <c r="D577" s="29"/>
      <c r="F577" s="29"/>
      <c r="G577" s="24"/>
      <c r="H577" s="29" t="s">
        <v>62</v>
      </c>
      <c r="I577" s="4" t="s">
        <v>482</v>
      </c>
      <c r="J577" s="4" t="s">
        <v>63</v>
      </c>
      <c r="K577" s="4" t="s">
        <v>470</v>
      </c>
      <c r="M577" s="14"/>
      <c r="N577" s="4" t="s">
        <v>41</v>
      </c>
      <c r="O577" s="25" t="str" cm="1">
        <f t="array" ref="O577">BIN2HEX(IF(I577&lt;&gt;"",VLOOKUP(I577,Ops!$I$2:'Ops'!$J$15,2,FALSE),IF(ISNUMBER(SEARCH("BR",D577)),"001","000"))&amp;IF(D577&lt;&gt;"",VLOOKUP(D577,Ops!$B$2:'Ops'!$C$23,2,FALSE),"0")&amp;_xlfn.IFS(ISNUMBER(SEARCH("BR",D577)),VLOOKUP(D577,Ops!$B$3:'Ops'!$D$22,3,FALSE),F577&lt;&gt;"",VLOOKUP(F577,Ops!$R$2:'Ops'!$S$11,2),L577&lt;&gt;"",VLOOKUP(L577,Ops!$R$2:'Ops'!$S$25,2,FALSE),TRUE,"0000"),2)</f>
        <v>00</v>
      </c>
      <c r="P577" s="26" t="str">
        <f>RIGHT(IF($E577&lt;&gt;"",_xlfn.XLOOKUP($E577,$C$4:$C$681,$B$4:$B$681,"NO LABEL"),BIN2HEX(IF(N577="CarryEn","1","0")&amp;IF(M577="SubXY","1","0")&amp;IF(H577&lt;&gt;"",VLOOKUP(H577,Ops!$F$2:'Ops'!$G$20,2,FALSE),"000000"),2)),2)</f>
        <v>85</v>
      </c>
      <c r="Q577" s="26" t="str" cm="1">
        <f t="array" ref="Q577">BIN2HEX(_xlfn.IFS(D577="HWINTEN","10",G577="KeyAck","01",G577="InitLp8","01",TRUE,"00")&amp;IF(OR(Ops!$O$2:'Ops'!$O$13=K577),VLOOKUP(K577,Ops!$O$2:'Ops'!$P$13,2,FALSE),"000")&amp;IF(E577&lt;&gt;"",IF(LEN(_xlfn.XLOOKUP($E577,$C$5:$C$681,$B$5:$B$681,0))=3,HEX2BIN(LEFT(_xlfn.XLOOKUP($E577,$C$5:$C$681,$B$5:$B$681,0),1),3),IF(OR(Ops!$L$2:'Ops'!$L$11=J577),VLOOKUP(J577,Ops!$L$2:'Ops'!$M$11,2,FALSE),"000")),IF(OR(Ops!$L$2:'Ops'!$L$11=J577),VLOOKUP(J577,Ops!$L$2:'Ops'!$M$11,2,FALSE),"000")),2)</f>
        <v>14</v>
      </c>
      <c r="R577" s="27"/>
      <c r="Z577" s="74" t="str">
        <f t="shared" si="163"/>
        <v>0x00,</v>
      </c>
      <c r="AA577" s="75" t="str">
        <f t="shared" si="164"/>
        <v>0x85,</v>
      </c>
      <c r="AB577" s="75" t="str">
        <f t="shared" si="165"/>
        <v>0x14,</v>
      </c>
      <c r="AC577" s="76"/>
    </row>
    <row r="578" spans="1:29" x14ac:dyDescent="0.3">
      <c r="A578" s="79">
        <f t="shared" si="167"/>
        <v>1740</v>
      </c>
      <c r="B578" s="80" t="str">
        <f t="shared" si="170"/>
        <v>6CC</v>
      </c>
      <c r="D578" s="29"/>
      <c r="F578" s="29"/>
      <c r="G578" s="24"/>
      <c r="H578" s="29" t="s">
        <v>62</v>
      </c>
      <c r="I578" s="4" t="s">
        <v>482</v>
      </c>
      <c r="J578" s="4" t="s">
        <v>63</v>
      </c>
      <c r="K578" s="4" t="s">
        <v>470</v>
      </c>
      <c r="M578" s="14"/>
      <c r="N578" s="4" t="s">
        <v>41</v>
      </c>
      <c r="O578" s="25" t="str" cm="1">
        <f t="array" ref="O578">BIN2HEX(IF(I578&lt;&gt;"",VLOOKUP(I578,Ops!$I$2:'Ops'!$J$15,2,FALSE),IF(ISNUMBER(SEARCH("BR",D578)),"001","000"))&amp;IF(D578&lt;&gt;"",VLOOKUP(D578,Ops!$B$2:'Ops'!$C$23,2,FALSE),"0")&amp;_xlfn.IFS(ISNUMBER(SEARCH("BR",D578)),VLOOKUP(D578,Ops!$B$3:'Ops'!$D$22,3,FALSE),F578&lt;&gt;"",VLOOKUP(F578,Ops!$R$2:'Ops'!$S$11,2),L578&lt;&gt;"",VLOOKUP(L578,Ops!$R$2:'Ops'!$S$25,2,FALSE),TRUE,"0000"),2)</f>
        <v>00</v>
      </c>
      <c r="P578" s="26" t="str">
        <f>RIGHT(IF($E578&lt;&gt;"",_xlfn.XLOOKUP($E578,$C$4:$C$681,$B$4:$B$681,"NO LABEL"),BIN2HEX(IF(N578="CarryEn","1","0")&amp;IF(M578="SubXY","1","0")&amp;IF(H578&lt;&gt;"",VLOOKUP(H578,Ops!$F$2:'Ops'!$G$20,2,FALSE),"000000"),2)),2)</f>
        <v>85</v>
      </c>
      <c r="Q578" s="26" t="str" cm="1">
        <f t="array" ref="Q578">BIN2HEX(_xlfn.IFS(D578="HWINTEN","10",G578="KeyAck","01",G578="InitLp8","01",TRUE,"00")&amp;IF(OR(Ops!$O$2:'Ops'!$O$13=K578),VLOOKUP(K578,Ops!$O$2:'Ops'!$P$13,2,FALSE),"000")&amp;IF(E578&lt;&gt;"",IF(LEN(_xlfn.XLOOKUP($E578,$C$5:$C$681,$B$5:$B$681,0))=3,HEX2BIN(LEFT(_xlfn.XLOOKUP($E578,$C$5:$C$681,$B$5:$B$681,0),1),3),IF(OR(Ops!$L$2:'Ops'!$L$11=J578),VLOOKUP(J578,Ops!$L$2:'Ops'!$M$11,2,FALSE),"000")),IF(OR(Ops!$L$2:'Ops'!$L$11=J578),VLOOKUP(J578,Ops!$L$2:'Ops'!$M$11,2,FALSE),"000")),2)</f>
        <v>14</v>
      </c>
      <c r="R578" s="27"/>
      <c r="Z578" s="74" t="str">
        <f t="shared" si="163"/>
        <v>0x00,</v>
      </c>
      <c r="AA578" s="75" t="str">
        <f t="shared" si="164"/>
        <v>0x85,</v>
      </c>
      <c r="AB578" s="75" t="str">
        <f t="shared" si="165"/>
        <v>0x14,</v>
      </c>
      <c r="AC578" s="76"/>
    </row>
    <row r="579" spans="1:29" x14ac:dyDescent="0.3">
      <c r="A579" s="79">
        <f t="shared" si="167"/>
        <v>1743</v>
      </c>
      <c r="B579" s="80" t="str">
        <f t="shared" si="170"/>
        <v>6CF</v>
      </c>
      <c r="D579" s="29"/>
      <c r="F579" s="29"/>
      <c r="G579" s="24"/>
      <c r="H579" s="29" t="s">
        <v>62</v>
      </c>
      <c r="I579" s="4" t="s">
        <v>482</v>
      </c>
      <c r="J579" s="4" t="s">
        <v>63</v>
      </c>
      <c r="K579" s="4" t="s">
        <v>470</v>
      </c>
      <c r="M579" s="14"/>
      <c r="N579" s="4" t="s">
        <v>41</v>
      </c>
      <c r="O579" s="25" t="str" cm="1">
        <f t="array" ref="O579">BIN2HEX(IF(I579&lt;&gt;"",VLOOKUP(I579,Ops!$I$2:'Ops'!$J$15,2,FALSE),IF(ISNUMBER(SEARCH("BR",D579)),"001","000"))&amp;IF(D579&lt;&gt;"",VLOOKUP(D579,Ops!$B$2:'Ops'!$C$23,2,FALSE),"0")&amp;_xlfn.IFS(ISNUMBER(SEARCH("BR",D579)),VLOOKUP(D579,Ops!$B$3:'Ops'!$D$22,3,FALSE),F579&lt;&gt;"",VLOOKUP(F579,Ops!$R$2:'Ops'!$S$11,2),L579&lt;&gt;"",VLOOKUP(L579,Ops!$R$2:'Ops'!$S$25,2,FALSE),TRUE,"0000"),2)</f>
        <v>00</v>
      </c>
      <c r="P579" s="26" t="str">
        <f>RIGHT(IF($E579&lt;&gt;"",_xlfn.XLOOKUP($E579,$C$4:$C$681,$B$4:$B$681,"NO LABEL"),BIN2HEX(IF(N579="CarryEn","1","0")&amp;IF(M579="SubXY","1","0")&amp;IF(H579&lt;&gt;"",VLOOKUP(H579,Ops!$F$2:'Ops'!$G$20,2,FALSE),"000000"),2)),2)</f>
        <v>85</v>
      </c>
      <c r="Q579" s="26" t="str" cm="1">
        <f t="array" ref="Q579">BIN2HEX(_xlfn.IFS(D579="HWINTEN","10",G579="KeyAck","01",G579="InitLp8","01",TRUE,"00")&amp;IF(OR(Ops!$O$2:'Ops'!$O$13=K579),VLOOKUP(K579,Ops!$O$2:'Ops'!$P$13,2,FALSE),"000")&amp;IF(E579&lt;&gt;"",IF(LEN(_xlfn.XLOOKUP($E579,$C$5:$C$681,$B$5:$B$681,0))=3,HEX2BIN(LEFT(_xlfn.XLOOKUP($E579,$C$5:$C$681,$B$5:$B$681,0),1),3),IF(OR(Ops!$L$2:'Ops'!$L$11=J579),VLOOKUP(J579,Ops!$L$2:'Ops'!$M$11,2,FALSE),"000")),IF(OR(Ops!$L$2:'Ops'!$L$11=J579),VLOOKUP(J579,Ops!$L$2:'Ops'!$M$11,2,FALSE),"000")),2)</f>
        <v>14</v>
      </c>
      <c r="R579" s="27"/>
      <c r="Z579" s="74" t="str">
        <f t="shared" si="163"/>
        <v>0x00,</v>
      </c>
      <c r="AA579" s="75" t="str">
        <f t="shared" si="164"/>
        <v>0x85,</v>
      </c>
      <c r="AB579" s="75" t="str">
        <f t="shared" si="165"/>
        <v>0x14,</v>
      </c>
      <c r="AC579" s="76"/>
    </row>
    <row r="580" spans="1:29" x14ac:dyDescent="0.3">
      <c r="A580" s="79">
        <f t="shared" si="167"/>
        <v>1746</v>
      </c>
      <c r="B580" s="80" t="str">
        <f t="shared" ref="B580:B586" si="171">DEC2HEX(A580)</f>
        <v>6D2</v>
      </c>
      <c r="D580" s="29" t="s">
        <v>251</v>
      </c>
      <c r="E580" s="4" t="s">
        <v>625</v>
      </c>
      <c r="F580" s="29"/>
      <c r="G580" s="24"/>
      <c r="M580" s="14"/>
      <c r="O580" s="25" t="str" cm="1">
        <f t="array" ref="O580">BIN2HEX(IF(I580&lt;&gt;"",VLOOKUP(I580,Ops!$I$2:'Ops'!$J$15,2,FALSE),IF(ISNUMBER(SEARCH("BR",D580)),"001","000"))&amp;IF(D580&lt;&gt;"",VLOOKUP(D580,Ops!$B$2:'Ops'!$C$23,2,FALSE),"0")&amp;_xlfn.IFS(ISNUMBER(SEARCH("BR",D580)),VLOOKUP(D580,Ops!$B$3:'Ops'!$D$22,3,FALSE),F580&lt;&gt;"",VLOOKUP(F580,Ops!$R$2:'Ops'!$S$11,2),L580&lt;&gt;"",VLOOKUP(L580,Ops!$R$2:'Ops'!$S$25,2,FALSE),TRUE,"0000"),2)</f>
        <v>3F</v>
      </c>
      <c r="P580" s="26" t="str">
        <f>RIGHT(IF($E580&lt;&gt;"",_xlfn.XLOOKUP($E580,$C$4:$C$681,$B$4:$B$681,"NO LABEL"),BIN2HEX(IF(N580="CarryEn","1","0")&amp;IF(M580="SubXY","1","0")&amp;IF(H580&lt;&gt;"",VLOOKUP(H580,Ops!$F$2:'Ops'!$G$20,2,FALSE),"000000"),2)),2)</f>
        <v>90</v>
      </c>
      <c r="Q580" s="26" t="str" cm="1">
        <f t="array" ref="Q580">BIN2HEX(_xlfn.IFS(D580="HWINTEN","10",G580="KeyAck","01",G580="InitLp8","01",TRUE,"00")&amp;IF(OR(Ops!$O$2:'Ops'!$O$13=K580),VLOOKUP(K580,Ops!$O$2:'Ops'!$P$13,2,FALSE),"000")&amp;IF(E580&lt;&gt;"",IF(LEN(_xlfn.XLOOKUP($E580,$C$5:$C$681,$B$5:$B$681,0))=3,HEX2BIN(LEFT(_xlfn.XLOOKUP($E580,$C$5:$C$681,$B$5:$B$681,0),1),3),IF(OR(Ops!$L$2:'Ops'!$L$11=J580),VLOOKUP(J580,Ops!$L$2:'Ops'!$M$11,2,FALSE),"000")),IF(OR(Ops!$L$2:'Ops'!$L$11=J580),VLOOKUP(J580,Ops!$L$2:'Ops'!$M$11,2,FALSE),"000")),2)</f>
        <v>06</v>
      </c>
      <c r="R580" s="27"/>
      <c r="Z580" s="74" t="str">
        <f t="shared" si="163"/>
        <v>0x3F,</v>
      </c>
      <c r="AA580" s="75" t="str">
        <f t="shared" si="164"/>
        <v>0x90,</v>
      </c>
      <c r="AB580" s="75" t="str">
        <f t="shared" si="165"/>
        <v>0x06,</v>
      </c>
      <c r="AC580" s="76"/>
    </row>
    <row r="581" spans="1:29" x14ac:dyDescent="0.3">
      <c r="A581" s="79">
        <f t="shared" si="167"/>
        <v>1749</v>
      </c>
      <c r="B581" s="80" t="str">
        <f>DEC2HEX(A581)</f>
        <v>6D5</v>
      </c>
      <c r="C581" s="4" t="s">
        <v>336</v>
      </c>
      <c r="D581" s="29"/>
      <c r="F581" s="29"/>
      <c r="G581" s="24"/>
      <c r="H581" s="4" t="s">
        <v>466</v>
      </c>
      <c r="I581"/>
      <c r="M581" s="14"/>
      <c r="O581" s="25" t="str" cm="1">
        <f t="array" ref="O581">BIN2HEX(IF(I581&lt;&gt;"",VLOOKUP(I581,Ops!$I$2:'Ops'!$J$15,2,FALSE),IF(ISNUMBER(SEARCH("BR",D581)),"001","000"))&amp;IF(D581&lt;&gt;"",VLOOKUP(D581,Ops!$B$2:'Ops'!$C$23,2,FALSE),"0")&amp;_xlfn.IFS(ISNUMBER(SEARCH("BR",D581)),VLOOKUP(D581,Ops!$B$3:'Ops'!$D$22,3,FALSE),F581&lt;&gt;"",VLOOKUP(F581,Ops!$R$2:'Ops'!$S$11,2),L581&lt;&gt;"",VLOOKUP(L581,Ops!$R$2:'Ops'!$S$25,2,FALSE),TRUE,"0000"),2)</f>
        <v>00</v>
      </c>
      <c r="P581" s="26" t="str">
        <f>RIGHT(IF($E581&lt;&gt;"",_xlfn.XLOOKUP($E581,$C$4:$C$681,$B$4:$B$681,"NO LABEL"),BIN2HEX(IF(N581="CarryEn","1","0")&amp;IF(M581="SubXY","1","0")&amp;IF(H581&lt;&gt;"",VLOOKUP(H581,Ops!$F$2:'Ops'!$G$20,2,FALSE),"000000"),2)),2)</f>
        <v>20</v>
      </c>
      <c r="Q581" s="26" t="str" cm="1">
        <f t="array" ref="Q581">BIN2HEX(_xlfn.IFS(D581="HWINTEN","10",G581="KeyAck","01",G581="InitLp8","01",TRUE,"00")&amp;IF(OR(Ops!$O$2:'Ops'!$O$13=K581),VLOOKUP(K581,Ops!$O$2:'Ops'!$P$13,2,FALSE),"000")&amp;IF(E581&lt;&gt;"",IF(LEN(_xlfn.XLOOKUP($E581,$C$5:$C$681,$B$5:$B$681,0))=3,HEX2BIN(LEFT(_xlfn.XLOOKUP($E581,$C$5:$C$681,$B$5:$B$681,0),1),3),IF(OR(Ops!$L$2:'Ops'!$L$11=J581),VLOOKUP(J581,Ops!$L$2:'Ops'!$M$11,2,FALSE),"000")),IF(OR(Ops!$L$2:'Ops'!$L$11=J581),VLOOKUP(J581,Ops!$L$2:'Ops'!$M$11,2,FALSE),"000")),2)</f>
        <v>00</v>
      </c>
      <c r="R581" s="27"/>
      <c r="S581" s="4" t="s">
        <v>545</v>
      </c>
      <c r="Z581" s="74" t="str">
        <f t="shared" si="163"/>
        <v>0x00,</v>
      </c>
      <c r="AA581" s="75" t="str">
        <f t="shared" si="164"/>
        <v>0x20,</v>
      </c>
      <c r="AB581" s="75" t="str">
        <f t="shared" si="165"/>
        <v>0x00,</v>
      </c>
      <c r="AC581" s="76"/>
    </row>
    <row r="582" spans="1:29" x14ac:dyDescent="0.3">
      <c r="A582" s="79">
        <f t="shared" si="167"/>
        <v>1752</v>
      </c>
      <c r="B582" s="80" t="str">
        <f>DEC2HEX(A582)</f>
        <v>6D8</v>
      </c>
      <c r="D582" s="29"/>
      <c r="F582" s="29"/>
      <c r="G582" s="24"/>
      <c r="I582" t="s">
        <v>291</v>
      </c>
      <c r="K582" s="4" t="s">
        <v>483</v>
      </c>
      <c r="M582" s="14"/>
      <c r="O582" s="25" t="str" cm="1">
        <f t="array" ref="O582">BIN2HEX(IF(I582&lt;&gt;"",VLOOKUP(I582,Ops!$I$2:'Ops'!$J$15,2,FALSE),IF(ISNUMBER(SEARCH("BR",D582)),"001","000"))&amp;IF(D582&lt;&gt;"",VLOOKUP(D582,Ops!$B$2:'Ops'!$C$23,2,FALSE),"0")&amp;_xlfn.IFS(ISNUMBER(SEARCH("BR",D582)),VLOOKUP(D582,Ops!$B$3:'Ops'!$D$22,3,FALSE),F582&lt;&gt;"",VLOOKUP(F582,Ops!$R$2:'Ops'!$S$11,2),L582&lt;&gt;"",VLOOKUP(L582,Ops!$R$2:'Ops'!$S$25,2,FALSE),TRUE,"0000"),2)</f>
        <v>80</v>
      </c>
      <c r="P582" s="26" t="str">
        <f>RIGHT(IF($E582&lt;&gt;"",_xlfn.XLOOKUP($E582,$C$4:$C$681,$B$4:$B$681,"NO LABEL"),BIN2HEX(IF(N582="CarryEn","1","0")&amp;IF(M582="SubXY","1","0")&amp;IF(H582&lt;&gt;"",VLOOKUP(H582,Ops!$F$2:'Ops'!$G$20,2,FALSE),"000000"),2)),2)</f>
        <v>00</v>
      </c>
      <c r="Q582" s="26" t="str" cm="1">
        <f t="array" ref="Q582">BIN2HEX(_xlfn.IFS(D582="HWINTEN","10",G582="KeyAck","01",G582="InitLp8","01",TRUE,"00")&amp;IF(OR(Ops!$O$2:'Ops'!$O$13=K582),VLOOKUP(K582,Ops!$O$2:'Ops'!$P$13,2,FALSE),"000")&amp;IF(E582&lt;&gt;"",IF(LEN(_xlfn.XLOOKUP($E582,$C$5:$C$681,$B$5:$B$681,0))=3,HEX2BIN(LEFT(_xlfn.XLOOKUP($E582,$C$5:$C$681,$B$5:$B$681,0),1),3),IF(OR(Ops!$L$2:'Ops'!$L$11=J582),VLOOKUP(J582,Ops!$L$2:'Ops'!$M$11,2,FALSE),"000")),IF(OR(Ops!$L$2:'Ops'!$L$11=J582),VLOOKUP(J582,Ops!$L$2:'Ops'!$M$11,2,FALSE),"000")),2)</f>
        <v>00</v>
      </c>
      <c r="R582" s="27"/>
      <c r="S582" s="4" t="s">
        <v>544</v>
      </c>
      <c r="Z582" s="74" t="str">
        <f t="shared" si="163"/>
        <v>0x80,</v>
      </c>
      <c r="AA582" s="75" t="str">
        <f t="shared" si="164"/>
        <v>0x00,</v>
      </c>
      <c r="AB582" s="75" t="str">
        <f t="shared" si="165"/>
        <v>0x00,</v>
      </c>
      <c r="AC582" s="76"/>
    </row>
    <row r="583" spans="1:29" x14ac:dyDescent="0.3">
      <c r="A583" s="79">
        <f t="shared" si="167"/>
        <v>1755</v>
      </c>
      <c r="B583" s="80" t="str">
        <f t="shared" si="171"/>
        <v>6DB</v>
      </c>
      <c r="D583" s="29"/>
      <c r="F583" s="29"/>
      <c r="G583" s="24" t="s">
        <v>692</v>
      </c>
      <c r="M583" s="14"/>
      <c r="O583" s="25" t="str" cm="1">
        <f t="array" ref="O583">BIN2HEX(IF(I583&lt;&gt;"",VLOOKUP(I583,Ops!$I$2:'Ops'!$J$15,2,FALSE),IF(ISNUMBER(SEARCH("BR",D583)),"001","000"))&amp;IF(D583&lt;&gt;"",VLOOKUP(D583,Ops!$B$2:'Ops'!$C$23,2,FALSE),"0")&amp;_xlfn.IFS(ISNUMBER(SEARCH("BR",D583)),VLOOKUP(D583,Ops!$B$3:'Ops'!$D$22,3,FALSE),F583&lt;&gt;"",VLOOKUP(F583,Ops!$R$2:'Ops'!$S$11,2),L583&lt;&gt;"",VLOOKUP(L583,Ops!$R$2:'Ops'!$S$25,2,FALSE),TRUE,"0000"),2)</f>
        <v>00</v>
      </c>
      <c r="P583" s="26" t="str">
        <f>RIGHT(IF($E583&lt;&gt;"",_xlfn.XLOOKUP($E583,$C$4:$C$681,$B$4:$B$681,"NO LABEL"),BIN2HEX(IF(N583="CarryEn","1","0")&amp;IF(M583="SubXY","1","0")&amp;IF(H583&lt;&gt;"",VLOOKUP(H583,Ops!$F$2:'Ops'!$G$20,2,FALSE),"000000"),2)),2)</f>
        <v>00</v>
      </c>
      <c r="Q583" s="26" t="str" cm="1">
        <f t="array" ref="Q583">BIN2HEX(_xlfn.IFS(D583="HWINTEN","10",G583="KeyAck","01",G583="InitLp8","01",TRUE,"00")&amp;IF(OR(Ops!$O$2:'Ops'!$O$13=K583),VLOOKUP(K583,Ops!$O$2:'Ops'!$P$13,2,FALSE),"000")&amp;IF(E583&lt;&gt;"",IF(LEN(_xlfn.XLOOKUP($E583,$C$5:$C$681,$B$5:$B$681,0))=3,HEX2BIN(LEFT(_xlfn.XLOOKUP($E583,$C$5:$C$681,$B$5:$B$681,0),1),3),IF(OR(Ops!$L$2:'Ops'!$L$11=J583),VLOOKUP(J583,Ops!$L$2:'Ops'!$M$11,2,FALSE),"000")),IF(OR(Ops!$L$2:'Ops'!$L$11=J583),VLOOKUP(J583,Ops!$L$2:'Ops'!$M$11,2,FALSE),"000")),2)</f>
        <v>40</v>
      </c>
      <c r="R583" s="27"/>
      <c r="S583" s="4" t="s">
        <v>172</v>
      </c>
      <c r="Z583" s="74" t="str">
        <f t="shared" si="163"/>
        <v>0x00,</v>
      </c>
      <c r="AA583" s="75" t="str">
        <f t="shared" si="164"/>
        <v>0x00,</v>
      </c>
      <c r="AB583" s="75" t="str">
        <f t="shared" si="165"/>
        <v>0x40,</v>
      </c>
      <c r="AC583" s="76"/>
    </row>
    <row r="584" spans="1:29" x14ac:dyDescent="0.3">
      <c r="A584" s="79">
        <f t="shared" si="167"/>
        <v>1758</v>
      </c>
      <c r="B584" s="80" t="str">
        <f t="shared" si="171"/>
        <v>6DE</v>
      </c>
      <c r="D584" s="29" t="s">
        <v>251</v>
      </c>
      <c r="E584" s="4" t="s">
        <v>603</v>
      </c>
      <c r="F584" s="29"/>
      <c r="G584" s="24"/>
      <c r="M584" s="14"/>
      <c r="O584" s="25" t="str" cm="1">
        <f t="array" ref="O584">BIN2HEX(IF(I584&lt;&gt;"",VLOOKUP(I584,Ops!$I$2:'Ops'!$J$15,2,FALSE),IF(ISNUMBER(SEARCH("BR",D584)),"001","000"))&amp;IF(D584&lt;&gt;"",VLOOKUP(D584,Ops!$B$2:'Ops'!$C$23,2,FALSE),"0")&amp;_xlfn.IFS(ISNUMBER(SEARCH("BR",D584)),VLOOKUP(D584,Ops!$B$3:'Ops'!$D$22,3,FALSE),F584&lt;&gt;"",VLOOKUP(F584,Ops!$R$2:'Ops'!$S$11,2),L584&lt;&gt;"",VLOOKUP(L584,Ops!$R$2:'Ops'!$S$25,2,FALSE),TRUE,"0000"),2)</f>
        <v>3F</v>
      </c>
      <c r="P584" s="26" t="str">
        <f>RIGHT(IF($E584&lt;&gt;"",_xlfn.XLOOKUP($E584,$C$4:$C$681,$B$4:$B$681,"NO LABEL"),BIN2HEX(IF(N584="CarryEn","1","0")&amp;IF(M584="SubXY","1","0")&amp;IF(H584&lt;&gt;"",VLOOKUP(H584,Ops!$F$2:'Ops'!$G$20,2,FALSE),"000000"),2)),2)</f>
        <v>E1</v>
      </c>
      <c r="Q584" s="26" t="str" cm="1">
        <f t="array" ref="Q584">BIN2HEX(_xlfn.IFS(D584="HWINTEN","10",G584="KeyAck","01",G584="InitLp8","01",TRUE,"00")&amp;IF(OR(Ops!$O$2:'Ops'!$O$13=K584),VLOOKUP(K584,Ops!$O$2:'Ops'!$P$13,2,FALSE),"000")&amp;IF(E584&lt;&gt;"",IF(LEN(_xlfn.XLOOKUP($E584,$C$5:$C$681,$B$5:$B$681,0))=3,HEX2BIN(LEFT(_xlfn.XLOOKUP($E584,$C$5:$C$681,$B$5:$B$681,0),1),3),IF(OR(Ops!$L$2:'Ops'!$L$11=J584),VLOOKUP(J584,Ops!$L$2:'Ops'!$M$11,2,FALSE),"000")),IF(OR(Ops!$L$2:'Ops'!$L$11=J584),VLOOKUP(J584,Ops!$L$2:'Ops'!$M$11,2,FALSE),"000")),2)</f>
        <v>06</v>
      </c>
      <c r="R584" s="27"/>
      <c r="Z584" s="74" t="str">
        <f t="shared" si="163"/>
        <v>0x3F,</v>
      </c>
      <c r="AA584" s="75" t="str">
        <f t="shared" si="164"/>
        <v>0xE1,</v>
      </c>
      <c r="AB584" s="75" t="str">
        <f t="shared" si="165"/>
        <v>0x06,</v>
      </c>
      <c r="AC584" s="76"/>
    </row>
    <row r="585" spans="1:29" x14ac:dyDescent="0.3">
      <c r="A585" s="79">
        <f t="shared" si="167"/>
        <v>1761</v>
      </c>
      <c r="B585" s="80" t="str">
        <f t="shared" si="171"/>
        <v>6E1</v>
      </c>
      <c r="C585" s="4" t="s">
        <v>603</v>
      </c>
      <c r="D585" s="29"/>
      <c r="F585" s="29"/>
      <c r="G585" s="24"/>
      <c r="H585" s="4" t="s">
        <v>463</v>
      </c>
      <c r="I585" s="4" t="s">
        <v>479</v>
      </c>
      <c r="M585" s="14"/>
      <c r="O585" s="25" t="str" cm="1">
        <f t="array" ref="O585">BIN2HEX(IF(I585&lt;&gt;"",VLOOKUP(I585,Ops!$I$2:'Ops'!$J$15,2,FALSE),IF(ISNUMBER(SEARCH("BR",D585)),"001","000"))&amp;IF(D585&lt;&gt;"",VLOOKUP(D585,Ops!$B$2:'Ops'!$C$23,2,FALSE),"0")&amp;_xlfn.IFS(ISNUMBER(SEARCH("BR",D585)),VLOOKUP(D585,Ops!$B$3:'Ops'!$D$22,3,FALSE),F585&lt;&gt;"",VLOOKUP(F585,Ops!$R$2:'Ops'!$S$11,2),L585&lt;&gt;"",VLOOKUP(L585,Ops!$R$2:'Ops'!$S$25,2,FALSE),TRUE,"0000"),2)</f>
        <v>60</v>
      </c>
      <c r="P585" s="26" t="str">
        <f>RIGHT(IF($E585&lt;&gt;"",_xlfn.XLOOKUP($E585,$C$4:$C$681,$B$4:$B$681,"NO LABEL"),BIN2HEX(IF(N585="CarryEn","1","0")&amp;IF(M585="SubXY","1","0")&amp;IF(H585&lt;&gt;"",VLOOKUP(H585,Ops!$F$2:'Ops'!$G$20,2,FALSE),"000000"),2)),2)</f>
        <v>22</v>
      </c>
      <c r="Q585" s="26" t="str" cm="1">
        <f t="array" ref="Q585">BIN2HEX(_xlfn.IFS(D585="HWINTEN","10",G585="KeyAck","01",G585="InitLp8","01",TRUE,"00")&amp;IF(OR(Ops!$O$2:'Ops'!$O$13=K585),VLOOKUP(K585,Ops!$O$2:'Ops'!$P$13,2,FALSE),"000")&amp;IF(E585&lt;&gt;"",IF(LEN(_xlfn.XLOOKUP($E585,$C$5:$C$681,$B$5:$B$681,0))=3,HEX2BIN(LEFT(_xlfn.XLOOKUP($E585,$C$5:$C$681,$B$5:$B$681,0),1),3),IF(OR(Ops!$L$2:'Ops'!$L$11=J585),VLOOKUP(J585,Ops!$L$2:'Ops'!$M$11,2,FALSE),"000")),IF(OR(Ops!$L$2:'Ops'!$L$11=J585),VLOOKUP(J585,Ops!$L$2:'Ops'!$M$11,2,FALSE),"000")),2)</f>
        <v>00</v>
      </c>
      <c r="R585" s="27"/>
      <c r="Z585" s="74" t="str">
        <f t="shared" si="163"/>
        <v>0x60,</v>
      </c>
      <c r="AA585" s="75" t="str">
        <f t="shared" si="164"/>
        <v>0x22,</v>
      </c>
      <c r="AB585" s="75" t="str">
        <f t="shared" si="165"/>
        <v>0x00,</v>
      </c>
      <c r="AC585" s="76"/>
    </row>
    <row r="586" spans="1:29" x14ac:dyDescent="0.3">
      <c r="A586" s="79">
        <f t="shared" si="167"/>
        <v>1764</v>
      </c>
      <c r="B586" s="80" t="str">
        <f t="shared" si="171"/>
        <v>6E4</v>
      </c>
      <c r="D586" s="29" t="s">
        <v>251</v>
      </c>
      <c r="E586" s="4" t="s">
        <v>603</v>
      </c>
      <c r="F586" s="29"/>
      <c r="G586" s="24"/>
      <c r="M586" s="14"/>
      <c r="O586" s="25" t="str" cm="1">
        <f t="array" ref="O586">BIN2HEX(IF(I586&lt;&gt;"",VLOOKUP(I586,Ops!$I$2:'Ops'!$J$15,2,FALSE),IF(ISNUMBER(SEARCH("BR",D586)),"001","000"))&amp;IF(D586&lt;&gt;"",VLOOKUP(D586,Ops!$B$2:'Ops'!$C$23,2,FALSE),"0")&amp;_xlfn.IFS(ISNUMBER(SEARCH("BR",D586)),VLOOKUP(D586,Ops!$B$3:'Ops'!$D$22,3,FALSE),F586&lt;&gt;"",VLOOKUP(F586,Ops!$R$2:'Ops'!$S$11,2),L586&lt;&gt;"",VLOOKUP(L586,Ops!$R$2:'Ops'!$S$25,2,FALSE),TRUE,"0000"),2)</f>
        <v>3F</v>
      </c>
      <c r="P586" s="26" t="str">
        <f>RIGHT(IF($E586&lt;&gt;"",_xlfn.XLOOKUP($E586,$C$4:$C$681,$B$4:$B$681,"NO LABEL"),BIN2HEX(IF(N586="CarryEn","1","0")&amp;IF(M586="SubXY","1","0")&amp;IF(H586&lt;&gt;"",VLOOKUP(H586,Ops!$F$2:'Ops'!$G$20,2,FALSE),"000000"),2)),2)</f>
        <v>E1</v>
      </c>
      <c r="Q586" s="26" t="str" cm="1">
        <f t="array" ref="Q586">BIN2HEX(_xlfn.IFS(D586="HWINTEN","10",G586="KeyAck","01",G586="InitLp8","01",TRUE,"00")&amp;IF(OR(Ops!$O$2:'Ops'!$O$13=K586),VLOOKUP(K586,Ops!$O$2:'Ops'!$P$13,2,FALSE),"000")&amp;IF(E586&lt;&gt;"",IF(LEN(_xlfn.XLOOKUP($E586,$C$5:$C$681,$B$5:$B$681,0))=3,HEX2BIN(LEFT(_xlfn.XLOOKUP($E586,$C$5:$C$681,$B$5:$B$681,0),1),3),IF(OR(Ops!$L$2:'Ops'!$L$11=J586),VLOOKUP(J586,Ops!$L$2:'Ops'!$M$11,2,FALSE),"000")),IF(OR(Ops!$L$2:'Ops'!$L$11=J586),VLOOKUP(J586,Ops!$L$2:'Ops'!$M$11,2,FALSE),"000")),2)</f>
        <v>06</v>
      </c>
      <c r="R586" s="27"/>
      <c r="Z586" s="74" t="str">
        <f t="shared" si="163"/>
        <v>0x3F,</v>
      </c>
      <c r="AA586" s="75" t="str">
        <f t="shared" si="164"/>
        <v>0xE1,</v>
      </c>
      <c r="AB586" s="75" t="str">
        <f t="shared" si="165"/>
        <v>0x06,</v>
      </c>
      <c r="AC586" s="76"/>
    </row>
    <row r="587" spans="1:29" x14ac:dyDescent="0.3">
      <c r="A587" s="79">
        <f t="shared" si="167"/>
        <v>1767</v>
      </c>
      <c r="B587" s="80" t="str">
        <f>DEC2HEX(A587)</f>
        <v>6E7</v>
      </c>
      <c r="C587" s="4" t="s">
        <v>532</v>
      </c>
      <c r="D587" s="29" t="s">
        <v>431</v>
      </c>
      <c r="E587" t="s">
        <v>533</v>
      </c>
      <c r="F587" s="29"/>
      <c r="G587" s="24"/>
      <c r="M587" s="14"/>
      <c r="O587" s="25" t="str" cm="1">
        <f t="array" ref="O587">BIN2HEX(IF(I587&lt;&gt;"",VLOOKUP(I587,Ops!$I$2:'Ops'!$J$15,2,FALSE),IF(ISNUMBER(SEARCH("BR",D587)),"001","000"))&amp;IF(D587&lt;&gt;"",VLOOKUP(D587,Ops!$B$2:'Ops'!$C$23,2,FALSE),"0")&amp;_xlfn.IFS(ISNUMBER(SEARCH("BR",D587)),VLOOKUP(D587,Ops!$B$3:'Ops'!$D$22,3,FALSE),F587&lt;&gt;"",VLOOKUP(F587,Ops!$R$2:'Ops'!$S$11,2),L587&lt;&gt;"",VLOOKUP(L587,Ops!$R$2:'Ops'!$S$25,2,FALSE),TRUE,"0000"),2)</f>
        <v>36</v>
      </c>
      <c r="P587" s="26" t="str">
        <f>RIGHT(IF($E587&lt;&gt;"",_xlfn.XLOOKUP($E587,$C$4:$C$681,$B$4:$B$681,"NO LABEL"),BIN2HEX(IF(N587="CarryEn","1","0")&amp;IF(M587="SubXY","1","0")&amp;IF(H587&lt;&gt;"",VLOOKUP(H587,Ops!$F$2:'Ops'!$G$20,2,FALSE),"000000"),2)),2)</f>
        <v>F3</v>
      </c>
      <c r="Q587" s="26" t="str" cm="1">
        <f t="array" ref="Q587">BIN2HEX(_xlfn.IFS(D587="HWINTEN","10",G587="KeyAck","01",G587="InitLp8","01",TRUE,"00")&amp;IF(OR(Ops!$O$2:'Ops'!$O$13=K587),VLOOKUP(K587,Ops!$O$2:'Ops'!$P$13,2,FALSE),"000")&amp;IF(E587&lt;&gt;"",IF(LEN(_xlfn.XLOOKUP($E587,$C$5:$C$681,$B$5:$B$681,0))=3,HEX2BIN(LEFT(_xlfn.XLOOKUP($E587,$C$5:$C$681,$B$5:$B$681,0),1),3),IF(OR(Ops!$L$2:'Ops'!$L$11=J587),VLOOKUP(J587,Ops!$L$2:'Ops'!$M$11,2,FALSE),"000")),IF(OR(Ops!$L$2:'Ops'!$L$11=J587),VLOOKUP(J587,Ops!$L$2:'Ops'!$M$11,2,FALSE),"000")),2)</f>
        <v>06</v>
      </c>
      <c r="R587" s="27"/>
      <c r="S587" t="s">
        <v>536</v>
      </c>
      <c r="Z587" s="74" t="str">
        <f t="shared" ref="Z587:Z596" si="172">IF(O587="", "};", "0x"&amp;O587&amp;",")</f>
        <v>0x36,</v>
      </c>
      <c r="AA587" s="75" t="str">
        <f t="shared" ref="AA587:AA596" si="173">"0x"&amp;P587&amp;","</f>
        <v>0xF3,</v>
      </c>
      <c r="AB587" s="75" t="str">
        <f t="shared" ref="AB587:AB596" si="174">"0x"&amp;Q587&amp;","</f>
        <v>0x06,</v>
      </c>
      <c r="AC587" s="76"/>
    </row>
    <row r="588" spans="1:29" x14ac:dyDescent="0.3">
      <c r="A588" s="79">
        <f t="shared" si="167"/>
        <v>1770</v>
      </c>
      <c r="B588" s="80" t="str">
        <f>DEC2HEX(A588)</f>
        <v>6EA</v>
      </c>
      <c r="D588" s="29" t="s">
        <v>430</v>
      </c>
      <c r="E588" t="s">
        <v>534</v>
      </c>
      <c r="F588" s="29"/>
      <c r="G588" s="24"/>
      <c r="M588" s="14"/>
      <c r="O588" s="25" t="str" cm="1">
        <f t="array" ref="O588">BIN2HEX(IF(I588&lt;&gt;"",VLOOKUP(I588,Ops!$I$2:'Ops'!$J$15,2,FALSE),IF(ISNUMBER(SEARCH("BR",D588)),"001","000"))&amp;IF(D588&lt;&gt;"",VLOOKUP(D588,Ops!$B$2:'Ops'!$C$23,2,FALSE),"0")&amp;_xlfn.IFS(ISNUMBER(SEARCH("BR",D588)),VLOOKUP(D588,Ops!$B$3:'Ops'!$D$22,3,FALSE),F588&lt;&gt;"",VLOOKUP(F588,Ops!$R$2:'Ops'!$S$11,2),L588&lt;&gt;"",VLOOKUP(L588,Ops!$R$2:'Ops'!$S$25,2,FALSE),TRUE,"0000"),2)</f>
        <v>3E</v>
      </c>
      <c r="P588" s="26" t="str">
        <f>RIGHT(IF($E588&lt;&gt;"",_xlfn.XLOOKUP($E588,$C$4:$C$681,$B$4:$B$681,"NO LABEL"),BIN2HEX(IF(N588="CarryEn","1","0")&amp;IF(M588="SubXY","1","0")&amp;IF(H588&lt;&gt;"",VLOOKUP(H588,Ops!$F$2:'Ops'!$G$20,2,FALSE),"000000"),2)),2)</f>
        <v>F0</v>
      </c>
      <c r="Q588" s="26" t="str" cm="1">
        <f t="array" ref="Q588">BIN2HEX(_xlfn.IFS(D588="HWINTEN","10",G588="KeyAck","01",G588="InitLp8","01",TRUE,"00")&amp;IF(OR(Ops!$O$2:'Ops'!$O$13=K588),VLOOKUP(K588,Ops!$O$2:'Ops'!$P$13,2,FALSE),"000")&amp;IF(E588&lt;&gt;"",IF(LEN(_xlfn.XLOOKUP($E588,$C$5:$C$681,$B$5:$B$681,0))=3,HEX2BIN(LEFT(_xlfn.XLOOKUP($E588,$C$5:$C$681,$B$5:$B$681,0),1),3),IF(OR(Ops!$L$2:'Ops'!$L$11=J588),VLOOKUP(J588,Ops!$L$2:'Ops'!$M$11,2,FALSE),"000")),IF(OR(Ops!$L$2:'Ops'!$L$11=J588),VLOOKUP(J588,Ops!$L$2:'Ops'!$M$11,2,FALSE),"000")),2)</f>
        <v>06</v>
      </c>
      <c r="R588" s="27"/>
      <c r="S588" t="s">
        <v>537</v>
      </c>
      <c r="Z588" s="74" t="str">
        <f t="shared" si="172"/>
        <v>0x3E,</v>
      </c>
      <c r="AA588" s="75" t="str">
        <f t="shared" si="173"/>
        <v>0xF0,</v>
      </c>
      <c r="AB588" s="75" t="str">
        <f t="shared" si="174"/>
        <v>0x06,</v>
      </c>
      <c r="AC588" s="76"/>
    </row>
    <row r="589" spans="1:29" x14ac:dyDescent="0.3">
      <c r="A589" s="79">
        <f t="shared" ref="A589:A681" si="175">A588+3</f>
        <v>1773</v>
      </c>
      <c r="B589" s="80" t="str">
        <f t="shared" ref="B589:B596" si="176">DEC2HEX(A589)</f>
        <v>6ED</v>
      </c>
      <c r="D589" s="29" t="s">
        <v>0</v>
      </c>
      <c r="E589" t="s">
        <v>176</v>
      </c>
      <c r="F589" s="29"/>
      <c r="G589" s="24"/>
      <c r="M589" s="14"/>
      <c r="O589" s="25" t="str" cm="1">
        <f t="array" ref="O589">BIN2HEX(IF(I589&lt;&gt;"",VLOOKUP(I589,Ops!$I$2:'Ops'!$J$15,2,FALSE),IF(ISNUMBER(SEARCH("BR",D589)),"001","000"))&amp;IF(D589&lt;&gt;"",VLOOKUP(D589,Ops!$B$2:'Ops'!$C$23,2,FALSE),"0")&amp;_xlfn.IFS(ISNUMBER(SEARCH("BR",D589)),VLOOKUP(D589,Ops!$B$3:'Ops'!$D$22,3,FALSE),F589&lt;&gt;"",VLOOKUP(F589,Ops!$R$2:'Ops'!$S$11,2),L589&lt;&gt;"",VLOOKUP(L589,Ops!$R$2:'Ops'!$S$25,2,FALSE),TRUE,"0000"),2)</f>
        <v>10</v>
      </c>
      <c r="P589" s="26" t="str">
        <f>RIGHT(IF($E589&lt;&gt;"",_xlfn.XLOOKUP($E589,$C$4:$C$681,$B$4:$B$681,"NO LABEL"),BIN2HEX(IF(N589="CarryEn","1","0")&amp;IF(M589="SubXY","1","0")&amp;IF(H589&lt;&gt;"",VLOOKUP(H589,Ops!$F$2:'Ops'!$G$20,2,FALSE),"000000"),2)),2)</f>
        <v>FF</v>
      </c>
      <c r="Q589" s="26" t="str" cm="1">
        <f t="array" ref="Q589">BIN2HEX(_xlfn.IFS(D589="HWINTEN","10",G589="KeyAck","01",G589="InitLp8","01",TRUE,"00")&amp;IF(OR(Ops!$O$2:'Ops'!$O$13=K589),VLOOKUP(K589,Ops!$O$2:'Ops'!$P$13,2,FALSE),"000")&amp;IF(E589&lt;&gt;"",IF(LEN(_xlfn.XLOOKUP($E589,$C$5:$C$681,$B$5:$B$681,0))=3,HEX2BIN(LEFT(_xlfn.XLOOKUP($E589,$C$5:$C$681,$B$5:$B$681,0),1),3),IF(OR(Ops!$L$2:'Ops'!$L$11=J589),VLOOKUP(J589,Ops!$L$2:'Ops'!$M$11,2,FALSE),"000")),IF(OR(Ops!$L$2:'Ops'!$L$11=J589),VLOOKUP(J589,Ops!$L$2:'Ops'!$M$11,2,FALSE),"000")),2)</f>
        <v>06</v>
      </c>
      <c r="R589" s="27"/>
      <c r="S589" t="s">
        <v>535</v>
      </c>
      <c r="Z589" s="74" t="str">
        <f t="shared" si="172"/>
        <v>0x10,</v>
      </c>
      <c r="AA589" s="75" t="str">
        <f t="shared" si="173"/>
        <v>0xFF,</v>
      </c>
      <c r="AB589" s="75" t="str">
        <f t="shared" si="174"/>
        <v>0x06,</v>
      </c>
      <c r="AC589" s="76"/>
    </row>
    <row r="590" spans="1:29" x14ac:dyDescent="0.3">
      <c r="A590" s="79">
        <f t="shared" si="175"/>
        <v>1776</v>
      </c>
      <c r="B590" s="80" t="str">
        <f t="shared" si="176"/>
        <v>6F0</v>
      </c>
      <c r="C590" s="70" t="s">
        <v>534</v>
      </c>
      <c r="D590" t="s">
        <v>321</v>
      </c>
      <c r="E590" t="s">
        <v>337</v>
      </c>
      <c r="F590" s="29"/>
      <c r="G590" s="24"/>
      <c r="M590" s="14"/>
      <c r="O590" s="25" t="str" cm="1">
        <f t="array" ref="O590">BIN2HEX(IF(I590&lt;&gt;"",VLOOKUP(I590,Ops!$I$2:'Ops'!$J$15,2,FALSE),IF(ISNUMBER(SEARCH("BR",D590)),"001","000"))&amp;IF(D590&lt;&gt;"",VLOOKUP(D590,Ops!$B$2:'Ops'!$C$23,2,FALSE),"0")&amp;_xlfn.IFS(ISNUMBER(SEARCH("BR",D590)),VLOOKUP(D590,Ops!$B$3:'Ops'!$D$22,3,FALSE),F590&lt;&gt;"",VLOOKUP(F590,Ops!$R$2:'Ops'!$S$11,2),L590&lt;&gt;"",VLOOKUP(L590,Ops!$R$2:'Ops'!$S$25,2,FALSE),TRUE,"0000"),2)</f>
        <v>3A</v>
      </c>
      <c r="P590" s="26" t="str">
        <f>RIGHT(IF($E590&lt;&gt;"",_xlfn.XLOOKUP($E590,$C$4:$C$681,$B$4:$B$681,"NO LABEL"),BIN2HEX(IF(N590="CarryEn","1","0")&amp;IF(M590="SubXY","1","0")&amp;IF(H590&lt;&gt;"",VLOOKUP(H590,Ops!$F$2:'Ops'!$G$20,2,FALSE),"000000"),2)),2)</f>
        <v>11</v>
      </c>
      <c r="Q590" s="26" t="str" cm="1">
        <f t="array" ref="Q590">BIN2HEX(_xlfn.IFS(D590="HWINTEN","10",G590="KeyAck","01",G590="InitLp8","01",TRUE,"00")&amp;IF(OR(Ops!$O$2:'Ops'!$O$13=K590),VLOOKUP(K590,Ops!$O$2:'Ops'!$P$13,2,FALSE),"000")&amp;IF(E590&lt;&gt;"",IF(LEN(_xlfn.XLOOKUP($E590,$C$5:$C$681,$B$5:$B$681,0))=3,HEX2BIN(LEFT(_xlfn.XLOOKUP($E590,$C$5:$C$681,$B$5:$B$681,0),1),3),IF(OR(Ops!$L$2:'Ops'!$L$11=J590),VLOOKUP(J590,Ops!$L$2:'Ops'!$M$11,2,FALSE),"000")),IF(OR(Ops!$L$2:'Ops'!$L$11=J590),VLOOKUP(J590,Ops!$L$2:'Ops'!$M$11,2,FALSE),"000")),2)</f>
        <v>07</v>
      </c>
      <c r="R590" s="27"/>
      <c r="S590" t="s">
        <v>538</v>
      </c>
      <c r="Z590" s="74" t="str">
        <f t="shared" si="172"/>
        <v>0x3A,</v>
      </c>
      <c r="AA590" s="75" t="str">
        <f t="shared" si="173"/>
        <v>0x11,</v>
      </c>
      <c r="AB590" s="75" t="str">
        <f t="shared" si="174"/>
        <v>0x07,</v>
      </c>
      <c r="AC590" s="76"/>
    </row>
    <row r="591" spans="1:29" x14ac:dyDescent="0.3">
      <c r="A591" s="79">
        <f t="shared" si="175"/>
        <v>1779</v>
      </c>
      <c r="B591" s="80" t="str">
        <f t="shared" si="176"/>
        <v>6F3</v>
      </c>
      <c r="C591" s="70" t="s">
        <v>533</v>
      </c>
      <c r="D591" t="s">
        <v>430</v>
      </c>
      <c r="E591" t="s">
        <v>176</v>
      </c>
      <c r="F591" s="29"/>
      <c r="G591" s="24"/>
      <c r="M591" s="14"/>
      <c r="O591" s="25" t="str" cm="1">
        <f t="array" ref="O591">BIN2HEX(IF(I591&lt;&gt;"",VLOOKUP(I591,Ops!$I$2:'Ops'!$J$15,2,FALSE),IF(ISNUMBER(SEARCH("BR",D591)),"001","000"))&amp;IF(D591&lt;&gt;"",VLOOKUP(D591,Ops!$B$2:'Ops'!$C$23,2,FALSE),"0")&amp;_xlfn.IFS(ISNUMBER(SEARCH("BR",D591)),VLOOKUP(D591,Ops!$B$3:'Ops'!$D$22,3,FALSE),F591&lt;&gt;"",VLOOKUP(F591,Ops!$R$2:'Ops'!$S$11,2),L591&lt;&gt;"",VLOOKUP(L591,Ops!$R$2:'Ops'!$S$25,2,FALSE),TRUE,"0000"),2)</f>
        <v>3E</v>
      </c>
      <c r="P591" s="26" t="str">
        <f>RIGHT(IF($E591&lt;&gt;"",_xlfn.XLOOKUP($E591,$C$4:$C$681,$B$4:$B$681,"NO LABEL"),BIN2HEX(IF(N591="CarryEn","1","0")&amp;IF(M591="SubXY","1","0")&amp;IF(H591&lt;&gt;"",VLOOKUP(H591,Ops!$F$2:'Ops'!$G$20,2,FALSE),"000000"),2)),2)</f>
        <v>FF</v>
      </c>
      <c r="Q591" s="26" t="str" cm="1">
        <f t="array" ref="Q591">BIN2HEX(_xlfn.IFS(D591="HWINTEN","10",G591="KeyAck","01",G591="InitLp8","01",TRUE,"00")&amp;IF(OR(Ops!$O$2:'Ops'!$O$13=K591),VLOOKUP(K591,Ops!$O$2:'Ops'!$P$13,2,FALSE),"000")&amp;IF(E591&lt;&gt;"",IF(LEN(_xlfn.XLOOKUP($E591,$C$5:$C$681,$B$5:$B$681,0))=3,HEX2BIN(LEFT(_xlfn.XLOOKUP($E591,$C$5:$C$681,$B$5:$B$681,0),1),3),IF(OR(Ops!$L$2:'Ops'!$L$11=J591),VLOOKUP(J591,Ops!$L$2:'Ops'!$M$11,2,FALSE),"000")),IF(OR(Ops!$L$2:'Ops'!$L$11=J591),VLOOKUP(J591,Ops!$L$2:'Ops'!$M$11,2,FALSE),"000")),2)</f>
        <v>06</v>
      </c>
      <c r="R591" s="27"/>
      <c r="S591" t="s">
        <v>539</v>
      </c>
      <c r="Z591" s="74" t="str">
        <f t="shared" si="172"/>
        <v>0x3E,</v>
      </c>
      <c r="AA591" s="75" t="str">
        <f t="shared" si="173"/>
        <v>0xFF,</v>
      </c>
      <c r="AB591" s="75" t="str">
        <f t="shared" si="174"/>
        <v>0x06,</v>
      </c>
      <c r="AC591" s="76"/>
    </row>
    <row r="592" spans="1:29" x14ac:dyDescent="0.3">
      <c r="A592" s="79">
        <f t="shared" si="175"/>
        <v>1782</v>
      </c>
      <c r="B592" s="80" t="str">
        <f t="shared" si="176"/>
        <v>6F6</v>
      </c>
      <c r="C592" s="70"/>
      <c r="D592" t="s">
        <v>321</v>
      </c>
      <c r="E592" t="s">
        <v>176</v>
      </c>
      <c r="F592" s="29"/>
      <c r="G592" s="24"/>
      <c r="M592" s="14"/>
      <c r="O592" s="25" t="str" cm="1">
        <f t="array" ref="O592">BIN2HEX(IF(I592&lt;&gt;"",VLOOKUP(I592,Ops!$I$2:'Ops'!$J$15,2,FALSE),IF(ISNUMBER(SEARCH("BR",D592)),"001","000"))&amp;IF(D592&lt;&gt;"",VLOOKUP(D592,Ops!$B$2:'Ops'!$C$23,2,FALSE),"0")&amp;_xlfn.IFS(ISNUMBER(SEARCH("BR",D592)),VLOOKUP(D592,Ops!$B$3:'Ops'!$D$22,3,FALSE),F592&lt;&gt;"",VLOOKUP(F592,Ops!$R$2:'Ops'!$S$11,2),L592&lt;&gt;"",VLOOKUP(L592,Ops!$R$2:'Ops'!$S$25,2,FALSE),TRUE,"0000"),2)</f>
        <v>3A</v>
      </c>
      <c r="P592" s="26" t="str">
        <f>RIGHT(IF($E592&lt;&gt;"",_xlfn.XLOOKUP($E592,$C$4:$C$681,$B$4:$B$681,"NO LABEL"),BIN2HEX(IF(N592="CarryEn","1","0")&amp;IF(M592="SubXY","1","0")&amp;IF(H592&lt;&gt;"",VLOOKUP(H592,Ops!$F$2:'Ops'!$G$20,2,FALSE),"000000"),2)),2)</f>
        <v>FF</v>
      </c>
      <c r="Q592" s="26" t="str" cm="1">
        <f t="array" ref="Q592">BIN2HEX(_xlfn.IFS(D592="HWINTEN","10",G592="KeyAck","01",G592="InitLp8","01",TRUE,"00")&amp;IF(OR(Ops!$O$2:'Ops'!$O$13=K592),VLOOKUP(K592,Ops!$O$2:'Ops'!$P$13,2,FALSE),"000")&amp;IF(E592&lt;&gt;"",IF(LEN(_xlfn.XLOOKUP($E592,$C$5:$C$681,$B$5:$B$681,0))=3,HEX2BIN(LEFT(_xlfn.XLOOKUP($E592,$C$5:$C$681,$B$5:$B$681,0),1),3),IF(OR(Ops!$L$2:'Ops'!$L$11=J592),VLOOKUP(J592,Ops!$L$2:'Ops'!$M$11,2,FALSE),"000")),IF(OR(Ops!$L$2:'Ops'!$L$11=J592),VLOOKUP(J592,Ops!$L$2:'Ops'!$M$11,2,FALSE),"000")),2)</f>
        <v>06</v>
      </c>
      <c r="R592" s="27"/>
      <c r="S592" t="s">
        <v>541</v>
      </c>
      <c r="Z592" s="74" t="str">
        <f t="shared" si="172"/>
        <v>0x3A,</v>
      </c>
      <c r="AA592" s="75" t="str">
        <f t="shared" si="173"/>
        <v>0xFF,</v>
      </c>
      <c r="AB592" s="75" t="str">
        <f t="shared" si="174"/>
        <v>0x06,</v>
      </c>
      <c r="AC592" s="76"/>
    </row>
    <row r="593" spans="1:29" x14ac:dyDescent="0.3">
      <c r="A593" s="79">
        <f t="shared" si="175"/>
        <v>1785</v>
      </c>
      <c r="B593" s="80" t="str">
        <f>DEC2HEX(A593)</f>
        <v>6F9</v>
      </c>
      <c r="C593" s="24" t="s">
        <v>526</v>
      </c>
      <c r="F593" s="29"/>
      <c r="G593" s="24"/>
      <c r="J593" s="4" t="s">
        <v>60</v>
      </c>
      <c r="M593" s="14"/>
      <c r="O593" s="25" t="str" cm="1">
        <f t="array" ref="O593">BIN2HEX(IF(I593&lt;&gt;"",VLOOKUP(I593,Ops!$I$2:'Ops'!$J$15,2,FALSE),IF(ISNUMBER(SEARCH("BR",D593)),"001","000"))&amp;IF(D593&lt;&gt;"",VLOOKUP(D593,Ops!$B$2:'Ops'!$C$23,2,FALSE),"0")&amp;_xlfn.IFS(ISNUMBER(SEARCH("BR",D593)),VLOOKUP(D593,Ops!$B$3:'Ops'!$D$22,3,FALSE),F593&lt;&gt;"",VLOOKUP(F593,Ops!$R$2:'Ops'!$S$11,2),L593&lt;&gt;"",VLOOKUP(L593,Ops!$R$2:'Ops'!$S$25,2,FALSE),TRUE,"0000"),2)</f>
        <v>00</v>
      </c>
      <c r="P593" s="26" t="str">
        <f>RIGHT(IF($E593&lt;&gt;"",_xlfn.XLOOKUP($E593,$C$4:$C$681,$B$4:$B$681,"NO LABEL"),BIN2HEX(IF(N593="CarryEn","1","0")&amp;IF(M593="SubXY","1","0")&amp;IF(H593&lt;&gt;"",VLOOKUP(H593,Ops!$F$2:'Ops'!$G$20,2,FALSE),"000000"),2)),2)</f>
        <v>00</v>
      </c>
      <c r="Q593" s="26" t="str" cm="1">
        <f t="array" ref="Q593">BIN2HEX(_xlfn.IFS(D593="HWINTEN","10",G593="KeyAck","01",G593="InitLp8","01",TRUE,"00")&amp;IF(OR(Ops!$O$2:'Ops'!$O$13=K593),VLOOKUP(K593,Ops!$O$2:'Ops'!$P$13,2,FALSE),"000")&amp;IF(E593&lt;&gt;"",IF(LEN(_xlfn.XLOOKUP($E593,$C$5:$C$681,$B$5:$B$681,0))=3,HEX2BIN(LEFT(_xlfn.XLOOKUP($E593,$C$5:$C$681,$B$5:$B$681,0),1),3),IF(OR(Ops!$L$2:'Ops'!$L$11=J593),VLOOKUP(J593,Ops!$L$2:'Ops'!$M$11,2,FALSE),"000")),IF(OR(Ops!$L$2:'Ops'!$L$11=J593),VLOOKUP(J593,Ops!$L$2:'Ops'!$M$11,2,FALSE),"000")),2)</f>
        <v>01</v>
      </c>
      <c r="R593" s="27"/>
      <c r="S593" s="4" t="s">
        <v>540</v>
      </c>
      <c r="Z593" s="74" t="str">
        <f t="shared" si="172"/>
        <v>0x00,</v>
      </c>
      <c r="AA593" s="75" t="str">
        <f t="shared" si="173"/>
        <v>0x00,</v>
      </c>
      <c r="AB593" s="75" t="str">
        <f t="shared" si="174"/>
        <v>0x01,</v>
      </c>
      <c r="AC593" s="76"/>
    </row>
    <row r="594" spans="1:29" x14ac:dyDescent="0.3">
      <c r="A594" s="79">
        <f t="shared" si="175"/>
        <v>1788</v>
      </c>
      <c r="B594" s="80" t="str">
        <f>DEC2HEX(A594)</f>
        <v>6FC</v>
      </c>
      <c r="C594" s="70"/>
      <c r="D594" s="4" t="s">
        <v>0</v>
      </c>
      <c r="E594" s="92" t="s">
        <v>600</v>
      </c>
      <c r="F594" s="29"/>
      <c r="G594" s="24"/>
      <c r="M594" s="14"/>
      <c r="O594" s="25" t="str" cm="1">
        <f t="array" ref="O594">BIN2HEX(IF(I594&lt;&gt;"",VLOOKUP(I594,Ops!$I$2:'Ops'!$J$15,2,FALSE),IF(ISNUMBER(SEARCH("BR",D594)),"001","000"))&amp;IF(D594&lt;&gt;"",VLOOKUP(D594,Ops!$B$2:'Ops'!$C$23,2,FALSE),"0")&amp;_xlfn.IFS(ISNUMBER(SEARCH("BR",D594)),VLOOKUP(D594,Ops!$B$3:'Ops'!$D$22,3,FALSE),F594&lt;&gt;"",VLOOKUP(F594,Ops!$R$2:'Ops'!$S$11,2),L594&lt;&gt;"",VLOOKUP(L594,Ops!$R$2:'Ops'!$S$25,2,FALSE),TRUE,"0000"),2)</f>
        <v>10</v>
      </c>
      <c r="P594" s="26" t="str">
        <f>RIGHT(IF($E594&lt;&gt;"",_xlfn.XLOOKUP($E594,$C$4:$C$681,$B$4:$B$681,"NO LABEL"),BIN2HEX(IF(N594="CarryEn","1","0")&amp;IF(M594="SubXY","1","0")&amp;IF(H594&lt;&gt;"",VLOOKUP(H594,Ops!$F$2:'Ops'!$G$20,2,FALSE),"000000"),2)),2)</f>
        <v>17</v>
      </c>
      <c r="Q594" s="26" t="str" cm="1">
        <f t="array" ref="Q594">BIN2HEX(_xlfn.IFS(D594="HWINTEN","10",G594="KeyAck","01",G594="InitLp8","01",TRUE,"00")&amp;IF(OR(Ops!$O$2:'Ops'!$O$13=K594),VLOOKUP(K594,Ops!$O$2:'Ops'!$P$13,2,FALSE),"000")&amp;IF(E594&lt;&gt;"",IF(LEN(_xlfn.XLOOKUP($E594,$C$5:$C$681,$B$5:$B$681,0))=3,HEX2BIN(LEFT(_xlfn.XLOOKUP($E594,$C$5:$C$681,$B$5:$B$681,0),1),3),IF(OR(Ops!$L$2:'Ops'!$L$11=J594),VLOOKUP(J594,Ops!$L$2:'Ops'!$M$11,2,FALSE),"000")),IF(OR(Ops!$L$2:'Ops'!$L$11=J594),VLOOKUP(J594,Ops!$L$2:'Ops'!$M$11,2,FALSE),"000")),2)</f>
        <v>07</v>
      </c>
      <c r="R594" s="27"/>
      <c r="Z594" s="74" t="str">
        <f t="shared" si="172"/>
        <v>0x10,</v>
      </c>
      <c r="AA594" s="75" t="str">
        <f t="shared" si="173"/>
        <v>0x17,</v>
      </c>
      <c r="AB594" s="75" t="str">
        <f t="shared" si="174"/>
        <v>0x07,</v>
      </c>
      <c r="AC594" s="76"/>
    </row>
    <row r="595" spans="1:29" x14ac:dyDescent="0.3">
      <c r="A595" s="79">
        <f t="shared" si="175"/>
        <v>1791</v>
      </c>
      <c r="B595" s="80" t="str">
        <f t="shared" si="176"/>
        <v>6FF</v>
      </c>
      <c r="C595" s="4" t="s">
        <v>176</v>
      </c>
      <c r="D595" s="29" t="s">
        <v>175</v>
      </c>
      <c r="E595" s="4" t="s">
        <v>198</v>
      </c>
      <c r="F595" s="29"/>
      <c r="G595" s="24"/>
      <c r="H595" s="29"/>
      <c r="M595" s="14"/>
      <c r="O595" s="25" t="str" cm="1">
        <f t="array" ref="O595">BIN2HEX(IF(I595&lt;&gt;"",VLOOKUP(I595,Ops!$I$2:'Ops'!$J$15,2,FALSE),IF(ISNUMBER(SEARCH("BR",D595)),"001","000"))&amp;IF(D595&lt;&gt;"",VLOOKUP(D595,Ops!$B$2:'Ops'!$C$23,2,FALSE),"0")&amp;_xlfn.IFS(ISNUMBER(SEARCH("BR",D595)),VLOOKUP(D595,Ops!$B$3:'Ops'!$D$22,3,FALSE),F595&lt;&gt;"",VLOOKUP(F595,Ops!$R$2:'Ops'!$S$11,2),L595&lt;&gt;"",VLOOKUP(L595,Ops!$R$2:'Ops'!$S$25,2,FALSE),TRUE,"0000"),2)</f>
        <v>3A</v>
      </c>
      <c r="P595" s="26" t="str">
        <f>RIGHT(IF($E595&lt;&gt;"",_xlfn.XLOOKUP($E595,$C$4:$C$681,$B$4:$B$681,"NO LABEL"),BIN2HEX(IF(N595="CarryEn","1","0")&amp;IF(M595="SubXY","1","0")&amp;IF(H595&lt;&gt;"",VLOOKUP(H595,Ops!$F$2:'Ops'!$G$20,2,FALSE),"000000"),2)),2)</f>
        <v>05</v>
      </c>
      <c r="Q595" s="26" t="str" cm="1">
        <f t="array" ref="Q595">BIN2HEX(_xlfn.IFS(D595="HWINTEN","10",G595="KeyAck","01",G595="InitLp8","01",TRUE,"00")&amp;IF(OR(Ops!$O$2:'Ops'!$O$13=K595),VLOOKUP(K595,Ops!$O$2:'Ops'!$P$13,2,FALSE),"000")&amp;IF(E595&lt;&gt;"",IF(LEN(_xlfn.XLOOKUP($E595,$C$5:$C$681,$B$5:$B$681,0))=3,HEX2BIN(LEFT(_xlfn.XLOOKUP($E595,$C$5:$C$681,$B$5:$B$681,0),1),3),IF(OR(Ops!$L$2:'Ops'!$L$11=J595),VLOOKUP(J595,Ops!$L$2:'Ops'!$M$11,2,FALSE),"000")),IF(OR(Ops!$L$2:'Ops'!$L$11=J595),VLOOKUP(J595,Ops!$L$2:'Ops'!$M$11,2,FALSE),"000")),2)</f>
        <v>07</v>
      </c>
      <c r="R595" s="27"/>
      <c r="S595" s="4" t="s">
        <v>199</v>
      </c>
      <c r="Z595" s="74" t="str">
        <f t="shared" si="172"/>
        <v>0x3A,</v>
      </c>
      <c r="AA595" s="75" t="str">
        <f t="shared" si="173"/>
        <v>0x05,</v>
      </c>
      <c r="AB595" s="75" t="str">
        <f t="shared" si="174"/>
        <v>0x07,</v>
      </c>
      <c r="AC595" s="76"/>
    </row>
    <row r="596" spans="1:29" x14ac:dyDescent="0.3">
      <c r="A596" s="79">
        <f t="shared" si="175"/>
        <v>1794</v>
      </c>
      <c r="B596" s="80" t="str">
        <f t="shared" si="176"/>
        <v>702</v>
      </c>
      <c r="D596" s="29" t="s">
        <v>0</v>
      </c>
      <c r="E596" s="92" t="s">
        <v>600</v>
      </c>
      <c r="F596" s="29"/>
      <c r="G596" s="24"/>
      <c r="H596" s="29"/>
      <c r="M596" s="14"/>
      <c r="O596" s="25" t="str" cm="1">
        <f t="array" ref="O596">BIN2HEX(IF(I596&lt;&gt;"",VLOOKUP(I596,Ops!$I$2:'Ops'!$J$15,2,FALSE),IF(ISNUMBER(SEARCH("BR",D596)),"001","000"))&amp;IF(D596&lt;&gt;"",VLOOKUP(D596,Ops!$B$2:'Ops'!$C$23,2,FALSE),"0")&amp;_xlfn.IFS(ISNUMBER(SEARCH("BR",D596)),VLOOKUP(D596,Ops!$B$3:'Ops'!$D$22,3,FALSE),F596&lt;&gt;"",VLOOKUP(F596,Ops!$R$2:'Ops'!$S$11,2),L596&lt;&gt;"",VLOOKUP(L596,Ops!$R$2:'Ops'!$S$25,2,FALSE),TRUE,"0000"),2)</f>
        <v>10</v>
      </c>
      <c r="P596" s="26" t="str">
        <f>RIGHT(IF($E596&lt;&gt;"",_xlfn.XLOOKUP($E596,$C$4:$C$681,$B$4:$B$681,"NO LABEL"),BIN2HEX(IF(N596="CarryEn","1","0")&amp;IF(M596="SubXY","1","0")&amp;IF(H596&lt;&gt;"",VLOOKUP(H596,Ops!$F$2:'Ops'!$G$20,2,FALSE),"000000"),2)),2)</f>
        <v>17</v>
      </c>
      <c r="Q596" s="26" t="str" cm="1">
        <f t="array" ref="Q596">BIN2HEX(_xlfn.IFS(D596="HWINTEN","10",G596="KeyAck","01",G596="InitLp8","01",TRUE,"00")&amp;IF(OR(Ops!$O$2:'Ops'!$O$13=K596),VLOOKUP(K596,Ops!$O$2:'Ops'!$P$13,2,FALSE),"000")&amp;IF(E596&lt;&gt;"",IF(LEN(_xlfn.XLOOKUP($E596,$C$5:$C$681,$B$5:$B$681,0))=3,HEX2BIN(LEFT(_xlfn.XLOOKUP($E596,$C$5:$C$681,$B$5:$B$681,0),1),3),IF(OR(Ops!$L$2:'Ops'!$L$11=J596),VLOOKUP(J596,Ops!$L$2:'Ops'!$M$11,2,FALSE),"000")),IF(OR(Ops!$L$2:'Ops'!$L$11=J596),VLOOKUP(J596,Ops!$L$2:'Ops'!$M$11,2,FALSE),"000")),2)</f>
        <v>07</v>
      </c>
      <c r="R596" s="27"/>
      <c r="Z596" s="74" t="str">
        <f t="shared" si="172"/>
        <v>0x10,</v>
      </c>
      <c r="AA596" s="75" t="str">
        <f t="shared" si="173"/>
        <v>0x17,</v>
      </c>
      <c r="AB596" s="75" t="str">
        <f t="shared" si="174"/>
        <v>0x07,</v>
      </c>
      <c r="AC596" s="76"/>
    </row>
    <row r="597" spans="1:29" x14ac:dyDescent="0.3">
      <c r="A597" s="79">
        <f t="shared" si="175"/>
        <v>1797</v>
      </c>
      <c r="B597" s="80" t="str">
        <f t="shared" ref="B597:B605" si="177">DEC2HEX(A597)</f>
        <v>705</v>
      </c>
      <c r="C597" s="4" t="s">
        <v>198</v>
      </c>
      <c r="D597" s="29"/>
      <c r="F597" s="29"/>
      <c r="G597" s="24"/>
      <c r="H597" s="29"/>
      <c r="I597" t="s">
        <v>290</v>
      </c>
      <c r="K597" s="4" t="s">
        <v>480</v>
      </c>
      <c r="M597" s="14"/>
      <c r="O597" s="25" t="str" cm="1">
        <f t="array" ref="O597">BIN2HEX(IF(I597&lt;&gt;"",VLOOKUP(I597,Ops!$I$2:'Ops'!$J$15,2,FALSE),IF(ISNUMBER(SEARCH("BR",D597)),"001","000"))&amp;IF(D597&lt;&gt;"",VLOOKUP(D597,Ops!$B$2:'Ops'!$C$23,2,FALSE),"0")&amp;_xlfn.IFS(ISNUMBER(SEARCH("BR",D597)),VLOOKUP(D597,Ops!$B$3:'Ops'!$D$22,3,FALSE),F597&lt;&gt;"",VLOOKUP(F597,Ops!$R$2:'Ops'!$S$11,2),L597&lt;&gt;"",VLOOKUP(L597,Ops!$R$2:'Ops'!$S$25,2,FALSE),TRUE,"0000"),2)</f>
        <v>40</v>
      </c>
      <c r="P597" s="26" t="str">
        <f>RIGHT(IF($E597&lt;&gt;"",_xlfn.XLOOKUP($E597,$C$4:$C$681,$B$4:$B$681,"NO LABEL"),BIN2HEX(IF(N597="CarryEn","1","0")&amp;IF(M597="SubXY","1","0")&amp;IF(H597&lt;&gt;"",VLOOKUP(H597,Ops!$F$2:'Ops'!$G$20,2,FALSE),"000000"),2)),2)</f>
        <v>00</v>
      </c>
      <c r="Q597" s="26" t="str" cm="1">
        <f t="array" ref="Q597">BIN2HEX(_xlfn.IFS(D597="HWINTEN","10",G597="KeyAck","01",G597="InitLp8","01",TRUE,"00")&amp;IF(OR(Ops!$O$2:'Ops'!$O$13=K597),VLOOKUP(K597,Ops!$O$2:'Ops'!$P$13,2,FALSE),"000")&amp;IF(E597&lt;&gt;"",IF(LEN(_xlfn.XLOOKUP($E597,$C$5:$C$681,$B$5:$B$681,0))=3,HEX2BIN(LEFT(_xlfn.XLOOKUP($E597,$C$5:$C$681,$B$5:$B$681,0),1),3),IF(OR(Ops!$L$2:'Ops'!$L$11=J597),VLOOKUP(J597,Ops!$L$2:'Ops'!$M$11,2,FALSE),"000")),IF(OR(Ops!$L$2:'Ops'!$L$11=J597),VLOOKUP(J597,Ops!$L$2:'Ops'!$M$11,2,FALSE),"000")),2)</f>
        <v>00</v>
      </c>
      <c r="R597" s="27"/>
      <c r="S597" s="4" t="s">
        <v>178</v>
      </c>
      <c r="Z597" s="74" t="str">
        <f t="shared" ref="Z597:Z606" si="178">IF(O597="", "};", "0x"&amp;O597&amp;",")</f>
        <v>0x40,</v>
      </c>
      <c r="AA597" s="75" t="str">
        <f t="shared" ref="AA597:AA606" si="179">"0x"&amp;P597&amp;","</f>
        <v>0x00,</v>
      </c>
      <c r="AB597" s="75" t="str">
        <f t="shared" ref="AB597:AB606" si="180">"0x"&amp;Q597&amp;","</f>
        <v>0x00,</v>
      </c>
      <c r="AC597" s="76"/>
    </row>
    <row r="598" spans="1:29" x14ac:dyDescent="0.3">
      <c r="A598" s="79">
        <f t="shared" si="175"/>
        <v>1800</v>
      </c>
      <c r="B598" s="80" t="str">
        <f t="shared" si="177"/>
        <v>708</v>
      </c>
      <c r="D598" s="29"/>
      <c r="F598" s="29"/>
      <c r="G598" s="24"/>
      <c r="H598" s="29" t="s">
        <v>46</v>
      </c>
      <c r="I598" s="4" t="s">
        <v>482</v>
      </c>
      <c r="J598" s="4" t="s">
        <v>191</v>
      </c>
      <c r="M598" s="14"/>
      <c r="O598" s="25" t="str" cm="1">
        <f t="array" ref="O598">BIN2HEX(IF(I598&lt;&gt;"",VLOOKUP(I598,Ops!$I$2:'Ops'!$J$15,2,FALSE),IF(ISNUMBER(SEARCH("BR",D598)),"001","000"))&amp;IF(D598&lt;&gt;"",VLOOKUP(D598,Ops!$B$2:'Ops'!$C$23,2,FALSE),"0")&amp;_xlfn.IFS(ISNUMBER(SEARCH("BR",D598)),VLOOKUP(D598,Ops!$B$3:'Ops'!$D$22,3,FALSE),F598&lt;&gt;"",VLOOKUP(F598,Ops!$R$2:'Ops'!$S$11,2),L598&lt;&gt;"",VLOOKUP(L598,Ops!$R$2:'Ops'!$S$25,2,FALSE),TRUE,"0000"),2)</f>
        <v>00</v>
      </c>
      <c r="P598" s="26" t="str">
        <f>RIGHT(IF($E598&lt;&gt;"",_xlfn.XLOOKUP($E598,$C$4:$C$681,$B$4:$B$681,"NO LABEL"),BIN2HEX(IF(N598="CarryEn","1","0")&amp;IF(M598="SubXY","1","0")&amp;IF(H598&lt;&gt;"",VLOOKUP(H598,Ops!$F$2:'Ops'!$G$20,2,FALSE),"000000"),2)),2)</f>
        <v>01</v>
      </c>
      <c r="Q598" s="26" t="str" cm="1">
        <f t="array" ref="Q598">BIN2HEX(_xlfn.IFS(D598="HWINTEN","10",G598="KeyAck","01",G598="InitLp8","01",TRUE,"00")&amp;IF(OR(Ops!$O$2:'Ops'!$O$13=K598),VLOOKUP(K598,Ops!$O$2:'Ops'!$P$13,2,FALSE),"000")&amp;IF(E598&lt;&gt;"",IF(LEN(_xlfn.XLOOKUP($E598,$C$5:$C$681,$B$5:$B$681,0))=3,HEX2BIN(LEFT(_xlfn.XLOOKUP($E598,$C$5:$C$681,$B$5:$B$681,0),1),3),IF(OR(Ops!$L$2:'Ops'!$L$11=J598),VLOOKUP(J598,Ops!$L$2:'Ops'!$M$11,2,FALSE),"000")),IF(OR(Ops!$L$2:'Ops'!$L$11=J598),VLOOKUP(J598,Ops!$L$2:'Ops'!$M$11,2,FALSE),"000")),2)</f>
        <v>00</v>
      </c>
      <c r="R598" s="27"/>
      <c r="S598" s="4" t="s">
        <v>319</v>
      </c>
      <c r="Z598" s="74" t="str">
        <f t="shared" si="178"/>
        <v>0x00,</v>
      </c>
      <c r="AA598" s="75" t="str">
        <f t="shared" si="179"/>
        <v>0x01,</v>
      </c>
      <c r="AB598" s="75" t="str">
        <f t="shared" si="180"/>
        <v>0x00,</v>
      </c>
      <c r="AC598" s="76"/>
    </row>
    <row r="599" spans="1:29" x14ac:dyDescent="0.3">
      <c r="A599" s="79">
        <f t="shared" si="175"/>
        <v>1803</v>
      </c>
      <c r="B599" s="80" t="str">
        <f t="shared" si="177"/>
        <v>70B</v>
      </c>
      <c r="D599" s="29"/>
      <c r="F599" s="29"/>
      <c r="G599" s="24"/>
      <c r="H599" s="29"/>
      <c r="J599" s="4" t="s">
        <v>314</v>
      </c>
      <c r="K599" s="4" t="s">
        <v>313</v>
      </c>
      <c r="L599" s="4" t="s">
        <v>181</v>
      </c>
      <c r="M599" s="14"/>
      <c r="O599" s="25" t="str" cm="1">
        <f t="array" ref="O599">BIN2HEX(IF(I599&lt;&gt;"",VLOOKUP(I599,Ops!$I$2:'Ops'!$J$15,2,FALSE),IF(ISNUMBER(SEARCH("BR",D599)),"001","000"))&amp;IF(D599&lt;&gt;"",VLOOKUP(D599,Ops!$B$2:'Ops'!$C$23,2,FALSE),"0")&amp;_xlfn.IFS(ISNUMBER(SEARCH("BR",D599)),VLOOKUP(D599,Ops!$B$3:'Ops'!$D$22,3,FALSE),F599&lt;&gt;"",VLOOKUP(F599,Ops!$R$2:'Ops'!$S$11,2),L599&lt;&gt;"",VLOOKUP(L599,Ops!$R$2:'Ops'!$S$25,2,FALSE),TRUE,"0000"),2)</f>
        <v>02</v>
      </c>
      <c r="P599" s="26" t="str">
        <f>RIGHT(IF($E599&lt;&gt;"",_xlfn.XLOOKUP($E599,$C$4:$C$681,$B$4:$B$681,"NO LABEL"),BIN2HEX(IF(N599="CarryEn","1","0")&amp;IF(M599="SubXY","1","0")&amp;IF(H599&lt;&gt;"",VLOOKUP(H599,Ops!$F$2:'Ops'!$G$20,2,FALSE),"000000"),2)),2)</f>
        <v>00</v>
      </c>
      <c r="Q599" s="26" t="str" cm="1">
        <f t="array" ref="Q599">BIN2HEX(_xlfn.IFS(D599="HWINTEN","10",G599="KeyAck","01",G599="InitLp8","01",TRUE,"00")&amp;IF(OR(Ops!$O$2:'Ops'!$O$13=K599),VLOOKUP(K599,Ops!$O$2:'Ops'!$P$13,2,FALSE),"000")&amp;IF(E599&lt;&gt;"",IF(LEN(_xlfn.XLOOKUP($E599,$C$5:$C$681,$B$5:$B$681,0))=3,HEX2BIN(LEFT(_xlfn.XLOOKUP($E599,$C$5:$C$681,$B$5:$B$681,0),1),3),IF(OR(Ops!$L$2:'Ops'!$L$11=J599),VLOOKUP(J599,Ops!$L$2:'Ops'!$M$11,2,FALSE),"000")),IF(OR(Ops!$L$2:'Ops'!$L$11=J599),VLOOKUP(J599,Ops!$L$2:'Ops'!$M$11,2,FALSE),"000")),2)</f>
        <v>36</v>
      </c>
      <c r="R599" s="27"/>
      <c r="Z599" s="74" t="str">
        <f t="shared" si="178"/>
        <v>0x02,</v>
      </c>
      <c r="AA599" s="75" t="str">
        <f t="shared" si="179"/>
        <v>0x00,</v>
      </c>
      <c r="AB599" s="75" t="str">
        <f t="shared" si="180"/>
        <v>0x36,</v>
      </c>
      <c r="AC599" s="76"/>
    </row>
    <row r="600" spans="1:29" x14ac:dyDescent="0.3">
      <c r="A600" s="79">
        <f t="shared" si="175"/>
        <v>1806</v>
      </c>
      <c r="B600" s="80" t="str">
        <f t="shared" si="177"/>
        <v>70E</v>
      </c>
      <c r="D600" s="29" t="s">
        <v>0</v>
      </c>
      <c r="E600" s="4" t="s">
        <v>176</v>
      </c>
      <c r="F600" s="29"/>
      <c r="G600" s="24"/>
      <c r="H600" s="29"/>
      <c r="M600" s="14"/>
      <c r="O600" s="25" t="str" cm="1">
        <f t="array" ref="O600">BIN2HEX(IF(I600&lt;&gt;"",VLOOKUP(I600,Ops!$I$2:'Ops'!$J$15,2,FALSE),IF(ISNUMBER(SEARCH("BR",D600)),"001","000"))&amp;IF(D600&lt;&gt;"",VLOOKUP(D600,Ops!$B$2:'Ops'!$C$23,2,FALSE),"0")&amp;_xlfn.IFS(ISNUMBER(SEARCH("BR",D600)),VLOOKUP(D600,Ops!$B$3:'Ops'!$D$22,3,FALSE),F600&lt;&gt;"",VLOOKUP(F600,Ops!$R$2:'Ops'!$S$11,2),L600&lt;&gt;"",VLOOKUP(L600,Ops!$R$2:'Ops'!$S$25,2,FALSE),TRUE,"0000"),2)</f>
        <v>10</v>
      </c>
      <c r="P600" s="26" t="str">
        <f>RIGHT(IF($E600&lt;&gt;"",_xlfn.XLOOKUP($E600,$C$4:$C$681,$B$4:$B$681,"NO LABEL"),BIN2HEX(IF(N600="CarryEn","1","0")&amp;IF(M600="SubXY","1","0")&amp;IF(H600&lt;&gt;"",VLOOKUP(H600,Ops!$F$2:'Ops'!$G$20,2,FALSE),"000000"),2)),2)</f>
        <v>FF</v>
      </c>
      <c r="Q600" s="26" t="str" cm="1">
        <f t="array" ref="Q600">BIN2HEX(_xlfn.IFS(D600="HWINTEN","10",G600="KeyAck","01",G600="InitLp8","01",TRUE,"00")&amp;IF(OR(Ops!$O$2:'Ops'!$O$13=K600),VLOOKUP(K600,Ops!$O$2:'Ops'!$P$13,2,FALSE),"000")&amp;IF(E600&lt;&gt;"",IF(LEN(_xlfn.XLOOKUP($E600,$C$5:$C$681,$B$5:$B$681,0))=3,HEX2BIN(LEFT(_xlfn.XLOOKUP($E600,$C$5:$C$681,$B$5:$B$681,0),1),3),IF(OR(Ops!$L$2:'Ops'!$L$11=J600),VLOOKUP(J600,Ops!$L$2:'Ops'!$M$11,2,FALSE),"000")),IF(OR(Ops!$L$2:'Ops'!$L$11=J600),VLOOKUP(J600,Ops!$L$2:'Ops'!$M$11,2,FALSE),"000")),2)</f>
        <v>06</v>
      </c>
      <c r="R600" s="27"/>
      <c r="Z600" s="74" t="str">
        <f t="shared" si="178"/>
        <v>0x10,</v>
      </c>
      <c r="AA600" s="75" t="str">
        <f t="shared" si="179"/>
        <v>0xFF,</v>
      </c>
      <c r="AB600" s="75" t="str">
        <f t="shared" si="180"/>
        <v>0x06,</v>
      </c>
      <c r="AC600" s="76"/>
    </row>
    <row r="601" spans="1:29" x14ac:dyDescent="0.3">
      <c r="A601" s="79">
        <f t="shared" si="175"/>
        <v>1809</v>
      </c>
      <c r="B601" s="80" t="str">
        <f t="shared" si="177"/>
        <v>711</v>
      </c>
      <c r="C601" s="4" t="s">
        <v>337</v>
      </c>
      <c r="D601" s="29"/>
      <c r="F601" s="29"/>
      <c r="G601" s="24"/>
      <c r="H601" s="29"/>
      <c r="J601" s="4" t="s">
        <v>421</v>
      </c>
      <c r="K601" s="4" t="s">
        <v>422</v>
      </c>
      <c r="L601" s="4" t="s">
        <v>325</v>
      </c>
      <c r="M601" s="14"/>
      <c r="O601" s="25" t="str" cm="1">
        <f t="array" ref="O601">BIN2HEX(IF(I601&lt;&gt;"",VLOOKUP(I601,Ops!$I$2:'Ops'!$J$15,2,FALSE),IF(ISNUMBER(SEARCH("BR",D601)),"001","000"))&amp;IF(D601&lt;&gt;"",VLOOKUP(D601,Ops!$B$2:'Ops'!$C$23,2,FALSE),"0")&amp;_xlfn.IFS(ISNUMBER(SEARCH("BR",D601)),VLOOKUP(D601,Ops!$B$3:'Ops'!$D$22,3,FALSE),F601&lt;&gt;"",VLOOKUP(F601,Ops!$R$2:'Ops'!$S$11,2),L601&lt;&gt;"",VLOOKUP(L601,Ops!$R$2:'Ops'!$S$25,2,FALSE),TRUE,"0000"),2)</f>
        <v>06</v>
      </c>
      <c r="P601" s="26" t="str">
        <f>RIGHT(IF($E601&lt;&gt;"",_xlfn.XLOOKUP($E601,$C$4:$C$681,$B$4:$B$681,"NO LABEL"),BIN2HEX(IF(N601="CarryEn","1","0")&amp;IF(M601="SubXY","1","0")&amp;IF(H601&lt;&gt;"",VLOOKUP(H601,Ops!$F$2:'Ops'!$G$20,2,FALSE),"000000"),2)),2)</f>
        <v>00</v>
      </c>
      <c r="Q601" s="26" t="str" cm="1">
        <f t="array" ref="Q601">BIN2HEX(_xlfn.IFS(D601="HWINTEN","10",G601="KeyAck","01",G601="InitLp8","01",TRUE,"00")&amp;IF(OR(Ops!$O$2:'Ops'!$O$13=K601),VLOOKUP(K601,Ops!$O$2:'Ops'!$P$13,2,FALSE),"000")&amp;IF(E601&lt;&gt;"",IF(LEN(_xlfn.XLOOKUP($E601,$C$5:$C$681,$B$5:$B$681,0))=3,HEX2BIN(LEFT(_xlfn.XLOOKUP($E601,$C$5:$C$681,$B$5:$B$681,0),1),3),IF(OR(Ops!$L$2:'Ops'!$L$11=J601),VLOOKUP(J601,Ops!$L$2:'Ops'!$M$11,2,FALSE),"000")),IF(OR(Ops!$L$2:'Ops'!$L$11=J601),VLOOKUP(J601,Ops!$L$2:'Ops'!$M$11,2,FALSE),"000")),2)</f>
        <v>1B</v>
      </c>
      <c r="R601" s="27"/>
      <c r="Z601" s="74" t="str">
        <f t="shared" si="178"/>
        <v>0x06,</v>
      </c>
      <c r="AA601" s="75" t="str">
        <f t="shared" si="179"/>
        <v>0x00,</v>
      </c>
      <c r="AB601" s="75" t="str">
        <f t="shared" si="180"/>
        <v>0x1B,</v>
      </c>
      <c r="AC601" s="76"/>
    </row>
    <row r="602" spans="1:29" ht="15" thickBot="1" x14ac:dyDescent="0.35">
      <c r="A602" s="79">
        <f t="shared" si="175"/>
        <v>1812</v>
      </c>
      <c r="B602" s="80" t="str">
        <f t="shared" si="177"/>
        <v>714</v>
      </c>
      <c r="C602" s="69"/>
      <c r="D602" s="68" t="s">
        <v>0</v>
      </c>
      <c r="E602" s="98" t="s">
        <v>1</v>
      </c>
      <c r="F602" s="68"/>
      <c r="G602" s="69"/>
      <c r="H602" s="95"/>
      <c r="I602" s="68"/>
      <c r="J602" s="68"/>
      <c r="K602" s="68"/>
      <c r="L602" s="68"/>
      <c r="M602" s="123"/>
      <c r="N602" s="69"/>
      <c r="O602" s="25" t="str" cm="1">
        <f t="array" ref="O602">BIN2HEX(IF(I602&lt;&gt;"",VLOOKUP(I602,Ops!$I$2:'Ops'!$J$15,2,FALSE),IF(ISNUMBER(SEARCH("BR",D602)),"001","000"))&amp;IF(D602&lt;&gt;"",VLOOKUP(D602,Ops!$B$2:'Ops'!$C$23,2,FALSE),"0")&amp;_xlfn.IFS(ISNUMBER(SEARCH("BR",D602)),VLOOKUP(D602,Ops!$B$3:'Ops'!$D$22,3,FALSE),F602&lt;&gt;"",VLOOKUP(F602,Ops!$R$2:'Ops'!$S$11,2),L602&lt;&gt;"",VLOOKUP(L602,Ops!$R$2:'Ops'!$S$25,2,FALSE),TRUE,"0000"),2)</f>
        <v>10</v>
      </c>
      <c r="P602" s="26" t="str">
        <f>RIGHT(IF($E602&lt;&gt;"",_xlfn.XLOOKUP($E602,$C$4:$C$681,$B$4:$B$681,"NO LABEL"),BIN2HEX(IF(N602="CarryEn","1","0")&amp;IF(M602="SubXY","1","0")&amp;IF(H602&lt;&gt;"",VLOOKUP(H602,Ops!$F$2:'Ops'!$G$20,2,FALSE),"000000"),2)),2)</f>
        <v>60</v>
      </c>
      <c r="Q602" s="26" t="str" cm="1">
        <f t="array" ref="Q602">BIN2HEX(_xlfn.IFS(D602="HWINTEN","10",G602="KeyAck","01",G602="InitLp8","01",TRUE,"00")&amp;IF(OR(Ops!$O$2:'Ops'!$O$13=K602),VLOOKUP(K602,Ops!$O$2:'Ops'!$P$13,2,FALSE),"000")&amp;IF(E602&lt;&gt;"",IF(LEN(_xlfn.XLOOKUP($E602,$C$5:$C$681,$B$5:$B$681,0))=3,HEX2BIN(LEFT(_xlfn.XLOOKUP($E602,$C$5:$C$681,$B$5:$B$681,0),1),3),IF(OR(Ops!$L$2:'Ops'!$L$11=J602),VLOOKUP(J602,Ops!$L$2:'Ops'!$M$11,2,FALSE),"000")),IF(OR(Ops!$L$2:'Ops'!$L$11=J602),VLOOKUP(J602,Ops!$L$2:'Ops'!$M$11,2,FALSE),"000")),2)</f>
        <v>00</v>
      </c>
      <c r="R602" s="27"/>
      <c r="Z602" s="74" t="str">
        <f t="shared" si="178"/>
        <v>0x10,</v>
      </c>
      <c r="AA602" s="75" t="str">
        <f t="shared" si="179"/>
        <v>0x60,</v>
      </c>
      <c r="AB602" s="75" t="str">
        <f t="shared" si="180"/>
        <v>0x00,</v>
      </c>
      <c r="AC602" s="76"/>
    </row>
    <row r="603" spans="1:29" x14ac:dyDescent="0.3">
      <c r="A603" s="79">
        <f t="shared" si="175"/>
        <v>1815</v>
      </c>
      <c r="B603" s="80" t="str">
        <f t="shared" si="177"/>
        <v>717</v>
      </c>
      <c r="C603" s="94" t="s">
        <v>600</v>
      </c>
      <c r="E603" s="24"/>
      <c r="G603" s="24"/>
      <c r="H603" s="29"/>
      <c r="J603" s="4" t="s">
        <v>61</v>
      </c>
      <c r="M603" s="14"/>
      <c r="O603" s="25" t="str" cm="1">
        <f t="array" ref="O603">BIN2HEX(IF(I603&lt;&gt;"",VLOOKUP(I603,Ops!$I$2:'Ops'!$J$15,2,FALSE),IF(ISNUMBER(SEARCH("BR",D603)),"001","000"))&amp;IF(D603&lt;&gt;"",VLOOKUP(D603,Ops!$B$2:'Ops'!$C$23,2,FALSE),"0")&amp;_xlfn.IFS(ISNUMBER(SEARCH("BR",D603)),VLOOKUP(D603,Ops!$B$3:'Ops'!$D$22,3,FALSE),F603&lt;&gt;"",VLOOKUP(F603,Ops!$R$2:'Ops'!$S$11,2),L603&lt;&gt;"",VLOOKUP(L603,Ops!$R$2:'Ops'!$S$25,2,FALSE),TRUE,"0000"),2)</f>
        <v>00</v>
      </c>
      <c r="P603" s="26" t="str">
        <f>RIGHT(IF($E603&lt;&gt;"",_xlfn.XLOOKUP($E603,$C$4:$C$681,$B$4:$B$681,"NO LABEL"),BIN2HEX(IF(N603="CarryEn","1","0")&amp;IF(M603="SubXY","1","0")&amp;IF(H603&lt;&gt;"",VLOOKUP(H603,Ops!$F$2:'Ops'!$G$20,2,FALSE),"000000"),2)),2)</f>
        <v>00</v>
      </c>
      <c r="Q603" s="26" t="str" cm="1">
        <f t="array" ref="Q603">BIN2HEX(_xlfn.IFS(D603="HWINTEN","10",G603="KeyAck","01",G603="InitLp8","01",TRUE,"00")&amp;IF(OR(Ops!$O$2:'Ops'!$O$13=K603),VLOOKUP(K603,Ops!$O$2:'Ops'!$P$13,2,FALSE),"000")&amp;IF(E603&lt;&gt;"",IF(LEN(_xlfn.XLOOKUP($E603,$C$5:$C$681,$B$5:$B$681,0))=3,HEX2BIN(LEFT(_xlfn.XLOOKUP($E603,$C$5:$C$681,$B$5:$B$681,0),1),3),IF(OR(Ops!$L$2:'Ops'!$L$11=J603),VLOOKUP(J603,Ops!$L$2:'Ops'!$M$11,2,FALSE),"000")),IF(OR(Ops!$L$2:'Ops'!$L$11=J603),VLOOKUP(J603,Ops!$L$2:'Ops'!$M$11,2,FALSE),"000")),2)</f>
        <v>02</v>
      </c>
      <c r="R603" s="27"/>
      <c r="S603" s="4" t="s">
        <v>680</v>
      </c>
      <c r="Z603" s="74" t="str">
        <f t="shared" si="178"/>
        <v>0x00,</v>
      </c>
      <c r="AA603" s="75" t="str">
        <f t="shared" si="179"/>
        <v>0x00,</v>
      </c>
      <c r="AB603" s="75" t="str">
        <f t="shared" si="180"/>
        <v>0x02,</v>
      </c>
      <c r="AC603" s="76"/>
    </row>
    <row r="604" spans="1:29" x14ac:dyDescent="0.3">
      <c r="A604" s="79">
        <f t="shared" si="175"/>
        <v>1818</v>
      </c>
      <c r="B604" s="80" t="str">
        <f t="shared" si="177"/>
        <v>71A</v>
      </c>
      <c r="C604" s="24" t="s">
        <v>601</v>
      </c>
      <c r="E604" s="24"/>
      <c r="G604" s="24"/>
      <c r="H604" s="29"/>
      <c r="J604" s="4" t="s">
        <v>314</v>
      </c>
      <c r="K604" s="4" t="s">
        <v>313</v>
      </c>
      <c r="L604" s="4" t="s">
        <v>312</v>
      </c>
      <c r="M604" s="14"/>
      <c r="O604" s="25" t="str" cm="1">
        <f t="array" ref="O604">BIN2HEX(IF(I604&lt;&gt;"",VLOOKUP(I604,Ops!$I$2:'Ops'!$J$15,2,FALSE),IF(ISNUMBER(SEARCH("BR",D604)),"001","000"))&amp;IF(D604&lt;&gt;"",VLOOKUP(D604,Ops!$B$2:'Ops'!$C$23,2,FALSE),"0")&amp;_xlfn.IFS(ISNUMBER(SEARCH("BR",D604)),VLOOKUP(D604,Ops!$B$3:'Ops'!$D$22,3,FALSE),F604&lt;&gt;"",VLOOKUP(F604,Ops!$R$2:'Ops'!$S$11,2),L604&lt;&gt;"",VLOOKUP(L604,Ops!$R$2:'Ops'!$S$25,2,FALSE),TRUE,"0000"),2)</f>
        <v>03</v>
      </c>
      <c r="P604" s="26" t="str">
        <f>RIGHT(IF($E604&lt;&gt;"",_xlfn.XLOOKUP($E604,$C$4:$C$681,$B$4:$B$681,"NO LABEL"),BIN2HEX(IF(N604="CarryEn","1","0")&amp;IF(M604="SubXY","1","0")&amp;IF(H604&lt;&gt;"",VLOOKUP(H604,Ops!$F$2:'Ops'!$G$20,2,FALSE),"000000"),2)),2)</f>
        <v>00</v>
      </c>
      <c r="Q604" s="26" t="str" cm="1">
        <f t="array" ref="Q604">BIN2HEX(_xlfn.IFS(D604="HWINTEN","10",G604="KeyAck","01",G604="InitLp8","01",TRUE,"00")&amp;IF(OR(Ops!$O$2:'Ops'!$O$13=K604),VLOOKUP(K604,Ops!$O$2:'Ops'!$P$13,2,FALSE),"000")&amp;IF(E604&lt;&gt;"",IF(LEN(_xlfn.XLOOKUP($E604,$C$5:$C$681,$B$5:$B$681,0))=3,HEX2BIN(LEFT(_xlfn.XLOOKUP($E604,$C$5:$C$681,$B$5:$B$681,0),1),3),IF(OR(Ops!$L$2:'Ops'!$L$11=J604),VLOOKUP(J604,Ops!$L$2:'Ops'!$M$11,2,FALSE),"000")),IF(OR(Ops!$L$2:'Ops'!$L$11=J604),VLOOKUP(J604,Ops!$L$2:'Ops'!$M$11,2,FALSE),"000")),2)</f>
        <v>36</v>
      </c>
      <c r="R604" s="27"/>
      <c r="S604" s="4" t="s">
        <v>681</v>
      </c>
      <c r="Z604" s="74" t="str">
        <f t="shared" si="178"/>
        <v>0x03,</v>
      </c>
      <c r="AA604" s="75" t="str">
        <f t="shared" si="179"/>
        <v>0x00,</v>
      </c>
      <c r="AB604" s="75" t="str">
        <f t="shared" si="180"/>
        <v>0x36,</v>
      </c>
      <c r="AC604" s="76"/>
    </row>
    <row r="605" spans="1:29" x14ac:dyDescent="0.3">
      <c r="A605" s="79">
        <f t="shared" si="175"/>
        <v>1821</v>
      </c>
      <c r="B605" s="80" t="str">
        <f t="shared" si="177"/>
        <v>71D</v>
      </c>
      <c r="C605" s="24"/>
      <c r="D605" s="4" t="s">
        <v>200</v>
      </c>
      <c r="E605" s="24" t="s">
        <v>597</v>
      </c>
      <c r="G605" s="24"/>
      <c r="H605" s="29"/>
      <c r="M605" s="14"/>
      <c r="N605" s="24"/>
      <c r="O605" s="26" t="str" cm="1">
        <f t="array" ref="O605">BIN2HEX(IF(I605&lt;&gt;"",VLOOKUP(I605,Ops!$I$2:'Ops'!$J$15,2,FALSE),IF(ISNUMBER(SEARCH("BR",D605)),"001","000"))&amp;IF(D605&lt;&gt;"",VLOOKUP(D605,Ops!$B$2:'Ops'!$C$23,2,FALSE),"0")&amp;_xlfn.IFS(ISNUMBER(SEARCH("BR",D605)),VLOOKUP(D605,Ops!$B$3:'Ops'!$D$22,3,FALSE),F605&lt;&gt;"",VLOOKUP(F605,Ops!$R$2:'Ops'!$S$11,2),L605&lt;&gt;"",VLOOKUP(L605,Ops!$R$2:'Ops'!$S$25,2,FALSE),TRUE,"0000"),2)</f>
        <v>33</v>
      </c>
      <c r="P605" s="26" t="str">
        <f>RIGHT(IF($E605&lt;&gt;"",_xlfn.XLOOKUP($E605,$C$4:$C$681,$B$4:$B$681,"NO LABEL"),BIN2HEX(IF(N605="CarryEn","1","0")&amp;IF(M605="SubXY","1","0")&amp;IF(H605&lt;&gt;"",VLOOKUP(H605,Ops!$F$2:'Ops'!$G$20,2,FALSE),"000000"),2)),2)</f>
        <v>23</v>
      </c>
      <c r="Q605" s="26" t="str" cm="1">
        <f t="array" ref="Q605">BIN2HEX(_xlfn.IFS(D605="HWINTEN","10",G605="KeyAck","01",G605="InitLp8","01",TRUE,"00")&amp;IF(OR(Ops!$O$2:'Ops'!$O$13=K605),VLOOKUP(K605,Ops!$O$2:'Ops'!$P$13,2,FALSE),"000")&amp;IF(E605&lt;&gt;"",IF(LEN(_xlfn.XLOOKUP($E605,$C$5:$C$681,$B$5:$B$681,0))=3,HEX2BIN(LEFT(_xlfn.XLOOKUP($E605,$C$5:$C$681,$B$5:$B$681,0),1),3),IF(OR(Ops!$L$2:'Ops'!$L$11=J605),VLOOKUP(J605,Ops!$L$2:'Ops'!$M$11,2,FALSE),"000")),IF(OR(Ops!$L$2:'Ops'!$L$11=J605),VLOOKUP(J605,Ops!$L$2:'Ops'!$M$11,2,FALSE),"000")),2)</f>
        <v>07</v>
      </c>
      <c r="R605" s="27"/>
      <c r="Z605" s="74" t="str">
        <f t="shared" si="178"/>
        <v>0x33,</v>
      </c>
      <c r="AA605" s="75" t="str">
        <f t="shared" si="179"/>
        <v>0x23,</v>
      </c>
      <c r="AB605" s="75" t="str">
        <f t="shared" si="180"/>
        <v>0x07,</v>
      </c>
      <c r="AC605" s="76"/>
    </row>
    <row r="606" spans="1:29" x14ac:dyDescent="0.3">
      <c r="A606" s="79">
        <f t="shared" si="175"/>
        <v>1824</v>
      </c>
      <c r="B606" s="80" t="str">
        <f t="shared" ref="B606:B612" si="181">DEC2HEX(A606)</f>
        <v>720</v>
      </c>
      <c r="C606" s="24"/>
      <c r="D606" s="4" t="s">
        <v>0</v>
      </c>
      <c r="E606" s="24" t="s">
        <v>601</v>
      </c>
      <c r="G606" s="24"/>
      <c r="H606" s="29"/>
      <c r="M606" s="14"/>
      <c r="N606" s="24"/>
      <c r="O606" s="26" t="str" cm="1">
        <f t="array" ref="O606">BIN2HEX(IF(I606&lt;&gt;"",VLOOKUP(I606,Ops!$I$2:'Ops'!$J$15,2,FALSE),IF(ISNUMBER(SEARCH("BR",D606)),"001","000"))&amp;IF(D606&lt;&gt;"",VLOOKUP(D606,Ops!$B$2:'Ops'!$C$23,2,FALSE),"0")&amp;_xlfn.IFS(ISNUMBER(SEARCH("BR",D606)),VLOOKUP(D606,Ops!$B$3:'Ops'!$D$22,3,FALSE),F606&lt;&gt;"",VLOOKUP(F606,Ops!$R$2:'Ops'!$S$11,2),L606&lt;&gt;"",VLOOKUP(L606,Ops!$R$2:'Ops'!$S$25,2,FALSE),TRUE,"0000"),2)</f>
        <v>10</v>
      </c>
      <c r="P606" s="26" t="str">
        <f>RIGHT(IF($E606&lt;&gt;"",_xlfn.XLOOKUP($E606,$C$4:$C$681,$B$4:$B$681,"NO LABEL"),BIN2HEX(IF(N606="CarryEn","1","0")&amp;IF(M606="SubXY","1","0")&amp;IF(H606&lt;&gt;"",VLOOKUP(H606,Ops!$F$2:'Ops'!$G$20,2,FALSE),"000000"),2)),2)</f>
        <v>1A</v>
      </c>
      <c r="Q606" s="26" t="str" cm="1">
        <f t="array" ref="Q606">BIN2HEX(_xlfn.IFS(D606="HWINTEN","10",G606="KeyAck","01",G606="InitLp8","01",TRUE,"00")&amp;IF(OR(Ops!$O$2:'Ops'!$O$13=K606),VLOOKUP(K606,Ops!$O$2:'Ops'!$P$13,2,FALSE),"000")&amp;IF(E606&lt;&gt;"",IF(LEN(_xlfn.XLOOKUP($E606,$C$5:$C$681,$B$5:$B$681,0))=3,HEX2BIN(LEFT(_xlfn.XLOOKUP($E606,$C$5:$C$681,$B$5:$B$681,0),1),3),IF(OR(Ops!$L$2:'Ops'!$L$11=J606),VLOOKUP(J606,Ops!$L$2:'Ops'!$M$11,2,FALSE),"000")),IF(OR(Ops!$L$2:'Ops'!$L$11=J606),VLOOKUP(J606,Ops!$L$2:'Ops'!$M$11,2,FALSE),"000")),2)</f>
        <v>07</v>
      </c>
      <c r="R606" s="27"/>
      <c r="Z606" s="74" t="str">
        <f t="shared" si="178"/>
        <v>0x10,</v>
      </c>
      <c r="AA606" s="75" t="str">
        <f t="shared" si="179"/>
        <v>0x1A,</v>
      </c>
      <c r="AB606" s="75" t="str">
        <f t="shared" si="180"/>
        <v>0x07,</v>
      </c>
      <c r="AC606" s="76"/>
    </row>
    <row r="607" spans="1:29" x14ac:dyDescent="0.3">
      <c r="A607" s="79">
        <f t="shared" si="175"/>
        <v>1827</v>
      </c>
      <c r="B607" s="80" t="str">
        <f t="shared" si="181"/>
        <v>723</v>
      </c>
      <c r="C607" s="24" t="s">
        <v>597</v>
      </c>
      <c r="E607" s="24"/>
      <c r="G607" s="24"/>
      <c r="H607" s="29"/>
      <c r="J607" s="4" t="s">
        <v>314</v>
      </c>
      <c r="L607" s="4" t="s">
        <v>312</v>
      </c>
      <c r="M607" s="14"/>
      <c r="N607" s="24"/>
      <c r="O607" s="26" t="str" cm="1">
        <f t="array" ref="O607">BIN2HEX(IF(I607&lt;&gt;"",VLOOKUP(I607,Ops!$I$2:'Ops'!$J$15,2,FALSE),IF(ISNUMBER(SEARCH("BR",D607)),"001","000"))&amp;IF(D607&lt;&gt;"",VLOOKUP(D607,Ops!$B$2:'Ops'!$C$23,2,FALSE),"0")&amp;_xlfn.IFS(ISNUMBER(SEARCH("BR",D607)),VLOOKUP(D607,Ops!$B$3:'Ops'!$D$22,3,FALSE),F607&lt;&gt;"",VLOOKUP(F607,Ops!$R$2:'Ops'!$S$11,2),L607&lt;&gt;"",VLOOKUP(L607,Ops!$R$2:'Ops'!$S$25,2,FALSE),TRUE,"0000"),2)</f>
        <v>03</v>
      </c>
      <c r="P607" s="26" t="str">
        <f>RIGHT(IF($E607&lt;&gt;"",_xlfn.XLOOKUP($E607,$C$4:$C$681,$B$4:$B$681,"NO LABEL"),BIN2HEX(IF(N607="CarryEn","1","0")&amp;IF(M607="SubXY","1","0")&amp;IF(H607&lt;&gt;"",VLOOKUP(H607,Ops!$F$2:'Ops'!$G$20,2,FALSE),"000000"),2)),2)</f>
        <v>00</v>
      </c>
      <c r="Q607" s="26" t="str" cm="1">
        <f t="array" ref="Q607">BIN2HEX(_xlfn.IFS(D607="HWINTEN","10",G607="KeyAck","01",G607="InitLp8","01",TRUE,"00")&amp;IF(OR(Ops!$O$2:'Ops'!$O$13=K607),VLOOKUP(K607,Ops!$O$2:'Ops'!$P$13,2,FALSE),"000")&amp;IF(E607&lt;&gt;"",IF(LEN(_xlfn.XLOOKUP($E607,$C$5:$C$681,$B$5:$B$681,0))=3,HEX2BIN(LEFT(_xlfn.XLOOKUP($E607,$C$5:$C$681,$B$5:$B$681,0),1),3),IF(OR(Ops!$L$2:'Ops'!$L$11=J607),VLOOKUP(J607,Ops!$L$2:'Ops'!$M$11,2,FALSE),"000")),IF(OR(Ops!$L$2:'Ops'!$L$11=J607),VLOOKUP(J607,Ops!$L$2:'Ops'!$M$11,2,FALSE),"000")),2)</f>
        <v>06</v>
      </c>
      <c r="R607" s="27"/>
      <c r="S607" s="4" t="s">
        <v>682</v>
      </c>
      <c r="Z607" s="74" t="str">
        <f t="shared" ref="Z607:Z613" si="182">IF(O607="", "};", "0x"&amp;O607&amp;",")</f>
        <v>0x03,</v>
      </c>
      <c r="AA607" s="75" t="str">
        <f t="shared" ref="AA607:AA613" si="183">"0x"&amp;P607&amp;","</f>
        <v>0x00,</v>
      </c>
      <c r="AB607" s="75" t="str">
        <f t="shared" ref="AB607:AB613" si="184">"0x"&amp;Q607&amp;","</f>
        <v>0x06,</v>
      </c>
      <c r="AC607" s="76"/>
    </row>
    <row r="608" spans="1:29" x14ac:dyDescent="0.3">
      <c r="A608" s="79">
        <f t="shared" si="175"/>
        <v>1830</v>
      </c>
      <c r="B608" s="80" t="str">
        <f t="shared" si="181"/>
        <v>726</v>
      </c>
      <c r="C608" s="24" t="s">
        <v>599</v>
      </c>
      <c r="E608" s="24"/>
      <c r="G608" s="24"/>
      <c r="H608" s="29"/>
      <c r="J608" s="4" t="s">
        <v>314</v>
      </c>
      <c r="L608" s="4" t="s">
        <v>312</v>
      </c>
      <c r="M608" s="14"/>
      <c r="N608" s="24"/>
      <c r="O608" s="26" t="str" cm="1">
        <f t="array" ref="O608">BIN2HEX(IF(I608&lt;&gt;"",VLOOKUP(I608,Ops!$I$2:'Ops'!$J$15,2,FALSE),IF(ISNUMBER(SEARCH("BR",D608)),"001","000"))&amp;IF(D608&lt;&gt;"",VLOOKUP(D608,Ops!$B$2:'Ops'!$C$23,2,FALSE),"0")&amp;_xlfn.IFS(ISNUMBER(SEARCH("BR",D608)),VLOOKUP(D608,Ops!$B$3:'Ops'!$D$22,3,FALSE),F608&lt;&gt;"",VLOOKUP(F608,Ops!$R$2:'Ops'!$S$11,2),L608&lt;&gt;"",VLOOKUP(L608,Ops!$R$2:'Ops'!$S$25,2,FALSE),TRUE,"0000"),2)</f>
        <v>03</v>
      </c>
      <c r="P608" s="26" t="str">
        <f>RIGHT(IF($E608&lt;&gt;"",_xlfn.XLOOKUP($E608,$C$4:$C$681,$B$4:$B$681,"NO LABEL"),BIN2HEX(IF(N608="CarryEn","1","0")&amp;IF(M608="SubXY","1","0")&amp;IF(H608&lt;&gt;"",VLOOKUP(H608,Ops!$F$2:'Ops'!$G$20,2,FALSE),"000000"),2)),2)</f>
        <v>00</v>
      </c>
      <c r="Q608" s="26" t="str" cm="1">
        <f t="array" ref="Q608">BIN2HEX(_xlfn.IFS(D608="HWINTEN","10",G608="KeyAck","01",G608="InitLp8","01",TRUE,"00")&amp;IF(OR(Ops!$O$2:'Ops'!$O$13=K608),VLOOKUP(K608,Ops!$O$2:'Ops'!$P$13,2,FALSE),"000")&amp;IF(E608&lt;&gt;"",IF(LEN(_xlfn.XLOOKUP($E608,$C$5:$C$681,$B$5:$B$681,0))=3,HEX2BIN(LEFT(_xlfn.XLOOKUP($E608,$C$5:$C$681,$B$5:$B$681,0),1),3),IF(OR(Ops!$L$2:'Ops'!$L$11=J608),VLOOKUP(J608,Ops!$L$2:'Ops'!$M$11,2,FALSE),"000")),IF(OR(Ops!$L$2:'Ops'!$L$11=J608),VLOOKUP(J608,Ops!$L$2:'Ops'!$M$11,2,FALSE),"000")),2)</f>
        <v>06</v>
      </c>
      <c r="R608" s="27"/>
      <c r="S608" s="4" t="s">
        <v>683</v>
      </c>
      <c r="Z608" s="74" t="str">
        <f t="shared" si="182"/>
        <v>0x03,</v>
      </c>
      <c r="AA608" s="75" t="str">
        <f t="shared" si="183"/>
        <v>0x00,</v>
      </c>
      <c r="AB608" s="75" t="str">
        <f t="shared" si="184"/>
        <v>0x06,</v>
      </c>
      <c r="AC608" s="76"/>
    </row>
    <row r="609" spans="1:29" x14ac:dyDescent="0.3">
      <c r="A609" s="79">
        <f t="shared" si="175"/>
        <v>1833</v>
      </c>
      <c r="B609" s="80" t="str">
        <f t="shared" si="181"/>
        <v>729</v>
      </c>
      <c r="C609" s="24"/>
      <c r="E609" s="24"/>
      <c r="G609" s="24"/>
      <c r="H609" s="29"/>
      <c r="J609" s="4" t="s">
        <v>314</v>
      </c>
      <c r="L609" s="4" t="s">
        <v>181</v>
      </c>
      <c r="M609" s="14"/>
      <c r="N609" s="24"/>
      <c r="O609" s="26" t="str" cm="1">
        <f t="array" ref="O609">BIN2HEX(IF(I609&lt;&gt;"",VLOOKUP(I609,Ops!$I$2:'Ops'!$J$15,2,FALSE),IF(ISNUMBER(SEARCH("BR",D609)),"001","000"))&amp;IF(D609&lt;&gt;"",VLOOKUP(D609,Ops!$B$2:'Ops'!$C$23,2,FALSE),"0")&amp;_xlfn.IFS(ISNUMBER(SEARCH("BR",D609)),VLOOKUP(D609,Ops!$B$3:'Ops'!$D$22,3,FALSE),F609&lt;&gt;"",VLOOKUP(F609,Ops!$R$2:'Ops'!$S$11,2),L609&lt;&gt;"",VLOOKUP(L609,Ops!$R$2:'Ops'!$S$25,2,FALSE),TRUE,"0000"),2)</f>
        <v>02</v>
      </c>
      <c r="P609" s="26" t="str">
        <f>RIGHT(IF($E609&lt;&gt;"",_xlfn.XLOOKUP($E609,$C$4:$C$681,$B$4:$B$681,"NO LABEL"),BIN2HEX(IF(N609="CarryEn","1","0")&amp;IF(M609="SubXY","1","0")&amp;IF(H609&lt;&gt;"",VLOOKUP(H609,Ops!$F$2:'Ops'!$G$20,2,FALSE),"000000"),2)),2)</f>
        <v>00</v>
      </c>
      <c r="Q609" s="26" t="str" cm="1">
        <f t="array" ref="Q609">BIN2HEX(_xlfn.IFS(D609="HWINTEN","10",G609="KeyAck","01",G609="InitLp8","01",TRUE,"00")&amp;IF(OR(Ops!$O$2:'Ops'!$O$13=K609),VLOOKUP(K609,Ops!$O$2:'Ops'!$P$13,2,FALSE),"000")&amp;IF(E609&lt;&gt;"",IF(LEN(_xlfn.XLOOKUP($E609,$C$5:$C$681,$B$5:$B$681,0))=3,HEX2BIN(LEFT(_xlfn.XLOOKUP($E609,$C$5:$C$681,$B$5:$B$681,0),1),3),IF(OR(Ops!$L$2:'Ops'!$L$11=J609),VLOOKUP(J609,Ops!$L$2:'Ops'!$M$11,2,FALSE),"000")),IF(OR(Ops!$L$2:'Ops'!$L$11=J609),VLOOKUP(J609,Ops!$L$2:'Ops'!$M$11,2,FALSE),"000")),2)</f>
        <v>06</v>
      </c>
      <c r="R609" s="27"/>
      <c r="Z609" s="74" t="str">
        <f t="shared" si="182"/>
        <v>0x02,</v>
      </c>
      <c r="AA609" s="75" t="str">
        <f t="shared" si="183"/>
        <v>0x00,</v>
      </c>
      <c r="AB609" s="75" t="str">
        <f t="shared" si="184"/>
        <v>0x06,</v>
      </c>
      <c r="AC609" s="76"/>
    </row>
    <row r="610" spans="1:29" x14ac:dyDescent="0.3">
      <c r="A610" s="79">
        <f t="shared" si="175"/>
        <v>1836</v>
      </c>
      <c r="B610" s="80" t="str">
        <f t="shared" si="181"/>
        <v>72C</v>
      </c>
      <c r="C610" s="24"/>
      <c r="D610" s="4" t="s">
        <v>175</v>
      </c>
      <c r="E610" s="24" t="s">
        <v>598</v>
      </c>
      <c r="G610" s="24"/>
      <c r="H610" s="29"/>
      <c r="M610" s="14"/>
      <c r="N610" s="24"/>
      <c r="O610" s="26" t="str" cm="1">
        <f t="array" ref="O610">BIN2HEX(IF(I610&lt;&gt;"",VLOOKUP(I610,Ops!$I$2:'Ops'!$J$15,2,FALSE),IF(ISNUMBER(SEARCH("BR",D610)),"001","000"))&amp;IF(D610&lt;&gt;"",VLOOKUP(D610,Ops!$B$2:'Ops'!$C$23,2,FALSE),"0")&amp;_xlfn.IFS(ISNUMBER(SEARCH("BR",D610)),VLOOKUP(D610,Ops!$B$3:'Ops'!$D$22,3,FALSE),F610&lt;&gt;"",VLOOKUP(F610,Ops!$R$2:'Ops'!$S$11,2),L610&lt;&gt;"",VLOOKUP(L610,Ops!$R$2:'Ops'!$S$25,2,FALSE),TRUE,"0000"),2)</f>
        <v>3A</v>
      </c>
      <c r="P610" s="26" t="str">
        <f>RIGHT(IF($E610&lt;&gt;"",_xlfn.XLOOKUP($E610,$C$4:$C$681,$B$4:$B$681,"NO LABEL"),BIN2HEX(IF(N610="CarryEn","1","0")&amp;IF(M610="SubXY","1","0")&amp;IF(H610&lt;&gt;"",VLOOKUP(H610,Ops!$F$2:'Ops'!$G$20,2,FALSE),"000000"),2)),2)</f>
        <v>32</v>
      </c>
      <c r="Q610" s="26" t="str" cm="1">
        <f t="array" ref="Q610">BIN2HEX(_xlfn.IFS(D610="HWINTEN","10",G610="KeyAck","01",G610="InitLp8","01",TRUE,"00")&amp;IF(OR(Ops!$O$2:'Ops'!$O$13=K610),VLOOKUP(K610,Ops!$O$2:'Ops'!$P$13,2,FALSE),"000")&amp;IF(E610&lt;&gt;"",IF(LEN(_xlfn.XLOOKUP($E610,$C$5:$C$681,$B$5:$B$681,0))=3,HEX2BIN(LEFT(_xlfn.XLOOKUP($E610,$C$5:$C$681,$B$5:$B$681,0),1),3),IF(OR(Ops!$L$2:'Ops'!$L$11=J610),VLOOKUP(J610,Ops!$L$2:'Ops'!$M$11,2,FALSE),"000")),IF(OR(Ops!$L$2:'Ops'!$L$11=J610),VLOOKUP(J610,Ops!$L$2:'Ops'!$M$11,2,FALSE),"000")),2)</f>
        <v>07</v>
      </c>
      <c r="R610" s="27"/>
      <c r="Z610" s="74" t="str">
        <f t="shared" si="182"/>
        <v>0x3A,</v>
      </c>
      <c r="AA610" s="75" t="str">
        <f t="shared" si="183"/>
        <v>0x32,</v>
      </c>
      <c r="AB610" s="75" t="str">
        <f t="shared" si="184"/>
        <v>0x07,</v>
      </c>
      <c r="AC610" s="76"/>
    </row>
    <row r="611" spans="1:29" x14ac:dyDescent="0.3">
      <c r="A611" s="79">
        <f t="shared" si="175"/>
        <v>1839</v>
      </c>
      <c r="B611" s="80" t="str">
        <f t="shared" si="181"/>
        <v>72F</v>
      </c>
      <c r="C611" s="24"/>
      <c r="D611" s="4" t="s">
        <v>0</v>
      </c>
      <c r="E611" s="24" t="s">
        <v>599</v>
      </c>
      <c r="G611" s="24"/>
      <c r="H611" s="29"/>
      <c r="M611" s="14"/>
      <c r="N611" s="24"/>
      <c r="O611" s="26" t="str" cm="1">
        <f t="array" ref="O611">BIN2HEX(IF(I611&lt;&gt;"",VLOOKUP(I611,Ops!$I$2:'Ops'!$J$15,2,FALSE),IF(ISNUMBER(SEARCH("BR",D611)),"001","000"))&amp;IF(D611&lt;&gt;"",VLOOKUP(D611,Ops!$B$2:'Ops'!$C$23,2,FALSE),"0")&amp;_xlfn.IFS(ISNUMBER(SEARCH("BR",D611)),VLOOKUP(D611,Ops!$B$3:'Ops'!$D$22,3,FALSE),F611&lt;&gt;"",VLOOKUP(F611,Ops!$R$2:'Ops'!$S$11,2),L611&lt;&gt;"",VLOOKUP(L611,Ops!$R$2:'Ops'!$S$25,2,FALSE),TRUE,"0000"),2)</f>
        <v>10</v>
      </c>
      <c r="P611" s="26" t="str">
        <f>RIGHT(IF($E611&lt;&gt;"",_xlfn.XLOOKUP($E611,$C$4:$C$681,$B$4:$B$681,"NO LABEL"),BIN2HEX(IF(N611="CarryEn","1","0")&amp;IF(M611="SubXY","1","0")&amp;IF(H611&lt;&gt;"",VLOOKUP(H611,Ops!$F$2:'Ops'!$G$20,2,FALSE),"000000"),2)),2)</f>
        <v>26</v>
      </c>
      <c r="Q611" s="26" t="str" cm="1">
        <f t="array" ref="Q611">BIN2HEX(_xlfn.IFS(D611="HWINTEN","10",G611="KeyAck","01",G611="InitLp8","01",TRUE,"00")&amp;IF(OR(Ops!$O$2:'Ops'!$O$13=K611),VLOOKUP(K611,Ops!$O$2:'Ops'!$P$13,2,FALSE),"000")&amp;IF(E611&lt;&gt;"",IF(LEN(_xlfn.XLOOKUP($E611,$C$5:$C$681,$B$5:$B$681,0))=3,HEX2BIN(LEFT(_xlfn.XLOOKUP($E611,$C$5:$C$681,$B$5:$B$681,0),1),3),IF(OR(Ops!$L$2:'Ops'!$L$11=J611),VLOOKUP(J611,Ops!$L$2:'Ops'!$M$11,2,FALSE),"000")),IF(OR(Ops!$L$2:'Ops'!$L$11=J611),VLOOKUP(J611,Ops!$L$2:'Ops'!$M$11,2,FALSE),"000")),2)</f>
        <v>07</v>
      </c>
      <c r="R611" s="27"/>
      <c r="Z611" s="74" t="str">
        <f t="shared" si="182"/>
        <v>0x10,</v>
      </c>
      <c r="AA611" s="75" t="str">
        <f t="shared" si="183"/>
        <v>0x26,</v>
      </c>
      <c r="AB611" s="75" t="str">
        <f t="shared" si="184"/>
        <v>0x07,</v>
      </c>
      <c r="AC611" s="76"/>
    </row>
    <row r="612" spans="1:29" x14ac:dyDescent="0.3">
      <c r="A612" s="79">
        <f t="shared" si="175"/>
        <v>1842</v>
      </c>
      <c r="B612" s="80" t="str">
        <f t="shared" si="181"/>
        <v>732</v>
      </c>
      <c r="C612" s="24" t="s">
        <v>598</v>
      </c>
      <c r="E612" s="24"/>
      <c r="G612" s="24"/>
      <c r="H612" s="29"/>
      <c r="J612" s="4" t="s">
        <v>314</v>
      </c>
      <c r="K612" s="4" t="s">
        <v>313</v>
      </c>
      <c r="L612" s="4" t="s">
        <v>312</v>
      </c>
      <c r="M612" s="14"/>
      <c r="N612" s="24"/>
      <c r="O612" s="26" t="str" cm="1">
        <f t="array" ref="O612">BIN2HEX(IF(I612&lt;&gt;"",VLOOKUP(I612,Ops!$I$2:'Ops'!$J$15,2,FALSE),IF(ISNUMBER(SEARCH("BR",D612)),"001","000"))&amp;IF(D612&lt;&gt;"",VLOOKUP(D612,Ops!$B$2:'Ops'!$C$23,2,FALSE),"0")&amp;_xlfn.IFS(ISNUMBER(SEARCH("BR",D612)),VLOOKUP(D612,Ops!$B$3:'Ops'!$D$22,3,FALSE),F612&lt;&gt;"",VLOOKUP(F612,Ops!$R$2:'Ops'!$S$11,2),L612&lt;&gt;"",VLOOKUP(L612,Ops!$R$2:'Ops'!$S$25,2,FALSE),TRUE,"0000"),2)</f>
        <v>03</v>
      </c>
      <c r="P612" s="26" t="str">
        <f>RIGHT(IF($E612&lt;&gt;"",_xlfn.XLOOKUP($E612,$C$4:$C$681,$B$4:$B$681,"NO LABEL"),BIN2HEX(IF(N612="CarryEn","1","0")&amp;IF(M612="SubXY","1","0")&amp;IF(H612&lt;&gt;"",VLOOKUP(H612,Ops!$F$2:'Ops'!$G$20,2,FALSE),"000000"),2)),2)</f>
        <v>00</v>
      </c>
      <c r="Q612" s="26" t="str" cm="1">
        <f t="array" ref="Q612">BIN2HEX(_xlfn.IFS(D612="HWINTEN","10",G612="KeyAck","01",G612="InitLp8","01",TRUE,"00")&amp;IF(OR(Ops!$O$2:'Ops'!$O$13=K612),VLOOKUP(K612,Ops!$O$2:'Ops'!$P$13,2,FALSE),"000")&amp;IF(E612&lt;&gt;"",IF(LEN(_xlfn.XLOOKUP($E612,$C$5:$C$681,$B$5:$B$681,0))=3,HEX2BIN(LEFT(_xlfn.XLOOKUP($E612,$C$5:$C$681,$B$5:$B$681,0),1),3),IF(OR(Ops!$L$2:'Ops'!$L$11=J612),VLOOKUP(J612,Ops!$L$2:'Ops'!$M$11,2,FALSE),"000")),IF(OR(Ops!$L$2:'Ops'!$L$11=J612),VLOOKUP(J612,Ops!$L$2:'Ops'!$M$11,2,FALSE),"000")),2)</f>
        <v>36</v>
      </c>
      <c r="R612" s="27"/>
      <c r="S612" s="4" t="s">
        <v>684</v>
      </c>
      <c r="Z612" s="74" t="str">
        <f t="shared" si="182"/>
        <v>0x03,</v>
      </c>
      <c r="AA612" s="75" t="str">
        <f t="shared" si="183"/>
        <v>0x00,</v>
      </c>
      <c r="AB612" s="75" t="str">
        <f t="shared" si="184"/>
        <v>0x36,</v>
      </c>
      <c r="AC612" s="76"/>
    </row>
    <row r="613" spans="1:29" x14ac:dyDescent="0.3">
      <c r="A613" s="79">
        <f t="shared" si="175"/>
        <v>1845</v>
      </c>
      <c r="B613" s="80" t="str">
        <f>DEC2HEX(A613)</f>
        <v>735</v>
      </c>
      <c r="C613" s="24"/>
      <c r="E613" s="24"/>
      <c r="G613" s="24"/>
      <c r="I613" s="4" t="s">
        <v>520</v>
      </c>
      <c r="M613" s="14"/>
      <c r="N613" s="24"/>
      <c r="O613" s="26" t="str" cm="1">
        <f t="array" ref="O613">BIN2HEX(IF(I613&lt;&gt;"",VLOOKUP(I613,Ops!$I$2:'Ops'!$J$15,2,FALSE),IF(ISNUMBER(SEARCH("BR",D613)),"001","000"))&amp;IF(D613&lt;&gt;"",VLOOKUP(D613,Ops!$B$2:'Ops'!$C$23,2,FALSE),"0")&amp;_xlfn.IFS(ISNUMBER(SEARCH("BR",D613)),VLOOKUP(D613,Ops!$B$3:'Ops'!$D$22,3,FALSE),F613&lt;&gt;"",VLOOKUP(F613,Ops!$R$2:'Ops'!$S$11,2),L613&lt;&gt;"",VLOOKUP(L613,Ops!$R$2:'Ops'!$S$25,2,FALSE),TRUE,"0000"),2)</f>
        <v>A0</v>
      </c>
      <c r="P613" s="26" t="str">
        <f>RIGHT(IF($E613&lt;&gt;"",_xlfn.XLOOKUP($E613,$C$4:$C$681,$B$4:$B$681,"NO LABEL"),BIN2HEX(IF(N613="CarryEn","1","0")&amp;IF(M613="SubXY","1","0")&amp;IF(H613&lt;&gt;"",VLOOKUP(H613,Ops!$F$2:'Ops'!$G$20,2,FALSE),"000000"),2)),2)</f>
        <v>00</v>
      </c>
      <c r="Q613" s="26" t="str" cm="1">
        <f t="array" ref="Q613">BIN2HEX(_xlfn.IFS(D613="HWINTEN","10",G613="KeyAck","01",G613="InitLp8","01",TRUE,"00")&amp;IF(OR(Ops!$O$2:'Ops'!$O$13=K613),VLOOKUP(K613,Ops!$O$2:'Ops'!$P$13,2,FALSE),"000")&amp;IF(E613&lt;&gt;"",IF(LEN(_xlfn.XLOOKUP($E613,$C$5:$C$681,$B$5:$B$681,0))=3,HEX2BIN(LEFT(_xlfn.XLOOKUP($E613,$C$5:$C$681,$B$5:$B$681,0),1),3),IF(OR(Ops!$L$2:'Ops'!$L$11=J613),VLOOKUP(J613,Ops!$L$2:'Ops'!$M$11,2,FALSE),"000")),IF(OR(Ops!$L$2:'Ops'!$L$11=J613),VLOOKUP(J613,Ops!$L$2:'Ops'!$M$11,2,FALSE),"000")),2)</f>
        <v>00</v>
      </c>
      <c r="R613" s="27"/>
      <c r="S613" s="4" t="s">
        <v>685</v>
      </c>
      <c r="Z613" s="74" t="str">
        <f t="shared" si="182"/>
        <v>0xA0,</v>
      </c>
      <c r="AA613" s="75" t="str">
        <f t="shared" si="183"/>
        <v>0x00,</v>
      </c>
      <c r="AB613" s="75" t="str">
        <f t="shared" si="184"/>
        <v>0x00,</v>
      </c>
      <c r="AC613" s="76"/>
    </row>
    <row r="614" spans="1:29" x14ac:dyDescent="0.3">
      <c r="A614" s="79">
        <f t="shared" si="175"/>
        <v>1848</v>
      </c>
      <c r="B614" s="80" t="str">
        <f>DEC2HEX(A614)</f>
        <v>738</v>
      </c>
      <c r="C614" s="94" t="s">
        <v>634</v>
      </c>
      <c r="D614" s="23"/>
      <c r="F614" s="29"/>
      <c r="G614" s="24"/>
      <c r="H614" s="29"/>
      <c r="I614" s="4" t="s">
        <v>291</v>
      </c>
      <c r="J614" s="4" t="s">
        <v>61</v>
      </c>
      <c r="K614" s="4" t="s">
        <v>483</v>
      </c>
      <c r="M614" s="14"/>
      <c r="N614" s="24"/>
      <c r="O614" s="26" t="str" cm="1">
        <f t="array" ref="O614">BIN2HEX(IF(I614&lt;&gt;"",VLOOKUP(I614,Ops!$I$2:'Ops'!$J$15,2,FALSE),IF(ISNUMBER(SEARCH("BR",D614)),"001","000"))&amp;IF(D614&lt;&gt;"",VLOOKUP(D614,Ops!$B$2:'Ops'!$C$23,2,FALSE),"0")&amp;_xlfn.IFS(ISNUMBER(SEARCH("BR",D614)),VLOOKUP(D614,Ops!$B$3:'Ops'!$D$22,3,FALSE),F614&lt;&gt;"",VLOOKUP(F614,Ops!$R$2:'Ops'!$S$11,2),L614&lt;&gt;"",VLOOKUP(L614,Ops!$R$2:'Ops'!$S$25,2,FALSE),TRUE,"0000"),2)</f>
        <v>80</v>
      </c>
      <c r="P614" s="26" t="str">
        <f>RIGHT(IF($E614&lt;&gt;"",_xlfn.XLOOKUP($E614,$C$4:$C$681,$B$4:$B$681,"NO LABEL"),BIN2HEX(IF(N614="CarryEn","1","0")&amp;IF(M614="SubXY","1","0")&amp;IF(H614&lt;&gt;"",VLOOKUP(H614,Ops!$F$2:'Ops'!$G$20,2,FALSE),"000000"),2)),2)</f>
        <v>00</v>
      </c>
      <c r="Q614" s="26" t="str" cm="1">
        <f t="array" ref="Q614">BIN2HEX(_xlfn.IFS(D614="HWINTEN","10",G614="KeyAck","01",G614="InitLp8","01",TRUE,"00")&amp;IF(OR(Ops!$O$2:'Ops'!$O$13=K614),VLOOKUP(K614,Ops!$O$2:'Ops'!$P$13,2,FALSE),"000")&amp;IF(E614&lt;&gt;"",IF(LEN(_xlfn.XLOOKUP($E614,$C$5:$C$681,$B$5:$B$681,0))=3,HEX2BIN(LEFT(_xlfn.XLOOKUP($E614,$C$5:$C$681,$B$5:$B$681,0),1),3),IF(OR(Ops!$L$2:'Ops'!$L$11=J614),VLOOKUP(J614,Ops!$L$2:'Ops'!$M$11,2,FALSE),"000")),IF(OR(Ops!$L$2:'Ops'!$L$11=J614),VLOOKUP(J614,Ops!$L$2:'Ops'!$M$11,2,FALSE),"000")),2)</f>
        <v>02</v>
      </c>
      <c r="R614" s="27"/>
      <c r="S614" s="4" t="s">
        <v>664</v>
      </c>
      <c r="Z614" s="74" t="str">
        <f t="shared" ref="Z614:Z679" si="185">IF(O614="", "};", "0x"&amp;O614&amp;",")</f>
        <v>0x80,</v>
      </c>
      <c r="AA614" s="75" t="str">
        <f t="shared" ref="AA614:AA679" si="186">"0x"&amp;P614&amp;","</f>
        <v>0x00,</v>
      </c>
      <c r="AB614" s="75" t="str">
        <f t="shared" ref="AB614:AB679" si="187">"0x"&amp;Q614&amp;","</f>
        <v>0x02,</v>
      </c>
      <c r="AC614" s="76"/>
    </row>
    <row r="615" spans="1:29" x14ac:dyDescent="0.3">
      <c r="A615" s="79">
        <f t="shared" si="175"/>
        <v>1851</v>
      </c>
      <c r="B615" s="80" t="str">
        <f>DEC2HEX(A615)</f>
        <v>73B</v>
      </c>
      <c r="C615" s="12"/>
      <c r="D615" s="23"/>
      <c r="F615" s="29"/>
      <c r="G615" s="24"/>
      <c r="H615" s="29"/>
      <c r="I615" s="4" t="s">
        <v>290</v>
      </c>
      <c r="K615" s="4" t="s">
        <v>515</v>
      </c>
      <c r="M615" s="14"/>
      <c r="N615" s="24"/>
      <c r="O615" s="26" t="str" cm="1">
        <f t="array" ref="O615">BIN2HEX(IF(I615&lt;&gt;"",VLOOKUP(I615,Ops!$I$2:'Ops'!$J$15,2,FALSE),IF(ISNUMBER(SEARCH("BR",D615)),"001","000"))&amp;IF(D615&lt;&gt;"",VLOOKUP(D615,Ops!$B$2:'Ops'!$C$23,2,FALSE),"0")&amp;_xlfn.IFS(ISNUMBER(SEARCH("BR",D615)),VLOOKUP(D615,Ops!$B$3:'Ops'!$D$22,3,FALSE),F615&lt;&gt;"",VLOOKUP(F615,Ops!$R$2:'Ops'!$S$11,2),L615&lt;&gt;"",VLOOKUP(L615,Ops!$R$2:'Ops'!$S$25,2,FALSE),TRUE,"0000"),2)</f>
        <v>40</v>
      </c>
      <c r="P615" s="26" t="str">
        <f>RIGHT(IF($E615&lt;&gt;"",_xlfn.XLOOKUP($E615,$C$4:$C$681,$B$4:$B$681,"NO LABEL"),BIN2HEX(IF(N615="CarryEn","1","0")&amp;IF(M615="SubXY","1","0")&amp;IF(H615&lt;&gt;"",VLOOKUP(H615,Ops!$F$2:'Ops'!$G$20,2,FALSE),"000000"),2)),2)</f>
        <v>00</v>
      </c>
      <c r="Q615" s="26" t="str" cm="1">
        <f t="array" ref="Q615">BIN2HEX(_xlfn.IFS(D615="HWINTEN","10",G615="KeyAck","01",G615="InitLp8","01",TRUE,"00")&amp;IF(OR(Ops!$O$2:'Ops'!$O$13=K615),VLOOKUP(K615,Ops!$O$2:'Ops'!$P$13,2,FALSE),"000")&amp;IF(E615&lt;&gt;"",IF(LEN(_xlfn.XLOOKUP($E615,$C$5:$C$681,$B$5:$B$681,0))=3,HEX2BIN(LEFT(_xlfn.XLOOKUP($E615,$C$5:$C$681,$B$5:$B$681,0),1),3),IF(OR(Ops!$L$2:'Ops'!$L$11=J615),VLOOKUP(J615,Ops!$L$2:'Ops'!$M$11,2,FALSE),"000")),IF(OR(Ops!$L$2:'Ops'!$L$11=J615),VLOOKUP(J615,Ops!$L$2:'Ops'!$M$11,2,FALSE),"000")),2)</f>
        <v>20</v>
      </c>
      <c r="R615" s="27"/>
      <c r="S615" s="4" t="s">
        <v>663</v>
      </c>
      <c r="Z615" s="74" t="str">
        <f t="shared" ref="Z615:Z627" si="188">IF(O615="", "};", "0x"&amp;O615&amp;",")</f>
        <v>0x40,</v>
      </c>
      <c r="AA615" s="75" t="str">
        <f t="shared" ref="AA615:AA627" si="189">"0x"&amp;P615&amp;","</f>
        <v>0x00,</v>
      </c>
      <c r="AB615" s="75" t="str">
        <f t="shared" ref="AB615:AB627" si="190">"0x"&amp;Q615&amp;","</f>
        <v>0x20,</v>
      </c>
      <c r="AC615" s="76"/>
    </row>
    <row r="616" spans="1:29" x14ac:dyDescent="0.3">
      <c r="A616" s="79">
        <f t="shared" si="175"/>
        <v>1854</v>
      </c>
      <c r="B616" s="80" t="str">
        <f>DEC2HEX(A616)</f>
        <v>73E</v>
      </c>
      <c r="D616" s="29" t="s">
        <v>99</v>
      </c>
      <c r="E616" s="4" t="s">
        <v>635</v>
      </c>
      <c r="F616" s="29"/>
      <c r="G616" s="24"/>
      <c r="H616" s="29"/>
      <c r="M616" s="14"/>
      <c r="N616" s="24"/>
      <c r="O616" s="26" t="str" cm="1">
        <f t="array" ref="O616">BIN2HEX(IF(I616&lt;&gt;"",VLOOKUP(I616,Ops!$I$2:'Ops'!$J$15,2,FALSE),IF(ISNUMBER(SEARCH("BR",D616)),"001","000"))&amp;IF(D616&lt;&gt;"",VLOOKUP(D616,Ops!$B$2:'Ops'!$C$23,2,FALSE),"0")&amp;_xlfn.IFS(ISNUMBER(SEARCH("BR",D616)),VLOOKUP(D616,Ops!$B$3:'Ops'!$D$22,3,FALSE),F616&lt;&gt;"",VLOOKUP(F616,Ops!$R$2:'Ops'!$S$11,2),L616&lt;&gt;"",VLOOKUP(L616,Ops!$R$2:'Ops'!$S$25,2,FALSE),TRUE,"0000"),2)</f>
        <v>39</v>
      </c>
      <c r="P616" s="26" t="str">
        <f>RIGHT(IF($E616&lt;&gt;"",_xlfn.XLOOKUP($E616,$C$4:$C$681,$B$4:$B$681,"NO LABEL"),BIN2HEX(IF(N616="CarryEn","1","0")&amp;IF(M616="SubXY","1","0")&amp;IF(H616&lt;&gt;"",VLOOKUP(H616,Ops!$F$2:'Ops'!$G$20,2,FALSE),"000000"),2)),2)</f>
        <v>6E</v>
      </c>
      <c r="Q616" s="26" t="str" cm="1">
        <f t="array" ref="Q616">BIN2HEX(_xlfn.IFS(D616="HWINTEN","10",G616="KeyAck","01",G616="InitLp8","01",TRUE,"00")&amp;IF(OR(Ops!$O$2:'Ops'!$O$13=K616),VLOOKUP(K616,Ops!$O$2:'Ops'!$P$13,2,FALSE),"000")&amp;IF(E616&lt;&gt;"",IF(LEN(_xlfn.XLOOKUP($E616,$C$5:$C$681,$B$5:$B$681,0))=3,HEX2BIN(LEFT(_xlfn.XLOOKUP($E616,$C$5:$C$681,$B$5:$B$681,0),1),3),IF(OR(Ops!$L$2:'Ops'!$L$11=J616),VLOOKUP(J616,Ops!$L$2:'Ops'!$M$11,2,FALSE),"000")),IF(OR(Ops!$L$2:'Ops'!$L$11=J616),VLOOKUP(J616,Ops!$L$2:'Ops'!$M$11,2,FALSE),"000")),2)</f>
        <v>07</v>
      </c>
      <c r="R616" s="27"/>
      <c r="S616" s="4" t="s">
        <v>646</v>
      </c>
      <c r="Z616" s="74" t="str">
        <f t="shared" si="188"/>
        <v>0x39,</v>
      </c>
      <c r="AA616" s="75" t="str">
        <f t="shared" si="189"/>
        <v>0x6E,</v>
      </c>
      <c r="AB616" s="75" t="str">
        <f t="shared" si="190"/>
        <v>0x07,</v>
      </c>
      <c r="AC616" s="76"/>
    </row>
    <row r="617" spans="1:29" x14ac:dyDescent="0.3">
      <c r="A617" s="79">
        <f t="shared" si="175"/>
        <v>1857</v>
      </c>
      <c r="B617" s="80" t="str">
        <f t="shared" ref="B617:B624" si="191">DEC2HEX(A617)</f>
        <v>741</v>
      </c>
      <c r="C617" s="12" t="s">
        <v>636</v>
      </c>
      <c r="D617" s="29"/>
      <c r="F617" s="29"/>
      <c r="G617" s="24"/>
      <c r="H617" s="29"/>
      <c r="J617" s="4" t="s">
        <v>314</v>
      </c>
      <c r="K617" s="4" t="s">
        <v>313</v>
      </c>
      <c r="L617" s="4" t="s">
        <v>312</v>
      </c>
      <c r="M617" s="14"/>
      <c r="N617" s="24"/>
      <c r="O617" s="26" t="str" cm="1">
        <f t="array" ref="O617">BIN2HEX(IF(I617&lt;&gt;"",VLOOKUP(I617,Ops!$I$2:'Ops'!$J$15,2,FALSE),IF(ISNUMBER(SEARCH("BR",D617)),"001","000"))&amp;IF(D617&lt;&gt;"",VLOOKUP(D617,Ops!$B$2:'Ops'!$C$23,2,FALSE),"0")&amp;_xlfn.IFS(ISNUMBER(SEARCH("BR",D617)),VLOOKUP(D617,Ops!$B$3:'Ops'!$D$22,3,FALSE),F617&lt;&gt;"",VLOOKUP(F617,Ops!$R$2:'Ops'!$S$11,2),L617&lt;&gt;"",VLOOKUP(L617,Ops!$R$2:'Ops'!$S$25,2,FALSE),TRUE,"0000"),2)</f>
        <v>03</v>
      </c>
      <c r="P617" s="26" t="str">
        <f>RIGHT(IF($E617&lt;&gt;"",_xlfn.XLOOKUP($E617,$C$4:$C$681,$B$4:$B$681,"NO LABEL"),BIN2HEX(IF(N617="CarryEn","1","0")&amp;IF(M617="SubXY","1","0")&amp;IF(H617&lt;&gt;"",VLOOKUP(H617,Ops!$F$2:'Ops'!$G$20,2,FALSE),"000000"),2)),2)</f>
        <v>00</v>
      </c>
      <c r="Q617" s="26" t="str" cm="1">
        <f t="array" ref="Q617">BIN2HEX(_xlfn.IFS(D617="HWINTEN","10",G617="KeyAck","01",G617="InitLp8","01",TRUE,"00")&amp;IF(OR(Ops!$O$2:'Ops'!$O$13=K617),VLOOKUP(K617,Ops!$O$2:'Ops'!$P$13,2,FALSE),"000")&amp;IF(E617&lt;&gt;"",IF(LEN(_xlfn.XLOOKUP($E617,$C$5:$C$681,$B$5:$B$681,0))=3,HEX2BIN(LEFT(_xlfn.XLOOKUP($E617,$C$5:$C$681,$B$5:$B$681,0),1),3),IF(OR(Ops!$L$2:'Ops'!$L$11=J617),VLOOKUP(J617,Ops!$L$2:'Ops'!$M$11,2,FALSE),"000")),IF(OR(Ops!$L$2:'Ops'!$L$11=J617),VLOOKUP(J617,Ops!$L$2:'Ops'!$M$11,2,FALSE),"000")),2)</f>
        <v>36</v>
      </c>
      <c r="R617" s="27"/>
      <c r="S617" s="4" t="s">
        <v>647</v>
      </c>
      <c r="Z617" s="74" t="str">
        <f t="shared" si="188"/>
        <v>0x03,</v>
      </c>
      <c r="AA617" s="75" t="str">
        <f t="shared" si="189"/>
        <v>0x00,</v>
      </c>
      <c r="AB617" s="75" t="str">
        <f t="shared" si="190"/>
        <v>0x36,</v>
      </c>
      <c r="AC617" s="76"/>
    </row>
    <row r="618" spans="1:29" x14ac:dyDescent="0.3">
      <c r="A618" s="79">
        <f t="shared" si="175"/>
        <v>1860</v>
      </c>
      <c r="B618" s="80" t="str">
        <f t="shared" si="191"/>
        <v>744</v>
      </c>
      <c r="D618" s="29"/>
      <c r="F618" s="29"/>
      <c r="G618" s="24"/>
      <c r="H618" s="29"/>
      <c r="J618" s="4" t="s">
        <v>314</v>
      </c>
      <c r="K618" s="4" t="s">
        <v>313</v>
      </c>
      <c r="L618" s="4" t="s">
        <v>181</v>
      </c>
      <c r="M618" s="14"/>
      <c r="N618" s="24"/>
      <c r="O618" s="26" t="str" cm="1">
        <f t="array" ref="O618">BIN2HEX(IF(I618&lt;&gt;"",VLOOKUP(I618,Ops!$I$2:'Ops'!$J$15,2,FALSE),IF(ISNUMBER(SEARCH("BR",D618)),"001","000"))&amp;IF(D618&lt;&gt;"",VLOOKUP(D618,Ops!$B$2:'Ops'!$C$23,2,FALSE),"0")&amp;_xlfn.IFS(ISNUMBER(SEARCH("BR",D618)),VLOOKUP(D618,Ops!$B$3:'Ops'!$D$22,3,FALSE),F618&lt;&gt;"",VLOOKUP(F618,Ops!$R$2:'Ops'!$S$11,2),L618&lt;&gt;"",VLOOKUP(L618,Ops!$R$2:'Ops'!$S$25,2,FALSE),TRUE,"0000"),2)</f>
        <v>02</v>
      </c>
      <c r="P618" s="26" t="str">
        <f>RIGHT(IF($E618&lt;&gt;"",_xlfn.XLOOKUP($E618,$C$4:$C$681,$B$4:$B$681,"NO LABEL"),BIN2HEX(IF(N618="CarryEn","1","0")&amp;IF(M618="SubXY","1","0")&amp;IF(H618&lt;&gt;"",VLOOKUP(H618,Ops!$F$2:'Ops'!$G$20,2,FALSE),"000000"),2)),2)</f>
        <v>00</v>
      </c>
      <c r="Q618" s="26" t="str" cm="1">
        <f t="array" ref="Q618">BIN2HEX(_xlfn.IFS(D618="HWINTEN","10",G618="KeyAck","01",G618="InitLp8","01",TRUE,"00")&amp;IF(OR(Ops!$O$2:'Ops'!$O$13=K618),VLOOKUP(K618,Ops!$O$2:'Ops'!$P$13,2,FALSE),"000")&amp;IF(E618&lt;&gt;"",IF(LEN(_xlfn.XLOOKUP($E618,$C$5:$C$681,$B$5:$B$681,0))=3,HEX2BIN(LEFT(_xlfn.XLOOKUP($E618,$C$5:$C$681,$B$5:$B$681,0),1),3),IF(OR(Ops!$L$2:'Ops'!$L$11=J618),VLOOKUP(J618,Ops!$L$2:'Ops'!$M$11,2,FALSE),"000")),IF(OR(Ops!$L$2:'Ops'!$L$11=J618),VLOOKUP(J618,Ops!$L$2:'Ops'!$M$11,2,FALSE),"000")),2)</f>
        <v>36</v>
      </c>
      <c r="R618" s="27"/>
      <c r="S618" s="4" t="s">
        <v>648</v>
      </c>
      <c r="Z618" s="74" t="str">
        <f t="shared" si="188"/>
        <v>0x02,</v>
      </c>
      <c r="AA618" s="75" t="str">
        <f t="shared" si="189"/>
        <v>0x00,</v>
      </c>
      <c r="AB618" s="75" t="str">
        <f t="shared" si="190"/>
        <v>0x36,</v>
      </c>
      <c r="AC618" s="76"/>
    </row>
    <row r="619" spans="1:29" x14ac:dyDescent="0.3">
      <c r="A619" s="79">
        <f t="shared" si="175"/>
        <v>1863</v>
      </c>
      <c r="B619" s="80" t="str">
        <f t="shared" si="191"/>
        <v>747</v>
      </c>
      <c r="D619" s="29" t="s">
        <v>175</v>
      </c>
      <c r="E619" s="4" t="s">
        <v>637</v>
      </c>
      <c r="F619" s="29"/>
      <c r="G619" s="24"/>
      <c r="H619" s="29"/>
      <c r="M619" s="14"/>
      <c r="N619" s="24"/>
      <c r="O619" s="26" t="str" cm="1">
        <f t="array" ref="O619">BIN2HEX(IF(I619&lt;&gt;"",VLOOKUP(I619,Ops!$I$2:'Ops'!$J$15,2,FALSE),IF(ISNUMBER(SEARCH("BR",D619)),"001","000"))&amp;IF(D619&lt;&gt;"",VLOOKUP(D619,Ops!$B$2:'Ops'!$C$23,2,FALSE),"0")&amp;_xlfn.IFS(ISNUMBER(SEARCH("BR",D619)),VLOOKUP(D619,Ops!$B$3:'Ops'!$D$22,3,FALSE),F619&lt;&gt;"",VLOOKUP(F619,Ops!$R$2:'Ops'!$S$11,2),L619&lt;&gt;"",VLOOKUP(L619,Ops!$R$2:'Ops'!$S$25,2,FALSE),TRUE,"0000"),2)</f>
        <v>3A</v>
      </c>
      <c r="P619" s="26" t="str">
        <f>RIGHT(IF($E619&lt;&gt;"",_xlfn.XLOOKUP($E619,$C$4:$C$681,$B$4:$B$681,"NO LABEL"),BIN2HEX(IF(N619="CarryEn","1","0")&amp;IF(M619="SubXY","1","0")&amp;IF(H619&lt;&gt;"",VLOOKUP(H619,Ops!$F$2:'Ops'!$G$20,2,FALSE),"000000"),2)),2)</f>
        <v>4D</v>
      </c>
      <c r="Q619" s="26" t="str" cm="1">
        <f t="array" ref="Q619">BIN2HEX(_xlfn.IFS(D619="HWINTEN","10",G619="KeyAck","01",G619="InitLp8","01",TRUE,"00")&amp;IF(OR(Ops!$O$2:'Ops'!$O$13=K619),VLOOKUP(K619,Ops!$O$2:'Ops'!$P$13,2,FALSE),"000")&amp;IF(E619&lt;&gt;"",IF(LEN(_xlfn.XLOOKUP($E619,$C$5:$C$681,$B$5:$B$681,0))=3,HEX2BIN(LEFT(_xlfn.XLOOKUP($E619,$C$5:$C$681,$B$5:$B$681,0),1),3),IF(OR(Ops!$L$2:'Ops'!$L$11=J619),VLOOKUP(J619,Ops!$L$2:'Ops'!$M$11,2,FALSE),"000")),IF(OR(Ops!$L$2:'Ops'!$L$11=J619),VLOOKUP(J619,Ops!$L$2:'Ops'!$M$11,2,FALSE),"000")),2)</f>
        <v>07</v>
      </c>
      <c r="R619" s="27"/>
      <c r="Z619" s="74" t="str">
        <f t="shared" si="188"/>
        <v>0x3A,</v>
      </c>
      <c r="AA619" s="75" t="str">
        <f t="shared" si="189"/>
        <v>0x4D,</v>
      </c>
      <c r="AB619" s="75" t="str">
        <f t="shared" si="190"/>
        <v>0x07,</v>
      </c>
      <c r="AC619" s="76"/>
    </row>
    <row r="620" spans="1:29" x14ac:dyDescent="0.3">
      <c r="A620" s="79">
        <f t="shared" si="175"/>
        <v>1866</v>
      </c>
      <c r="B620" s="80" t="str">
        <f>DEC2HEX(A620)</f>
        <v>74A</v>
      </c>
      <c r="D620" s="29" t="s">
        <v>0</v>
      </c>
      <c r="E620" s="4" t="s">
        <v>636</v>
      </c>
      <c r="F620" s="29"/>
      <c r="G620" s="24"/>
      <c r="H620" s="29"/>
      <c r="M620" s="14"/>
      <c r="N620" s="24"/>
      <c r="O620" s="26" t="str" cm="1">
        <f t="array" ref="O620">BIN2HEX(IF(I620&lt;&gt;"",VLOOKUP(I620,Ops!$I$2:'Ops'!$J$15,2,FALSE),IF(ISNUMBER(SEARCH("BR",D620)),"001","000"))&amp;IF(D620&lt;&gt;"",VLOOKUP(D620,Ops!$B$2:'Ops'!$C$23,2,FALSE),"0")&amp;_xlfn.IFS(ISNUMBER(SEARCH("BR",D620)),VLOOKUP(D620,Ops!$B$3:'Ops'!$D$22,3,FALSE),F620&lt;&gt;"",VLOOKUP(F620,Ops!$R$2:'Ops'!$S$11,2),L620&lt;&gt;"",VLOOKUP(L620,Ops!$R$2:'Ops'!$S$25,2,FALSE),TRUE,"0000"),2)</f>
        <v>10</v>
      </c>
      <c r="P620" s="26" t="str">
        <f>RIGHT(IF($E620&lt;&gt;"",_xlfn.XLOOKUP($E620,$C$4:$C$681,$B$4:$B$681,"NO LABEL"),BIN2HEX(IF(N620="CarryEn","1","0")&amp;IF(M620="SubXY","1","0")&amp;IF(H620&lt;&gt;"",VLOOKUP(H620,Ops!$F$2:'Ops'!$G$20,2,FALSE),"000000"),2)),2)</f>
        <v>41</v>
      </c>
      <c r="Q620" s="26" t="str" cm="1">
        <f t="array" ref="Q620">BIN2HEX(_xlfn.IFS(D620="HWINTEN","10",G620="KeyAck","01",G620="InitLp8","01",TRUE,"00")&amp;IF(OR(Ops!$O$2:'Ops'!$O$13=K620),VLOOKUP(K620,Ops!$O$2:'Ops'!$P$13,2,FALSE),"000")&amp;IF(E620&lt;&gt;"",IF(LEN(_xlfn.XLOOKUP($E620,$C$5:$C$681,$B$5:$B$681,0))=3,HEX2BIN(LEFT(_xlfn.XLOOKUP($E620,$C$5:$C$681,$B$5:$B$681,0),1),3),IF(OR(Ops!$L$2:'Ops'!$L$11=J620),VLOOKUP(J620,Ops!$L$2:'Ops'!$M$11,2,FALSE),"000")),IF(OR(Ops!$L$2:'Ops'!$L$11=J620),VLOOKUP(J620,Ops!$L$2:'Ops'!$M$11,2,FALSE),"000")),2)</f>
        <v>07</v>
      </c>
      <c r="R620" s="27"/>
      <c r="Z620" s="74" t="str">
        <f t="shared" si="188"/>
        <v>0x10,</v>
      </c>
      <c r="AA620" s="75" t="str">
        <f t="shared" si="189"/>
        <v>0x41,</v>
      </c>
      <c r="AB620" s="75" t="str">
        <f t="shared" si="190"/>
        <v>0x07,</v>
      </c>
      <c r="AC620" s="76"/>
    </row>
    <row r="621" spans="1:29" x14ac:dyDescent="0.3">
      <c r="A621" s="79">
        <f t="shared" si="175"/>
        <v>1869</v>
      </c>
      <c r="B621" s="80" t="str">
        <f>DEC2HEX(A621)</f>
        <v>74D</v>
      </c>
      <c r="C621" s="4" t="s">
        <v>637</v>
      </c>
      <c r="D621" s="29"/>
      <c r="F621" s="29"/>
      <c r="G621" s="24"/>
      <c r="H621" s="29"/>
      <c r="J621" s="4" t="s">
        <v>314</v>
      </c>
      <c r="L621" s="4" t="s">
        <v>181</v>
      </c>
      <c r="M621" s="14"/>
      <c r="N621" s="24"/>
      <c r="O621" s="26" t="str" cm="1">
        <f t="array" ref="O621">BIN2HEX(IF(I621&lt;&gt;"",VLOOKUP(I621,Ops!$I$2:'Ops'!$J$15,2,FALSE),IF(ISNUMBER(SEARCH("BR",D621)),"001","000"))&amp;IF(D621&lt;&gt;"",VLOOKUP(D621,Ops!$B$2:'Ops'!$C$23,2,FALSE),"0")&amp;_xlfn.IFS(ISNUMBER(SEARCH("BR",D621)),VLOOKUP(D621,Ops!$B$3:'Ops'!$D$22,3,FALSE),F621&lt;&gt;"",VLOOKUP(F621,Ops!$R$2:'Ops'!$S$11,2),L621&lt;&gt;"",VLOOKUP(L621,Ops!$R$2:'Ops'!$S$25,2,FALSE),TRUE,"0000"),2)</f>
        <v>02</v>
      </c>
      <c r="P621" s="26" t="str">
        <f>RIGHT(IF($E621&lt;&gt;"",_xlfn.XLOOKUP($E621,$C$4:$C$681,$B$4:$B$681,"NO LABEL"),BIN2HEX(IF(N621="CarryEn","1","0")&amp;IF(M621="SubXY","1","0")&amp;IF(H621&lt;&gt;"",VLOOKUP(H621,Ops!$F$2:'Ops'!$G$20,2,FALSE),"000000"),2)),2)</f>
        <v>00</v>
      </c>
      <c r="Q621" s="26" t="str" cm="1">
        <f t="array" ref="Q621">BIN2HEX(_xlfn.IFS(D621="HWINTEN","10",G621="KeyAck","01",G621="InitLp8","01",TRUE,"00")&amp;IF(OR(Ops!$O$2:'Ops'!$O$13=K621),VLOOKUP(K621,Ops!$O$2:'Ops'!$P$13,2,FALSE),"000")&amp;IF(E621&lt;&gt;"",IF(LEN(_xlfn.XLOOKUP($E621,$C$5:$C$681,$B$5:$B$681,0))=3,HEX2BIN(LEFT(_xlfn.XLOOKUP($E621,$C$5:$C$681,$B$5:$B$681,0),1),3),IF(OR(Ops!$L$2:'Ops'!$L$11=J621),VLOOKUP(J621,Ops!$L$2:'Ops'!$M$11,2,FALSE),"000")),IF(OR(Ops!$L$2:'Ops'!$L$11=J621),VLOOKUP(J621,Ops!$L$2:'Ops'!$M$11,2,FALSE),"000")),2)</f>
        <v>06</v>
      </c>
      <c r="R621" s="27"/>
      <c r="S621" s="4" t="s">
        <v>649</v>
      </c>
      <c r="Z621" s="74" t="str">
        <f t="shared" si="188"/>
        <v>0x02,</v>
      </c>
      <c r="AA621" s="75" t="str">
        <f t="shared" si="189"/>
        <v>0x00,</v>
      </c>
      <c r="AB621" s="75" t="str">
        <f t="shared" si="190"/>
        <v>0x06,</v>
      </c>
      <c r="AC621" s="76"/>
    </row>
    <row r="622" spans="1:29" x14ac:dyDescent="0.3">
      <c r="A622" s="79">
        <f t="shared" si="175"/>
        <v>1872</v>
      </c>
      <c r="B622" s="80" t="str">
        <f t="shared" si="191"/>
        <v>750</v>
      </c>
      <c r="D622" s="29"/>
      <c r="F622" s="29"/>
      <c r="G622" s="24"/>
      <c r="H622" s="29"/>
      <c r="J622" s="4" t="s">
        <v>314</v>
      </c>
      <c r="K622" s="4" t="s">
        <v>313</v>
      </c>
      <c r="L622" s="4" t="s">
        <v>311</v>
      </c>
      <c r="M622" s="14"/>
      <c r="N622" s="24"/>
      <c r="O622" s="26" t="str" cm="1">
        <f t="array" ref="O622">BIN2HEX(IF(I622&lt;&gt;"",VLOOKUP(I622,Ops!$I$2:'Ops'!$J$15,2,FALSE),IF(ISNUMBER(SEARCH("BR",D622)),"001","000"))&amp;IF(D622&lt;&gt;"",VLOOKUP(D622,Ops!$B$2:'Ops'!$C$23,2,FALSE),"0")&amp;_xlfn.IFS(ISNUMBER(SEARCH("BR",D622)),VLOOKUP(D622,Ops!$B$3:'Ops'!$D$22,3,FALSE),F622&lt;&gt;"",VLOOKUP(F622,Ops!$R$2:'Ops'!$S$11,2),L622&lt;&gt;"",VLOOKUP(L622,Ops!$R$2:'Ops'!$S$25,2,FALSE),TRUE,"0000"),2)</f>
        <v>04</v>
      </c>
      <c r="P622" s="26" t="str">
        <f>RIGHT(IF($E622&lt;&gt;"",_xlfn.XLOOKUP($E622,$C$4:$C$681,$B$4:$B$681,"NO LABEL"),BIN2HEX(IF(N622="CarryEn","1","0")&amp;IF(M622="SubXY","1","0")&amp;IF(H622&lt;&gt;"",VLOOKUP(H622,Ops!$F$2:'Ops'!$G$20,2,FALSE),"000000"),2)),2)</f>
        <v>00</v>
      </c>
      <c r="Q622" s="26" t="str" cm="1">
        <f t="array" ref="Q622">BIN2HEX(_xlfn.IFS(D622="HWINTEN","10",G622="KeyAck","01",G622="InitLp8","01",TRUE,"00")&amp;IF(OR(Ops!$O$2:'Ops'!$O$13=K622),VLOOKUP(K622,Ops!$O$2:'Ops'!$P$13,2,FALSE),"000")&amp;IF(E622&lt;&gt;"",IF(LEN(_xlfn.XLOOKUP($E622,$C$5:$C$681,$B$5:$B$681,0))=3,HEX2BIN(LEFT(_xlfn.XLOOKUP($E622,$C$5:$C$681,$B$5:$B$681,0),1),3),IF(OR(Ops!$L$2:'Ops'!$L$11=J622),VLOOKUP(J622,Ops!$L$2:'Ops'!$M$11,2,FALSE),"000")),IF(OR(Ops!$L$2:'Ops'!$L$11=J622),VLOOKUP(J622,Ops!$L$2:'Ops'!$M$11,2,FALSE),"000")),2)</f>
        <v>36</v>
      </c>
      <c r="R622" s="27"/>
      <c r="S622" s="4" t="s">
        <v>665</v>
      </c>
      <c r="Z622" s="74" t="str">
        <f t="shared" si="188"/>
        <v>0x04,</v>
      </c>
      <c r="AA622" s="75" t="str">
        <f t="shared" si="189"/>
        <v>0x00,</v>
      </c>
      <c r="AB622" s="75" t="str">
        <f t="shared" si="190"/>
        <v>0x36,</v>
      </c>
      <c r="AC622" s="76"/>
    </row>
    <row r="623" spans="1:29" x14ac:dyDescent="0.3">
      <c r="A623" s="79">
        <f t="shared" si="175"/>
        <v>1875</v>
      </c>
      <c r="B623" s="80" t="str">
        <f t="shared" si="191"/>
        <v>753</v>
      </c>
      <c r="D623" s="29"/>
      <c r="F623" s="29"/>
      <c r="G623" s="24"/>
      <c r="H623" s="29"/>
      <c r="J623" s="4" t="s">
        <v>314</v>
      </c>
      <c r="L623" s="4" t="s">
        <v>312</v>
      </c>
      <c r="M623" s="14"/>
      <c r="N623" s="24"/>
      <c r="O623" s="26" t="str" cm="1">
        <f t="array" ref="O623">BIN2HEX(IF(I623&lt;&gt;"",VLOOKUP(I623,Ops!$I$2:'Ops'!$J$15,2,FALSE),IF(ISNUMBER(SEARCH("BR",D623)),"001","000"))&amp;IF(D623&lt;&gt;"",VLOOKUP(D623,Ops!$B$2:'Ops'!$C$23,2,FALSE),"0")&amp;_xlfn.IFS(ISNUMBER(SEARCH("BR",D623)),VLOOKUP(D623,Ops!$B$3:'Ops'!$D$22,3,FALSE),F623&lt;&gt;"",VLOOKUP(F623,Ops!$R$2:'Ops'!$S$11,2),L623&lt;&gt;"",VLOOKUP(L623,Ops!$R$2:'Ops'!$S$25,2,FALSE),TRUE,"0000"),2)</f>
        <v>03</v>
      </c>
      <c r="P623" s="26" t="str">
        <f>RIGHT(IF($E623&lt;&gt;"",_xlfn.XLOOKUP($E623,$C$4:$C$681,$B$4:$B$681,"NO LABEL"),BIN2HEX(IF(N623="CarryEn","1","0")&amp;IF(M623="SubXY","1","0")&amp;IF(H623&lt;&gt;"",VLOOKUP(H623,Ops!$F$2:'Ops'!$G$20,2,FALSE),"000000"),2)),2)</f>
        <v>00</v>
      </c>
      <c r="Q623" s="26" t="str" cm="1">
        <f t="array" ref="Q623">BIN2HEX(_xlfn.IFS(D623="HWINTEN","10",G623="KeyAck","01",G623="InitLp8","01",TRUE,"00")&amp;IF(OR(Ops!$O$2:'Ops'!$O$13=K623),VLOOKUP(K623,Ops!$O$2:'Ops'!$P$13,2,FALSE),"000")&amp;IF(E623&lt;&gt;"",IF(LEN(_xlfn.XLOOKUP($E623,$C$5:$C$681,$B$5:$B$681,0))=3,HEX2BIN(LEFT(_xlfn.XLOOKUP($E623,$C$5:$C$681,$B$5:$B$681,0),1),3),IF(OR(Ops!$L$2:'Ops'!$L$11=J623),VLOOKUP(J623,Ops!$L$2:'Ops'!$M$11,2,FALSE),"000")),IF(OR(Ops!$L$2:'Ops'!$L$11=J623),VLOOKUP(J623,Ops!$L$2:'Ops'!$M$11,2,FALSE),"000")),2)</f>
        <v>06</v>
      </c>
      <c r="R623" s="27"/>
      <c r="S623" s="4" t="s">
        <v>666</v>
      </c>
      <c r="Z623" s="74" t="str">
        <f t="shared" si="188"/>
        <v>0x03,</v>
      </c>
      <c r="AA623" s="75" t="str">
        <f t="shared" si="189"/>
        <v>0x00,</v>
      </c>
      <c r="AB623" s="75" t="str">
        <f t="shared" si="190"/>
        <v>0x06,</v>
      </c>
      <c r="AC623" s="76"/>
    </row>
    <row r="624" spans="1:29" x14ac:dyDescent="0.3">
      <c r="A624" s="79">
        <f t="shared" si="175"/>
        <v>1878</v>
      </c>
      <c r="B624" s="80" t="str">
        <f t="shared" si="191"/>
        <v>756</v>
      </c>
      <c r="D624" s="29" t="s">
        <v>45</v>
      </c>
      <c r="E624" s="4" t="s">
        <v>645</v>
      </c>
      <c r="F624" s="29"/>
      <c r="G624" s="24"/>
      <c r="H624" s="29"/>
      <c r="M624" s="14"/>
      <c r="N624" s="24"/>
      <c r="O624" s="26" t="str" cm="1">
        <f t="array" ref="O624">BIN2HEX(IF(I624&lt;&gt;"",VLOOKUP(I624,Ops!$I$2:'Ops'!$J$15,2,FALSE),IF(ISNUMBER(SEARCH("BR",D624)),"001","000"))&amp;IF(D624&lt;&gt;"",VLOOKUP(D624,Ops!$B$2:'Ops'!$C$23,2,FALSE),"0")&amp;_xlfn.IFS(ISNUMBER(SEARCH("BR",D624)),VLOOKUP(D624,Ops!$B$3:'Ops'!$D$22,3,FALSE),F624&lt;&gt;"",VLOOKUP(F624,Ops!$R$2:'Ops'!$S$11,2),L624&lt;&gt;"",VLOOKUP(L624,Ops!$R$2:'Ops'!$S$25,2,FALSE),TRUE,"0000"),2)</f>
        <v>30</v>
      </c>
      <c r="P624" s="26" t="str">
        <f>RIGHT(IF($E624&lt;&gt;"",_xlfn.XLOOKUP($E624,$C$4:$C$681,$B$4:$B$681,"NO LABEL"),BIN2HEX(IF(N624="CarryEn","1","0")&amp;IF(M624="SubXY","1","0")&amp;IF(H624&lt;&gt;"",VLOOKUP(H624,Ops!$F$2:'Ops'!$G$20,2,FALSE),"000000"),2)),2)</f>
        <v>5C</v>
      </c>
      <c r="Q624" s="26" t="str" cm="1">
        <f t="array" ref="Q624">BIN2HEX(_xlfn.IFS(D624="HWINTEN","10",G624="KeyAck","01",G624="InitLp8","01",TRUE,"00")&amp;IF(OR(Ops!$O$2:'Ops'!$O$13=K624),VLOOKUP(K624,Ops!$O$2:'Ops'!$P$13,2,FALSE),"000")&amp;IF(E624&lt;&gt;"",IF(LEN(_xlfn.XLOOKUP($E624,$C$5:$C$681,$B$5:$B$681,0))=3,HEX2BIN(LEFT(_xlfn.XLOOKUP($E624,$C$5:$C$681,$B$5:$B$681,0),1),3),IF(OR(Ops!$L$2:'Ops'!$L$11=J624),VLOOKUP(J624,Ops!$L$2:'Ops'!$M$11,2,FALSE),"000")),IF(OR(Ops!$L$2:'Ops'!$L$11=J624),VLOOKUP(J624,Ops!$L$2:'Ops'!$M$11,2,FALSE),"000")),2)</f>
        <v>07</v>
      </c>
      <c r="R624" s="27"/>
      <c r="Z624" s="74" t="str">
        <f t="shared" si="188"/>
        <v>0x30,</v>
      </c>
      <c r="AA624" s="75" t="str">
        <f t="shared" si="189"/>
        <v>0x5C,</v>
      </c>
      <c r="AB624" s="75" t="str">
        <f t="shared" si="190"/>
        <v>0x07,</v>
      </c>
      <c r="AC624" s="76"/>
    </row>
    <row r="625" spans="1:29" x14ac:dyDescent="0.3">
      <c r="A625" s="79">
        <f t="shared" si="175"/>
        <v>1881</v>
      </c>
      <c r="B625" s="80" t="str">
        <f t="shared" ref="B625:B635" si="192">DEC2HEX(A625)</f>
        <v>759</v>
      </c>
      <c r="D625" s="29" t="s">
        <v>0</v>
      </c>
      <c r="E625" s="4" t="s">
        <v>637</v>
      </c>
      <c r="F625" s="29"/>
      <c r="G625" s="24"/>
      <c r="H625" s="29"/>
      <c r="M625" s="14"/>
      <c r="N625" s="24"/>
      <c r="O625" s="26" t="str" cm="1">
        <f t="array" ref="O625">BIN2HEX(IF(I625&lt;&gt;"",VLOOKUP(I625,Ops!$I$2:'Ops'!$J$15,2,FALSE),IF(ISNUMBER(SEARCH("BR",D625)),"001","000"))&amp;IF(D625&lt;&gt;"",VLOOKUP(D625,Ops!$B$2:'Ops'!$C$23,2,FALSE),"0")&amp;_xlfn.IFS(ISNUMBER(SEARCH("BR",D625)),VLOOKUP(D625,Ops!$B$3:'Ops'!$D$22,3,FALSE),F625&lt;&gt;"",VLOOKUP(F625,Ops!$R$2:'Ops'!$S$11,2),L625&lt;&gt;"",VLOOKUP(L625,Ops!$R$2:'Ops'!$S$25,2,FALSE),TRUE,"0000"),2)</f>
        <v>10</v>
      </c>
      <c r="P625" s="26" t="str">
        <f>RIGHT(IF($E625&lt;&gt;"",_xlfn.XLOOKUP($E625,$C$4:$C$681,$B$4:$B$681,"NO LABEL"),BIN2HEX(IF(N625="CarryEn","1","0")&amp;IF(M625="SubXY","1","0")&amp;IF(H625&lt;&gt;"",VLOOKUP(H625,Ops!$F$2:'Ops'!$G$20,2,FALSE),"000000"),2)),2)</f>
        <v>4D</v>
      </c>
      <c r="Q625" s="26" t="str" cm="1">
        <f t="array" ref="Q625">BIN2HEX(_xlfn.IFS(D625="HWINTEN","10",G625="KeyAck","01",G625="InitLp8","01",TRUE,"00")&amp;IF(OR(Ops!$O$2:'Ops'!$O$13=K625),VLOOKUP(K625,Ops!$O$2:'Ops'!$P$13,2,FALSE),"000")&amp;IF(E625&lt;&gt;"",IF(LEN(_xlfn.XLOOKUP($E625,$C$5:$C$681,$B$5:$B$681,0))=3,HEX2BIN(LEFT(_xlfn.XLOOKUP($E625,$C$5:$C$681,$B$5:$B$681,0),1),3),IF(OR(Ops!$L$2:'Ops'!$L$11=J625),VLOOKUP(J625,Ops!$L$2:'Ops'!$M$11,2,FALSE),"000")),IF(OR(Ops!$L$2:'Ops'!$L$11=J625),VLOOKUP(J625,Ops!$L$2:'Ops'!$M$11,2,FALSE),"000")),2)</f>
        <v>07</v>
      </c>
      <c r="R625" s="27"/>
      <c r="Z625" s="74" t="str">
        <f t="shared" si="188"/>
        <v>0x10,</v>
      </c>
      <c r="AA625" s="75" t="str">
        <f t="shared" si="189"/>
        <v>0x4D,</v>
      </c>
      <c r="AB625" s="75" t="str">
        <f t="shared" si="190"/>
        <v>0x07,</v>
      </c>
      <c r="AC625" s="76"/>
    </row>
    <row r="626" spans="1:29" x14ac:dyDescent="0.3">
      <c r="A626" s="79">
        <f t="shared" si="175"/>
        <v>1884</v>
      </c>
      <c r="B626" s="80" t="str">
        <f t="shared" si="192"/>
        <v>75C</v>
      </c>
      <c r="C626" s="4" t="s">
        <v>645</v>
      </c>
      <c r="D626" s="29"/>
      <c r="F626" s="29"/>
      <c r="G626" s="24"/>
      <c r="H626" s="29"/>
      <c r="J626" s="4" t="s">
        <v>314</v>
      </c>
      <c r="L626" s="4" t="s">
        <v>311</v>
      </c>
      <c r="M626" s="14"/>
      <c r="N626" s="24"/>
      <c r="O626" s="26" t="str" cm="1">
        <f t="array" ref="O626">BIN2HEX(IF(I626&lt;&gt;"",VLOOKUP(I626,Ops!$I$2:'Ops'!$J$15,2,FALSE),IF(ISNUMBER(SEARCH("BR",D626)),"001","000"))&amp;IF(D626&lt;&gt;"",VLOOKUP(D626,Ops!$B$2:'Ops'!$C$23,2,FALSE),"0")&amp;_xlfn.IFS(ISNUMBER(SEARCH("BR",D626)),VLOOKUP(D626,Ops!$B$3:'Ops'!$D$22,3,FALSE),F626&lt;&gt;"",VLOOKUP(F626,Ops!$R$2:'Ops'!$S$11,2),L626&lt;&gt;"",VLOOKUP(L626,Ops!$R$2:'Ops'!$S$25,2,FALSE),TRUE,"0000"),2)</f>
        <v>04</v>
      </c>
      <c r="P626" s="26" t="str">
        <f>RIGHT(IF($E626&lt;&gt;"",_xlfn.XLOOKUP($E626,$C$4:$C$681,$B$4:$B$681,"NO LABEL"),BIN2HEX(IF(N626="CarryEn","1","0")&amp;IF(M626="SubXY","1","0")&amp;IF(H626&lt;&gt;"",VLOOKUP(H626,Ops!$F$2:'Ops'!$G$20,2,FALSE),"000000"),2)),2)</f>
        <v>00</v>
      </c>
      <c r="Q626" s="26" t="str" cm="1">
        <f t="array" ref="Q626">BIN2HEX(_xlfn.IFS(D626="HWINTEN","10",G626="KeyAck","01",G626="InitLp8","01",TRUE,"00")&amp;IF(OR(Ops!$O$2:'Ops'!$O$13=K626),VLOOKUP(K626,Ops!$O$2:'Ops'!$P$13,2,FALSE),"000")&amp;IF(E626&lt;&gt;"",IF(LEN(_xlfn.XLOOKUP($E626,$C$5:$C$681,$B$5:$B$681,0))=3,HEX2BIN(LEFT(_xlfn.XLOOKUP($E626,$C$5:$C$681,$B$5:$B$681,0),1),3),IF(OR(Ops!$L$2:'Ops'!$L$11=J626),VLOOKUP(J626,Ops!$L$2:'Ops'!$M$11,2,FALSE),"000")),IF(OR(Ops!$L$2:'Ops'!$L$11=J626),VLOOKUP(J626,Ops!$L$2:'Ops'!$M$11,2,FALSE),"000")),2)</f>
        <v>06</v>
      </c>
      <c r="R626" s="27"/>
      <c r="S626" s="4" t="s">
        <v>662</v>
      </c>
      <c r="Z626" s="74" t="str">
        <f t="shared" si="188"/>
        <v>0x04,</v>
      </c>
      <c r="AA626" s="75" t="str">
        <f t="shared" si="189"/>
        <v>0x00,</v>
      </c>
      <c r="AB626" s="75" t="str">
        <f t="shared" si="190"/>
        <v>0x06,</v>
      </c>
      <c r="AC626" s="76"/>
    </row>
    <row r="627" spans="1:29" x14ac:dyDescent="0.3">
      <c r="A627" s="79">
        <f t="shared" si="175"/>
        <v>1887</v>
      </c>
      <c r="B627" s="80" t="str">
        <f t="shared" si="192"/>
        <v>75F</v>
      </c>
      <c r="D627" s="29"/>
      <c r="F627" s="29"/>
      <c r="G627" s="24" t="s">
        <v>692</v>
      </c>
      <c r="H627" s="29"/>
      <c r="J627" s="4" t="s">
        <v>519</v>
      </c>
      <c r="M627" s="14"/>
      <c r="N627" s="24"/>
      <c r="O627" s="26" t="str" cm="1">
        <f t="array" ref="O627">BIN2HEX(IF(I627&lt;&gt;"",VLOOKUP(I627,Ops!$I$2:'Ops'!$J$15,2,FALSE),IF(ISNUMBER(SEARCH("BR",D627)),"001","000"))&amp;IF(D627&lt;&gt;"",VLOOKUP(D627,Ops!$B$2:'Ops'!$C$23,2,FALSE),"0")&amp;_xlfn.IFS(ISNUMBER(SEARCH("BR",D627)),VLOOKUP(D627,Ops!$B$3:'Ops'!$D$22,3,FALSE),F627&lt;&gt;"",VLOOKUP(F627,Ops!$R$2:'Ops'!$S$11,2),L627&lt;&gt;"",VLOOKUP(L627,Ops!$R$2:'Ops'!$S$25,2,FALSE),TRUE,"0000"),2)</f>
        <v>00</v>
      </c>
      <c r="P627" s="26" t="str">
        <f>RIGHT(IF($E627&lt;&gt;"",_xlfn.XLOOKUP($E627,$C$4:$C$681,$B$4:$B$681,"NO LABEL"),BIN2HEX(IF(N627="CarryEn","1","0")&amp;IF(M627="SubXY","1","0")&amp;IF(H627&lt;&gt;"",VLOOKUP(H627,Ops!$F$2:'Ops'!$G$20,2,FALSE),"000000"),2)),2)</f>
        <v>00</v>
      </c>
      <c r="Q627" s="26" t="str" cm="1">
        <f t="array" ref="Q627">BIN2HEX(_xlfn.IFS(D627="HWINTEN","10",G627="KeyAck","01",G627="InitLp8","01",TRUE,"00")&amp;IF(OR(Ops!$O$2:'Ops'!$O$13=K627),VLOOKUP(K627,Ops!$O$2:'Ops'!$P$13,2,FALSE),"000")&amp;IF(E627&lt;&gt;"",IF(LEN(_xlfn.XLOOKUP($E627,$C$5:$C$681,$B$5:$B$681,0))=3,HEX2BIN(LEFT(_xlfn.XLOOKUP($E627,$C$5:$C$681,$B$5:$B$681,0),1),3),IF(OR(Ops!$L$2:'Ops'!$L$11=J627),VLOOKUP(J627,Ops!$L$2:'Ops'!$M$11,2,FALSE),"000")),IF(OR(Ops!$L$2:'Ops'!$L$11=J627),VLOOKUP(J627,Ops!$L$2:'Ops'!$M$11,2,FALSE),"000")),2)</f>
        <v>47</v>
      </c>
      <c r="R627" s="27"/>
      <c r="S627" s="4" t="s">
        <v>661</v>
      </c>
      <c r="Z627" s="74" t="str">
        <f t="shared" si="188"/>
        <v>0x00,</v>
      </c>
      <c r="AA627" s="75" t="str">
        <f t="shared" si="189"/>
        <v>0x00,</v>
      </c>
      <c r="AB627" s="75" t="str">
        <f t="shared" si="190"/>
        <v>0x47,</v>
      </c>
      <c r="AC627" s="76"/>
    </row>
    <row r="628" spans="1:29" x14ac:dyDescent="0.3">
      <c r="A628" s="79">
        <f t="shared" si="175"/>
        <v>1890</v>
      </c>
      <c r="B628" s="80" t="str">
        <f t="shared" si="192"/>
        <v>762</v>
      </c>
      <c r="D628" s="29" t="s">
        <v>251</v>
      </c>
      <c r="E628" s="4" t="s">
        <v>640</v>
      </c>
      <c r="F628" s="29"/>
      <c r="G628" s="24"/>
      <c r="H628" s="29"/>
      <c r="M628" s="14"/>
      <c r="N628" s="24"/>
      <c r="O628" s="26" t="str" cm="1">
        <f t="array" ref="O628">BIN2HEX(IF(I628&lt;&gt;"",VLOOKUP(I628,Ops!$I$2:'Ops'!$J$15,2,FALSE),IF(ISNUMBER(SEARCH("BR",D628)),"001","000"))&amp;IF(D628&lt;&gt;"",VLOOKUP(D628,Ops!$B$2:'Ops'!$C$23,2,FALSE),"0")&amp;_xlfn.IFS(ISNUMBER(SEARCH("BR",D628)),VLOOKUP(D628,Ops!$B$3:'Ops'!$D$22,3,FALSE),F628&lt;&gt;"",VLOOKUP(F628,Ops!$R$2:'Ops'!$S$11,2),L628&lt;&gt;"",VLOOKUP(L628,Ops!$R$2:'Ops'!$S$25,2,FALSE),TRUE,"0000"),2)</f>
        <v>3F</v>
      </c>
      <c r="P628" s="26" t="str">
        <f>RIGHT(IF($E628&lt;&gt;"",_xlfn.XLOOKUP($E628,$C$4:$C$681,$B$4:$B$681,"NO LABEL"),BIN2HEX(IF(N628="CarryEn","1","0")&amp;IF(M628="SubXY","1","0")&amp;IF(H628&lt;&gt;"",VLOOKUP(H628,Ops!$F$2:'Ops'!$G$20,2,FALSE),"000000"),2)),2)</f>
        <v>65</v>
      </c>
      <c r="Q628" s="26" t="str" cm="1">
        <f t="array" ref="Q628">BIN2HEX(_xlfn.IFS(D628="HWINTEN","10",G628="KeyAck","01",G628="InitLp8","01",TRUE,"00")&amp;IF(OR(Ops!$O$2:'Ops'!$O$13=K628),VLOOKUP(K628,Ops!$O$2:'Ops'!$P$13,2,FALSE),"000")&amp;IF(E628&lt;&gt;"",IF(LEN(_xlfn.XLOOKUP($E628,$C$5:$C$681,$B$5:$B$681,0))=3,HEX2BIN(LEFT(_xlfn.XLOOKUP($E628,$C$5:$C$681,$B$5:$B$681,0),1),3),IF(OR(Ops!$L$2:'Ops'!$L$11=J628),VLOOKUP(J628,Ops!$L$2:'Ops'!$M$11,2,FALSE),"000")),IF(OR(Ops!$L$2:'Ops'!$L$11=J628),VLOOKUP(J628,Ops!$L$2:'Ops'!$M$11,2,FALSE),"000")),2)</f>
        <v>07</v>
      </c>
      <c r="R628" s="27"/>
      <c r="Z628" s="74" t="str">
        <f t="shared" si="185"/>
        <v>0x3F,</v>
      </c>
      <c r="AA628" s="75" t="str">
        <f t="shared" si="186"/>
        <v>0x65,</v>
      </c>
      <c r="AB628" s="75" t="str">
        <f t="shared" si="187"/>
        <v>0x07,</v>
      </c>
      <c r="AC628" s="76"/>
    </row>
    <row r="629" spans="1:29" x14ac:dyDescent="0.3">
      <c r="A629" s="79">
        <f t="shared" si="175"/>
        <v>1893</v>
      </c>
      <c r="B629" s="80" t="str">
        <f t="shared" si="192"/>
        <v>765</v>
      </c>
      <c r="C629" s="4" t="s">
        <v>640</v>
      </c>
      <c r="D629" s="29"/>
      <c r="F629" s="29"/>
      <c r="G629" s="24"/>
      <c r="H629" s="29" t="s">
        <v>26</v>
      </c>
      <c r="I629" s="4" t="s">
        <v>478</v>
      </c>
      <c r="J629" s="4" t="s">
        <v>475</v>
      </c>
      <c r="K629" s="4" t="s">
        <v>469</v>
      </c>
      <c r="M629" s="14"/>
      <c r="N629" s="24"/>
      <c r="O629" s="26" t="str" cm="1">
        <f t="array" ref="O629">BIN2HEX(IF(I629&lt;&gt;"",VLOOKUP(I629,Ops!$I$2:'Ops'!$J$15,2,FALSE),IF(ISNUMBER(SEARCH("BR",D629)),"001","000"))&amp;IF(D629&lt;&gt;"",VLOOKUP(D629,Ops!$B$2:'Ops'!$C$23,2,FALSE),"0")&amp;_xlfn.IFS(ISNUMBER(SEARCH("BR",D629)),VLOOKUP(D629,Ops!$B$3:'Ops'!$D$22,3,FALSE),F629&lt;&gt;"",VLOOKUP(F629,Ops!$R$2:'Ops'!$S$11,2),L629&lt;&gt;"",VLOOKUP(L629,Ops!$R$2:'Ops'!$S$25,2,FALSE),TRUE,"0000"),2)</f>
        <v>20</v>
      </c>
      <c r="P629" s="26" t="str">
        <f>RIGHT(IF($E629&lt;&gt;"",_xlfn.XLOOKUP($E629,$C$4:$C$681,$B$4:$B$681,"NO LABEL"),BIN2HEX(IF(N629="CarryEn","1","0")&amp;IF(M629="SubXY","1","0")&amp;IF(H629&lt;&gt;"",VLOOKUP(H629,Ops!$F$2:'Ops'!$G$20,2,FALSE),"000000"),2)),2)</f>
        <v>05</v>
      </c>
      <c r="Q629" s="26" t="str" cm="1">
        <f t="array" ref="Q629">BIN2HEX(_xlfn.IFS(D629="HWINTEN","10",G629="KeyAck","01",G629="InitLp8","01",TRUE,"00")&amp;IF(OR(Ops!$O$2:'Ops'!$O$13=K629),VLOOKUP(K629,Ops!$O$2:'Ops'!$P$13,2,FALSE),"000")&amp;IF(E629&lt;&gt;"",IF(LEN(_xlfn.XLOOKUP($E629,$C$5:$C$681,$B$5:$B$681,0))=3,HEX2BIN(LEFT(_xlfn.XLOOKUP($E629,$C$5:$C$681,$B$5:$B$681,0),1),3),IF(OR(Ops!$L$2:'Ops'!$L$11=J629),VLOOKUP(J629,Ops!$L$2:'Ops'!$M$11,2,FALSE),"000")),IF(OR(Ops!$L$2:'Ops'!$L$11=J629),VLOOKUP(J629,Ops!$L$2:'Ops'!$M$11,2,FALSE),"000")),2)</f>
        <v>28</v>
      </c>
      <c r="R629" s="27"/>
      <c r="S629" s="4" t="s">
        <v>667</v>
      </c>
      <c r="Z629" s="74" t="str">
        <f t="shared" si="185"/>
        <v>0x20,</v>
      </c>
      <c r="AA629" s="75" t="str">
        <f t="shared" si="186"/>
        <v>0x05,</v>
      </c>
      <c r="AB629" s="75" t="str">
        <f t="shared" si="187"/>
        <v>0x28,</v>
      </c>
      <c r="AC629" s="76"/>
    </row>
    <row r="630" spans="1:29" x14ac:dyDescent="0.3">
      <c r="A630" s="79">
        <f t="shared" si="175"/>
        <v>1896</v>
      </c>
      <c r="B630" s="80" t="str">
        <f t="shared" si="192"/>
        <v>768</v>
      </c>
      <c r="D630" s="29" t="s">
        <v>251</v>
      </c>
      <c r="E630" s="4" t="s">
        <v>640</v>
      </c>
      <c r="F630" s="29"/>
      <c r="G630" s="24"/>
      <c r="H630" s="29"/>
      <c r="M630" s="14"/>
      <c r="N630" s="24"/>
      <c r="O630" s="26" t="str" cm="1">
        <f t="array" ref="O630">BIN2HEX(IF(I630&lt;&gt;"",VLOOKUP(I630,Ops!$I$2:'Ops'!$J$15,2,FALSE),IF(ISNUMBER(SEARCH("BR",D630)),"001","000"))&amp;IF(D630&lt;&gt;"",VLOOKUP(D630,Ops!$B$2:'Ops'!$C$23,2,FALSE),"0")&amp;_xlfn.IFS(ISNUMBER(SEARCH("BR",D630)),VLOOKUP(D630,Ops!$B$3:'Ops'!$D$22,3,FALSE),F630&lt;&gt;"",VLOOKUP(F630,Ops!$R$2:'Ops'!$S$11,2),L630&lt;&gt;"",VLOOKUP(L630,Ops!$R$2:'Ops'!$S$25,2,FALSE),TRUE,"0000"),2)</f>
        <v>3F</v>
      </c>
      <c r="P630" s="26" t="str">
        <f>RIGHT(IF($E630&lt;&gt;"",_xlfn.XLOOKUP($E630,$C$4:$C$681,$B$4:$B$681,"NO LABEL"),BIN2HEX(IF(N630="CarryEn","1","0")&amp;IF(M630="SubXY","1","0")&amp;IF(H630&lt;&gt;"",VLOOKUP(H630,Ops!$F$2:'Ops'!$G$20,2,FALSE),"000000"),2)),2)</f>
        <v>65</v>
      </c>
      <c r="Q630" s="26" t="str" cm="1">
        <f t="array" ref="Q630">BIN2HEX(_xlfn.IFS(D630="HWINTEN","10",G630="KeyAck","01",G630="InitLp8","01",TRUE,"00")&amp;IF(OR(Ops!$O$2:'Ops'!$O$13=K630),VLOOKUP(K630,Ops!$O$2:'Ops'!$P$13,2,FALSE),"000")&amp;IF(E630&lt;&gt;"",IF(LEN(_xlfn.XLOOKUP($E630,$C$5:$C$681,$B$5:$B$681,0))=3,HEX2BIN(LEFT(_xlfn.XLOOKUP($E630,$C$5:$C$681,$B$5:$B$681,0),1),3),IF(OR(Ops!$L$2:'Ops'!$L$11=J630),VLOOKUP(J630,Ops!$L$2:'Ops'!$M$11,2,FALSE),"000")),IF(OR(Ops!$L$2:'Ops'!$L$11=J630),VLOOKUP(J630,Ops!$L$2:'Ops'!$M$11,2,FALSE),"000")),2)</f>
        <v>07</v>
      </c>
      <c r="R630" s="27"/>
      <c r="Z630" s="74" t="str">
        <f t="shared" si="185"/>
        <v>0x3F,</v>
      </c>
      <c r="AA630" s="75" t="str">
        <f t="shared" si="186"/>
        <v>0x65,</v>
      </c>
      <c r="AB630" s="75" t="str">
        <f t="shared" si="187"/>
        <v>0x07,</v>
      </c>
      <c r="AC630" s="76"/>
    </row>
    <row r="631" spans="1:29" x14ac:dyDescent="0.3">
      <c r="A631" s="79">
        <f t="shared" si="175"/>
        <v>1899</v>
      </c>
      <c r="B631" s="80" t="str">
        <f t="shared" si="192"/>
        <v>76B</v>
      </c>
      <c r="D631" s="29" t="s">
        <v>0</v>
      </c>
      <c r="E631" s="4" t="s">
        <v>642</v>
      </c>
      <c r="F631" s="29"/>
      <c r="G631" s="24"/>
      <c r="H631" s="29"/>
      <c r="J631" s="56"/>
      <c r="M631" s="14"/>
      <c r="N631" s="24"/>
      <c r="O631" s="26" t="str" cm="1">
        <f t="array" ref="O631">BIN2HEX(IF(I631&lt;&gt;"",VLOOKUP(I631,Ops!$I$2:'Ops'!$J$15,2,FALSE),IF(ISNUMBER(SEARCH("BR",D631)),"001","000"))&amp;IF(D631&lt;&gt;"",VLOOKUP(D631,Ops!$B$2:'Ops'!$C$23,2,FALSE),"0")&amp;_xlfn.IFS(ISNUMBER(SEARCH("BR",D631)),VLOOKUP(D631,Ops!$B$3:'Ops'!$D$22,3,FALSE),F631&lt;&gt;"",VLOOKUP(F631,Ops!$R$2:'Ops'!$S$11,2),L631&lt;&gt;"",VLOOKUP(L631,Ops!$R$2:'Ops'!$S$25,2,FALSE),TRUE,"0000"),2)</f>
        <v>10</v>
      </c>
      <c r="P631" s="26" t="str">
        <f>RIGHT(IF($E631&lt;&gt;"",_xlfn.XLOOKUP($E631,$C$4:$C$681,$B$4:$B$681,"NO LABEL"),BIN2HEX(IF(N631="CarryEn","1","0")&amp;IF(M631="SubXY","1","0")&amp;IF(H631&lt;&gt;"",VLOOKUP(H631,Ops!$F$2:'Ops'!$G$20,2,FALSE),"000000"),2)),2)</f>
        <v>AD</v>
      </c>
      <c r="Q631" s="26" t="str" cm="1">
        <f t="array" ref="Q631">BIN2HEX(_xlfn.IFS(D631="HWINTEN","10",G631="KeyAck","01",G631="InitLp8","01",TRUE,"00")&amp;IF(OR(Ops!$O$2:'Ops'!$O$13=K631),VLOOKUP(K631,Ops!$O$2:'Ops'!$P$13,2,FALSE),"000")&amp;IF(E631&lt;&gt;"",IF(LEN(_xlfn.XLOOKUP($E631,$C$5:$C$681,$B$5:$B$681,0))=3,HEX2BIN(LEFT(_xlfn.XLOOKUP($E631,$C$5:$C$681,$B$5:$B$681,0),1),3),IF(OR(Ops!$L$2:'Ops'!$L$11=J631),VLOOKUP(J631,Ops!$L$2:'Ops'!$M$11,2,FALSE),"000")),IF(OR(Ops!$L$2:'Ops'!$L$11=J631),VLOOKUP(J631,Ops!$L$2:'Ops'!$M$11,2,FALSE),"000")),2)</f>
        <v>07</v>
      </c>
      <c r="R631" s="27"/>
      <c r="Z631" s="74" t="str">
        <f t="shared" si="185"/>
        <v>0x10,</v>
      </c>
      <c r="AA631" s="75" t="str">
        <f t="shared" si="186"/>
        <v>0xAD,</v>
      </c>
      <c r="AB631" s="75" t="str">
        <f t="shared" si="187"/>
        <v>0x07,</v>
      </c>
      <c r="AC631" s="76"/>
    </row>
    <row r="632" spans="1:29" x14ac:dyDescent="0.3">
      <c r="A632" s="79">
        <f t="shared" si="175"/>
        <v>1902</v>
      </c>
      <c r="B632" s="80" t="str">
        <f t="shared" si="192"/>
        <v>76E</v>
      </c>
      <c r="C632" s="12" t="s">
        <v>635</v>
      </c>
      <c r="D632" s="29"/>
      <c r="F632" s="29"/>
      <c r="G632" s="24" t="s">
        <v>692</v>
      </c>
      <c r="H632" s="29"/>
      <c r="M632" s="14"/>
      <c r="N632" s="24"/>
      <c r="O632" s="26" t="str" cm="1">
        <f t="array" ref="O632">BIN2HEX(IF(I632&lt;&gt;"",VLOOKUP(I632,Ops!$I$2:'Ops'!$J$15,2,FALSE),IF(ISNUMBER(SEARCH("BR",D632)),"001","000"))&amp;IF(D632&lt;&gt;"",VLOOKUP(D632,Ops!$B$2:'Ops'!$C$23,2,FALSE),"0")&amp;_xlfn.IFS(ISNUMBER(SEARCH("BR",D632)),VLOOKUP(D632,Ops!$B$3:'Ops'!$D$22,3,FALSE),F632&lt;&gt;"",VLOOKUP(F632,Ops!$R$2:'Ops'!$S$11,2),L632&lt;&gt;"",VLOOKUP(L632,Ops!$R$2:'Ops'!$S$25,2,FALSE),TRUE,"0000"),2)</f>
        <v>00</v>
      </c>
      <c r="P632" s="26" t="str">
        <f>RIGHT(IF($E632&lt;&gt;"",_xlfn.XLOOKUP($E632,$C$4:$C$681,$B$4:$B$681,"NO LABEL"),BIN2HEX(IF(N632="CarryEn","1","0")&amp;IF(M632="SubXY","1","0")&amp;IF(H632&lt;&gt;"",VLOOKUP(H632,Ops!$F$2:'Ops'!$G$20,2,FALSE),"000000"),2)),2)</f>
        <v>00</v>
      </c>
      <c r="Q632" s="26" t="str" cm="1">
        <f t="array" ref="Q632">BIN2HEX(_xlfn.IFS(D632="HWINTEN","10",G632="KeyAck","01",G632="InitLp8","01",TRUE,"00")&amp;IF(OR(Ops!$O$2:'Ops'!$O$13=K632),VLOOKUP(K632,Ops!$O$2:'Ops'!$P$13,2,FALSE),"000")&amp;IF(E632&lt;&gt;"",IF(LEN(_xlfn.XLOOKUP($E632,$C$5:$C$681,$B$5:$B$681,0))=3,HEX2BIN(LEFT(_xlfn.XLOOKUP($E632,$C$5:$C$681,$B$5:$B$681,0),1),3),IF(OR(Ops!$L$2:'Ops'!$L$11=J632),VLOOKUP(J632,Ops!$L$2:'Ops'!$M$11,2,FALSE),"000")),IF(OR(Ops!$L$2:'Ops'!$L$11=J632),VLOOKUP(J632,Ops!$L$2:'Ops'!$M$11,2,FALSE),"000")),2)</f>
        <v>40</v>
      </c>
      <c r="R632" s="27"/>
      <c r="S632" s="4" t="s">
        <v>656</v>
      </c>
      <c r="Z632" s="74" t="str">
        <f t="shared" si="185"/>
        <v>0x00,</v>
      </c>
      <c r="AA632" s="75" t="str">
        <f t="shared" si="186"/>
        <v>0x00,</v>
      </c>
      <c r="AB632" s="75" t="str">
        <f t="shared" si="187"/>
        <v>0x40,</v>
      </c>
      <c r="AC632" s="76"/>
    </row>
    <row r="633" spans="1:29" x14ac:dyDescent="0.3">
      <c r="A633" s="79">
        <f t="shared" si="175"/>
        <v>1905</v>
      </c>
      <c r="B633" s="80" t="str">
        <f t="shared" si="192"/>
        <v>771</v>
      </c>
      <c r="D633" s="29" t="s">
        <v>251</v>
      </c>
      <c r="E633" s="4" t="s">
        <v>641</v>
      </c>
      <c r="F633" s="29"/>
      <c r="G633" s="24"/>
      <c r="H633" s="29"/>
      <c r="M633" s="14"/>
      <c r="N633" s="24"/>
      <c r="O633" s="26" t="str" cm="1">
        <f t="array" ref="O633">BIN2HEX(IF(I633&lt;&gt;"",VLOOKUP(I633,Ops!$I$2:'Ops'!$J$15,2,FALSE),IF(ISNUMBER(SEARCH("BR",D633)),"001","000"))&amp;IF(D633&lt;&gt;"",VLOOKUP(D633,Ops!$B$2:'Ops'!$C$23,2,FALSE),"0")&amp;_xlfn.IFS(ISNUMBER(SEARCH("BR",D633)),VLOOKUP(D633,Ops!$B$3:'Ops'!$D$22,3,FALSE),F633&lt;&gt;"",VLOOKUP(F633,Ops!$R$2:'Ops'!$S$11,2),L633&lt;&gt;"",VLOOKUP(L633,Ops!$R$2:'Ops'!$S$25,2,FALSE),TRUE,"0000"),2)</f>
        <v>3F</v>
      </c>
      <c r="P633" s="26" t="str">
        <f>RIGHT(IF($E633&lt;&gt;"",_xlfn.XLOOKUP($E633,$C$4:$C$681,$B$4:$B$681,"NO LABEL"),BIN2HEX(IF(N633="CarryEn","1","0")&amp;IF(M633="SubXY","1","0")&amp;IF(H633&lt;&gt;"",VLOOKUP(H633,Ops!$F$2:'Ops'!$G$20,2,FALSE),"000000"),2)),2)</f>
        <v>74</v>
      </c>
      <c r="Q633" s="26" t="str" cm="1">
        <f t="array" ref="Q633">BIN2HEX(_xlfn.IFS(D633="HWINTEN","10",G633="KeyAck","01",G633="InitLp8","01",TRUE,"00")&amp;IF(OR(Ops!$O$2:'Ops'!$O$13=K633),VLOOKUP(K633,Ops!$O$2:'Ops'!$P$13,2,FALSE),"000")&amp;IF(E633&lt;&gt;"",IF(LEN(_xlfn.XLOOKUP($E633,$C$5:$C$681,$B$5:$B$681,0))=3,HEX2BIN(LEFT(_xlfn.XLOOKUP($E633,$C$5:$C$681,$B$5:$B$681,0),1),3),IF(OR(Ops!$L$2:'Ops'!$L$11=J633),VLOOKUP(J633,Ops!$L$2:'Ops'!$M$11,2,FALSE),"000")),IF(OR(Ops!$L$2:'Ops'!$L$11=J633),VLOOKUP(J633,Ops!$L$2:'Ops'!$M$11,2,FALSE),"000")),2)</f>
        <v>07</v>
      </c>
      <c r="R633" s="27"/>
      <c r="S633" s="4" t="s">
        <v>654</v>
      </c>
      <c r="Z633" s="74" t="str">
        <f t="shared" si="185"/>
        <v>0x3F,</v>
      </c>
      <c r="AA633" s="75" t="str">
        <f t="shared" si="186"/>
        <v>0x74,</v>
      </c>
      <c r="AB633" s="75" t="str">
        <f t="shared" si="187"/>
        <v>0x07,</v>
      </c>
      <c r="AC633" s="76"/>
    </row>
    <row r="634" spans="1:29" x14ac:dyDescent="0.3">
      <c r="A634" s="79">
        <f t="shared" si="175"/>
        <v>1908</v>
      </c>
      <c r="B634" s="80" t="str">
        <f t="shared" si="192"/>
        <v>774</v>
      </c>
      <c r="C634" s="4" t="s">
        <v>641</v>
      </c>
      <c r="D634" s="29"/>
      <c r="F634" s="29"/>
      <c r="G634" s="24"/>
      <c r="H634" s="29" t="s">
        <v>26</v>
      </c>
      <c r="I634" s="4" t="s">
        <v>478</v>
      </c>
      <c r="J634" s="4" t="s">
        <v>475</v>
      </c>
      <c r="K634" s="4" t="s">
        <v>469</v>
      </c>
      <c r="M634" s="14"/>
      <c r="N634" s="24"/>
      <c r="O634" s="26" t="str" cm="1">
        <f t="array" ref="O634">BIN2HEX(IF(I634&lt;&gt;"",VLOOKUP(I634,Ops!$I$2:'Ops'!$J$15,2,FALSE),IF(ISNUMBER(SEARCH("BR",D634)),"001","000"))&amp;IF(D634&lt;&gt;"",VLOOKUP(D634,Ops!$B$2:'Ops'!$C$23,2,FALSE),"0")&amp;_xlfn.IFS(ISNUMBER(SEARCH("BR",D634)),VLOOKUP(D634,Ops!$B$3:'Ops'!$D$22,3,FALSE),F634&lt;&gt;"",VLOOKUP(F634,Ops!$R$2:'Ops'!$S$11,2),L634&lt;&gt;"",VLOOKUP(L634,Ops!$R$2:'Ops'!$S$25,2,FALSE),TRUE,"0000"),2)</f>
        <v>20</v>
      </c>
      <c r="P634" s="26" t="str">
        <f>RIGHT(IF($E634&lt;&gt;"",_xlfn.XLOOKUP($E634,$C$4:$C$681,$B$4:$B$681,"NO LABEL"),BIN2HEX(IF(N634="CarryEn","1","0")&amp;IF(M634="SubXY","1","0")&amp;IF(H634&lt;&gt;"",VLOOKUP(H634,Ops!$F$2:'Ops'!$G$20,2,FALSE),"000000"),2)),2)</f>
        <v>05</v>
      </c>
      <c r="Q634" s="26" t="str" cm="1">
        <f t="array" ref="Q634">BIN2HEX(_xlfn.IFS(D634="HWINTEN","10",G634="KeyAck","01",G634="InitLp8","01",TRUE,"00")&amp;IF(OR(Ops!$O$2:'Ops'!$O$13=K634),VLOOKUP(K634,Ops!$O$2:'Ops'!$P$13,2,FALSE),"000")&amp;IF(E634&lt;&gt;"",IF(LEN(_xlfn.XLOOKUP($E634,$C$5:$C$681,$B$5:$B$681,0))=3,HEX2BIN(LEFT(_xlfn.XLOOKUP($E634,$C$5:$C$681,$B$5:$B$681,0),1),3),IF(OR(Ops!$L$2:'Ops'!$L$11=J634),VLOOKUP(J634,Ops!$L$2:'Ops'!$M$11,2,FALSE),"000")),IF(OR(Ops!$L$2:'Ops'!$L$11=J634),VLOOKUP(J634,Ops!$L$2:'Ops'!$M$11,2,FALSE),"000")),2)</f>
        <v>28</v>
      </c>
      <c r="R634" s="27"/>
      <c r="Z634" s="74" t="str">
        <f t="shared" si="185"/>
        <v>0x20,</v>
      </c>
      <c r="AA634" s="75" t="str">
        <f t="shared" si="186"/>
        <v>0x05,</v>
      </c>
      <c r="AB634" s="75" t="str">
        <f t="shared" si="187"/>
        <v>0x28,</v>
      </c>
      <c r="AC634" s="76"/>
    </row>
    <row r="635" spans="1:29" x14ac:dyDescent="0.3">
      <c r="A635" s="79">
        <f t="shared" si="175"/>
        <v>1911</v>
      </c>
      <c r="B635" s="80" t="str">
        <f t="shared" si="192"/>
        <v>777</v>
      </c>
      <c r="D635" s="29" t="s">
        <v>251</v>
      </c>
      <c r="E635" s="4" t="s">
        <v>641</v>
      </c>
      <c r="F635" s="29"/>
      <c r="G635" s="24"/>
      <c r="H635" s="29"/>
      <c r="M635" s="14"/>
      <c r="N635" s="24"/>
      <c r="O635" s="26" t="str" cm="1">
        <f t="array" ref="O635">BIN2HEX(IF(I635&lt;&gt;"",VLOOKUP(I635,Ops!$I$2:'Ops'!$J$15,2,FALSE),IF(ISNUMBER(SEARCH("BR",D635)),"001","000"))&amp;IF(D635&lt;&gt;"",VLOOKUP(D635,Ops!$B$2:'Ops'!$C$23,2,FALSE),"0")&amp;_xlfn.IFS(ISNUMBER(SEARCH("BR",D635)),VLOOKUP(D635,Ops!$B$3:'Ops'!$D$22,3,FALSE),F635&lt;&gt;"",VLOOKUP(F635,Ops!$R$2:'Ops'!$S$11,2),L635&lt;&gt;"",VLOOKUP(L635,Ops!$R$2:'Ops'!$S$25,2,FALSE),TRUE,"0000"),2)</f>
        <v>3F</v>
      </c>
      <c r="P635" s="26" t="str">
        <f>RIGHT(IF($E635&lt;&gt;"",_xlfn.XLOOKUP($E635,$C$4:$C$681,$B$4:$B$681,"NO LABEL"),BIN2HEX(IF(N635="CarryEn","1","0")&amp;IF(M635="SubXY","1","0")&amp;IF(H635&lt;&gt;"",VLOOKUP(H635,Ops!$F$2:'Ops'!$G$20,2,FALSE),"000000"),2)),2)</f>
        <v>74</v>
      </c>
      <c r="Q635" s="26" t="str" cm="1">
        <f t="array" ref="Q635">BIN2HEX(_xlfn.IFS(D635="HWINTEN","10",G635="KeyAck","01",G635="InitLp8","01",TRUE,"00")&amp;IF(OR(Ops!$O$2:'Ops'!$O$13=K635),VLOOKUP(K635,Ops!$O$2:'Ops'!$P$13,2,FALSE),"000")&amp;IF(E635&lt;&gt;"",IF(LEN(_xlfn.XLOOKUP($E635,$C$5:$C$681,$B$5:$B$681,0))=3,HEX2BIN(LEFT(_xlfn.XLOOKUP($E635,$C$5:$C$681,$B$5:$B$681,0),1),3),IF(OR(Ops!$L$2:'Ops'!$L$11=J635),VLOOKUP(J635,Ops!$L$2:'Ops'!$M$11,2,FALSE),"000")),IF(OR(Ops!$L$2:'Ops'!$L$11=J635),VLOOKUP(J635,Ops!$L$2:'Ops'!$M$11,2,FALSE),"000")),2)</f>
        <v>07</v>
      </c>
      <c r="R635" s="27"/>
      <c r="Z635" s="74" t="str">
        <f t="shared" si="185"/>
        <v>0x3F,</v>
      </c>
      <c r="AA635" s="75" t="str">
        <f t="shared" si="186"/>
        <v>0x74,</v>
      </c>
      <c r="AB635" s="75" t="str">
        <f t="shared" si="187"/>
        <v>0x07,</v>
      </c>
      <c r="AC635" s="76"/>
    </row>
    <row r="636" spans="1:29" x14ac:dyDescent="0.3">
      <c r="A636" s="79">
        <f t="shared" si="175"/>
        <v>1914</v>
      </c>
      <c r="B636" s="80" t="str">
        <f t="shared" ref="B636:B649" si="193">DEC2HEX(A636)</f>
        <v>77A</v>
      </c>
      <c r="D636" s="29"/>
      <c r="F636" s="29"/>
      <c r="G636" s="24" t="s">
        <v>692</v>
      </c>
      <c r="H636" s="29"/>
      <c r="M636" s="14"/>
      <c r="N636" s="24"/>
      <c r="O636" s="26" t="str" cm="1">
        <f t="array" ref="O636">BIN2HEX(IF(I636&lt;&gt;"",VLOOKUP(I636,Ops!$I$2:'Ops'!$J$15,2,FALSE),IF(ISNUMBER(SEARCH("BR",D636)),"001","000"))&amp;IF(D636&lt;&gt;"",VLOOKUP(D636,Ops!$B$2:'Ops'!$C$23,2,FALSE),"0")&amp;_xlfn.IFS(ISNUMBER(SEARCH("BR",D636)),VLOOKUP(D636,Ops!$B$3:'Ops'!$D$22,3,FALSE),F636&lt;&gt;"",VLOOKUP(F636,Ops!$R$2:'Ops'!$S$11,2),L636&lt;&gt;"",VLOOKUP(L636,Ops!$R$2:'Ops'!$S$25,2,FALSE),TRUE,"0000"),2)</f>
        <v>00</v>
      </c>
      <c r="P636" s="26" t="str">
        <f>RIGHT(IF($E636&lt;&gt;"",_xlfn.XLOOKUP($E636,$C$4:$C$681,$B$4:$B$681,"NO LABEL"),BIN2HEX(IF(N636="CarryEn","1","0")&amp;IF(M636="SubXY","1","0")&amp;IF(H636&lt;&gt;"",VLOOKUP(H636,Ops!$F$2:'Ops'!$G$20,2,FALSE),"000000"),2)),2)</f>
        <v>00</v>
      </c>
      <c r="Q636" s="26" t="str" cm="1">
        <f t="array" ref="Q636">BIN2HEX(_xlfn.IFS(D636="HWINTEN","10",G636="KeyAck","01",G636="InitLp8","01",TRUE,"00")&amp;IF(OR(Ops!$O$2:'Ops'!$O$13=K636),VLOOKUP(K636,Ops!$O$2:'Ops'!$P$13,2,FALSE),"000")&amp;IF(E636&lt;&gt;"",IF(LEN(_xlfn.XLOOKUP($E636,$C$5:$C$681,$B$5:$B$681,0))=3,HEX2BIN(LEFT(_xlfn.XLOOKUP($E636,$C$5:$C$681,$B$5:$B$681,0),1),3),IF(OR(Ops!$L$2:'Ops'!$L$11=J636),VLOOKUP(J636,Ops!$L$2:'Ops'!$M$11,2,FALSE),"000")),IF(OR(Ops!$L$2:'Ops'!$L$11=J636),VLOOKUP(J636,Ops!$L$2:'Ops'!$M$11,2,FALSE),"000")),2)</f>
        <v>40</v>
      </c>
      <c r="R636" s="27"/>
      <c r="S636" s="4" t="s">
        <v>670</v>
      </c>
      <c r="Z636" s="74" t="str">
        <f t="shared" ref="Z636:Z657" si="194">IF(O636="", "};", "0x"&amp;O636&amp;",")</f>
        <v>0x00,</v>
      </c>
      <c r="AA636" s="75" t="str">
        <f t="shared" ref="AA636:AA657" si="195">"0x"&amp;P636&amp;","</f>
        <v>0x00,</v>
      </c>
      <c r="AB636" s="75" t="str">
        <f t="shared" ref="AB636:AB657" si="196">"0x"&amp;Q636&amp;","</f>
        <v>0x40,</v>
      </c>
      <c r="AC636" s="76"/>
    </row>
    <row r="637" spans="1:29" x14ac:dyDescent="0.3">
      <c r="A637" s="79">
        <f t="shared" si="175"/>
        <v>1917</v>
      </c>
      <c r="B637" s="80" t="str">
        <f t="shared" si="193"/>
        <v>77D</v>
      </c>
      <c r="D637" s="29" t="s">
        <v>251</v>
      </c>
      <c r="E637" s="4" t="s">
        <v>650</v>
      </c>
      <c r="F637" s="29"/>
      <c r="G637" s="24"/>
      <c r="H637" s="29"/>
      <c r="M637" s="14"/>
      <c r="N637" s="24"/>
      <c r="O637" s="26" t="str" cm="1">
        <f t="array" ref="O637">BIN2HEX(IF(I637&lt;&gt;"",VLOOKUP(I637,Ops!$I$2:'Ops'!$J$15,2,FALSE),IF(ISNUMBER(SEARCH("BR",D637)),"001","000"))&amp;IF(D637&lt;&gt;"",VLOOKUP(D637,Ops!$B$2:'Ops'!$C$23,2,FALSE),"0")&amp;_xlfn.IFS(ISNUMBER(SEARCH("BR",D637)),VLOOKUP(D637,Ops!$B$3:'Ops'!$D$22,3,FALSE),F637&lt;&gt;"",VLOOKUP(F637,Ops!$R$2:'Ops'!$S$11,2),L637&lt;&gt;"",VLOOKUP(L637,Ops!$R$2:'Ops'!$S$25,2,FALSE),TRUE,"0000"),2)</f>
        <v>3F</v>
      </c>
      <c r="P637" s="26" t="str">
        <f>RIGHT(IF($E637&lt;&gt;"",_xlfn.XLOOKUP($E637,$C$4:$C$681,$B$4:$B$681,"NO LABEL"),BIN2HEX(IF(N637="CarryEn","1","0")&amp;IF(M637="SubXY","1","0")&amp;IF(H637&lt;&gt;"",VLOOKUP(H637,Ops!$F$2:'Ops'!$G$20,2,FALSE),"000000"),2)),2)</f>
        <v>80</v>
      </c>
      <c r="Q637" s="26" t="str" cm="1">
        <f t="array" ref="Q637">BIN2HEX(_xlfn.IFS(D637="HWINTEN","10",G637="KeyAck","01",G637="InitLp8","01",TRUE,"00")&amp;IF(OR(Ops!$O$2:'Ops'!$O$13=K637),VLOOKUP(K637,Ops!$O$2:'Ops'!$P$13,2,FALSE),"000")&amp;IF(E637&lt;&gt;"",IF(LEN(_xlfn.XLOOKUP($E637,$C$5:$C$681,$B$5:$B$681,0))=3,HEX2BIN(LEFT(_xlfn.XLOOKUP($E637,$C$5:$C$681,$B$5:$B$681,0),1),3),IF(OR(Ops!$L$2:'Ops'!$L$11=J637),VLOOKUP(J637,Ops!$L$2:'Ops'!$M$11,2,FALSE),"000")),IF(OR(Ops!$L$2:'Ops'!$L$11=J637),VLOOKUP(J637,Ops!$L$2:'Ops'!$M$11,2,FALSE),"000")),2)</f>
        <v>07</v>
      </c>
      <c r="R637" s="27"/>
      <c r="Z637" s="74" t="str">
        <f t="shared" si="194"/>
        <v>0x3F,</v>
      </c>
      <c r="AA637" s="75" t="str">
        <f t="shared" si="195"/>
        <v>0x80,</v>
      </c>
      <c r="AB637" s="75" t="str">
        <f t="shared" si="196"/>
        <v>0x07,</v>
      </c>
      <c r="AC637" s="76"/>
    </row>
    <row r="638" spans="1:29" x14ac:dyDescent="0.3">
      <c r="A638" s="79">
        <f t="shared" si="175"/>
        <v>1920</v>
      </c>
      <c r="B638" s="80" t="str">
        <f t="shared" si="193"/>
        <v>780</v>
      </c>
      <c r="C638" s="4" t="s">
        <v>650</v>
      </c>
      <c r="D638" s="29"/>
      <c r="F638" s="29"/>
      <c r="G638" s="24"/>
      <c r="H638" s="29"/>
      <c r="J638" s="4" t="s">
        <v>314</v>
      </c>
      <c r="L638" s="4" t="s">
        <v>311</v>
      </c>
      <c r="M638" s="14"/>
      <c r="N638" s="24"/>
      <c r="O638" s="26" t="str" cm="1">
        <f t="array" ref="O638">BIN2HEX(IF(I638&lt;&gt;"",VLOOKUP(I638,Ops!$I$2:'Ops'!$J$15,2,FALSE),IF(ISNUMBER(SEARCH("BR",D638)),"001","000"))&amp;IF(D638&lt;&gt;"",VLOOKUP(D638,Ops!$B$2:'Ops'!$C$23,2,FALSE),"0")&amp;_xlfn.IFS(ISNUMBER(SEARCH("BR",D638)),VLOOKUP(D638,Ops!$B$3:'Ops'!$D$22,3,FALSE),F638&lt;&gt;"",VLOOKUP(F638,Ops!$R$2:'Ops'!$S$11,2),L638&lt;&gt;"",VLOOKUP(L638,Ops!$R$2:'Ops'!$S$25,2,FALSE),TRUE,"0000"),2)</f>
        <v>04</v>
      </c>
      <c r="P638" s="26" t="str">
        <f>RIGHT(IF($E638&lt;&gt;"",_xlfn.XLOOKUP($E638,$C$4:$C$681,$B$4:$B$681,"NO LABEL"),BIN2HEX(IF(N638="CarryEn","1","0")&amp;IF(M638="SubXY","1","0")&amp;IF(H638&lt;&gt;"",VLOOKUP(H638,Ops!$F$2:'Ops'!$G$20,2,FALSE),"000000"),2)),2)</f>
        <v>00</v>
      </c>
      <c r="Q638" s="26" t="str" cm="1">
        <f t="array" ref="Q638">BIN2HEX(_xlfn.IFS(D638="HWINTEN","10",G638="KeyAck","01",G638="InitLp8","01",TRUE,"00")&amp;IF(OR(Ops!$O$2:'Ops'!$O$13=K638),VLOOKUP(K638,Ops!$O$2:'Ops'!$P$13,2,FALSE),"000")&amp;IF(E638&lt;&gt;"",IF(LEN(_xlfn.XLOOKUP($E638,$C$5:$C$681,$B$5:$B$681,0))=3,HEX2BIN(LEFT(_xlfn.XLOOKUP($E638,$C$5:$C$681,$B$5:$B$681,0),1),3),IF(OR(Ops!$L$2:'Ops'!$L$11=J638),VLOOKUP(J638,Ops!$L$2:'Ops'!$M$11,2,FALSE),"000")),IF(OR(Ops!$L$2:'Ops'!$L$11=J638),VLOOKUP(J638,Ops!$L$2:'Ops'!$M$11,2,FALSE),"000")),2)</f>
        <v>06</v>
      </c>
      <c r="R638" s="27"/>
      <c r="S638" s="4" t="s">
        <v>671</v>
      </c>
      <c r="Z638" s="74" t="str">
        <f t="shared" si="194"/>
        <v>0x04,</v>
      </c>
      <c r="AA638" s="75" t="str">
        <f t="shared" si="195"/>
        <v>0x00,</v>
      </c>
      <c r="AB638" s="75" t="str">
        <f t="shared" si="196"/>
        <v>0x06,</v>
      </c>
      <c r="AC638" s="76"/>
    </row>
    <row r="639" spans="1:29" x14ac:dyDescent="0.3">
      <c r="A639" s="79">
        <f t="shared" si="175"/>
        <v>1923</v>
      </c>
      <c r="B639" s="80" t="str">
        <f t="shared" si="193"/>
        <v>783</v>
      </c>
      <c r="D639" s="29"/>
      <c r="F639" s="29"/>
      <c r="G639" s="24"/>
      <c r="H639" s="29" t="s">
        <v>569</v>
      </c>
      <c r="M639" s="14"/>
      <c r="N639" s="24"/>
      <c r="O639" s="26" t="str" cm="1">
        <f t="array" ref="O639">BIN2HEX(IF(I639&lt;&gt;"",VLOOKUP(I639,Ops!$I$2:'Ops'!$J$15,2,FALSE),IF(ISNUMBER(SEARCH("BR",D639)),"001","000"))&amp;IF(D639&lt;&gt;"",VLOOKUP(D639,Ops!$B$2:'Ops'!$C$23,2,FALSE),"0")&amp;_xlfn.IFS(ISNUMBER(SEARCH("BR",D639)),VLOOKUP(D639,Ops!$B$3:'Ops'!$D$22,3,FALSE),F639&lt;&gt;"",VLOOKUP(F639,Ops!$R$2:'Ops'!$S$11,2),L639&lt;&gt;"",VLOOKUP(L639,Ops!$R$2:'Ops'!$S$25,2,FALSE),TRUE,"0000"),2)</f>
        <v>00</v>
      </c>
      <c r="P639" s="26" t="str">
        <f>RIGHT(IF($E639&lt;&gt;"",_xlfn.XLOOKUP($E639,$C$4:$C$681,$B$4:$B$681,"NO LABEL"),BIN2HEX(IF(N639="CarryEn","1","0")&amp;IF(M639="SubXY","1","0")&amp;IF(H639&lt;&gt;"",VLOOKUP(H639,Ops!$F$2:'Ops'!$G$20,2,FALSE),"000000"),2)),2)</f>
        <v>02</v>
      </c>
      <c r="Q639" s="26" t="str" cm="1">
        <f t="array" ref="Q639">BIN2HEX(_xlfn.IFS(D639="HWINTEN","10",G639="KeyAck","01",G639="InitLp8","01",TRUE,"00")&amp;IF(OR(Ops!$O$2:'Ops'!$O$13=K639),VLOOKUP(K639,Ops!$O$2:'Ops'!$P$13,2,FALSE),"000")&amp;IF(E639&lt;&gt;"",IF(LEN(_xlfn.XLOOKUP($E639,$C$5:$C$681,$B$5:$B$681,0))=3,HEX2BIN(LEFT(_xlfn.XLOOKUP($E639,$C$5:$C$681,$B$5:$B$681,0),1),3),IF(OR(Ops!$L$2:'Ops'!$L$11=J639),VLOOKUP(J639,Ops!$L$2:'Ops'!$M$11,2,FALSE),"000")),IF(OR(Ops!$L$2:'Ops'!$L$11=J639),VLOOKUP(J639,Ops!$L$2:'Ops'!$M$11,2,FALSE),"000")),2)</f>
        <v>00</v>
      </c>
      <c r="R639" s="27"/>
      <c r="S639" s="4" t="s">
        <v>655</v>
      </c>
      <c r="Z639" s="74" t="str">
        <f t="shared" si="194"/>
        <v>0x00,</v>
      </c>
      <c r="AA639" s="75" t="str">
        <f t="shared" si="195"/>
        <v>0x02,</v>
      </c>
      <c r="AB639" s="75" t="str">
        <f t="shared" si="196"/>
        <v>0x00,</v>
      </c>
      <c r="AC639" s="76"/>
    </row>
    <row r="640" spans="1:29" x14ac:dyDescent="0.3">
      <c r="A640" s="79">
        <f t="shared" si="175"/>
        <v>1926</v>
      </c>
      <c r="B640" s="80" t="str">
        <f t="shared" si="193"/>
        <v>786</v>
      </c>
      <c r="D640" s="29"/>
      <c r="F640" s="29"/>
      <c r="G640" s="24"/>
      <c r="H640" s="29"/>
      <c r="I640" s="4" t="s">
        <v>290</v>
      </c>
      <c r="K640" s="4" t="s">
        <v>515</v>
      </c>
      <c r="M640" s="14"/>
      <c r="N640" s="24"/>
      <c r="O640" s="26" t="str" cm="1">
        <f t="array" ref="O640">BIN2HEX(IF(I640&lt;&gt;"",VLOOKUP(I640,Ops!$I$2:'Ops'!$J$15,2,FALSE),IF(ISNUMBER(SEARCH("BR",D640)),"001","000"))&amp;IF(D640&lt;&gt;"",VLOOKUP(D640,Ops!$B$2:'Ops'!$C$23,2,FALSE),"0")&amp;_xlfn.IFS(ISNUMBER(SEARCH("BR",D640)),VLOOKUP(D640,Ops!$B$3:'Ops'!$D$22,3,FALSE),F640&lt;&gt;"",VLOOKUP(F640,Ops!$R$2:'Ops'!$S$11,2),L640&lt;&gt;"",VLOOKUP(L640,Ops!$R$2:'Ops'!$S$25,2,FALSE),TRUE,"0000"),2)</f>
        <v>40</v>
      </c>
      <c r="P640" s="26" t="str">
        <f>RIGHT(IF($E640&lt;&gt;"",_xlfn.XLOOKUP($E640,$C$4:$C$681,$B$4:$B$681,"NO LABEL"),BIN2HEX(IF(N640="CarryEn","1","0")&amp;IF(M640="SubXY","1","0")&amp;IF(H640&lt;&gt;"",VLOOKUP(H640,Ops!$F$2:'Ops'!$G$20,2,FALSE),"000000"),2)),2)</f>
        <v>00</v>
      </c>
      <c r="Q640" s="26" t="str" cm="1">
        <f t="array" ref="Q640">BIN2HEX(_xlfn.IFS(D640="HWINTEN","10",G640="KeyAck","01",G640="InitLp8","01",TRUE,"00")&amp;IF(OR(Ops!$O$2:'Ops'!$O$13=K640),VLOOKUP(K640,Ops!$O$2:'Ops'!$P$13,2,FALSE),"000")&amp;IF(E640&lt;&gt;"",IF(LEN(_xlfn.XLOOKUP($E640,$C$5:$C$681,$B$5:$B$681,0))=3,HEX2BIN(LEFT(_xlfn.XLOOKUP($E640,$C$5:$C$681,$B$5:$B$681,0),1),3),IF(OR(Ops!$L$2:'Ops'!$L$11=J640),VLOOKUP(J640,Ops!$L$2:'Ops'!$M$11,2,FALSE),"000")),IF(OR(Ops!$L$2:'Ops'!$L$11=J640),VLOOKUP(J640,Ops!$L$2:'Ops'!$M$11,2,FALSE),"000")),2)</f>
        <v>20</v>
      </c>
      <c r="R640" s="27"/>
      <c r="Z640" s="74" t="str">
        <f t="shared" si="194"/>
        <v>0x40,</v>
      </c>
      <c r="AA640" s="75" t="str">
        <f t="shared" si="195"/>
        <v>0x00,</v>
      </c>
      <c r="AB640" s="75" t="str">
        <f t="shared" si="196"/>
        <v>0x20,</v>
      </c>
      <c r="AC640" s="76"/>
    </row>
    <row r="641" spans="1:29" x14ac:dyDescent="0.3">
      <c r="A641" s="79">
        <f t="shared" si="175"/>
        <v>1929</v>
      </c>
      <c r="B641" s="80" t="str">
        <f>DEC2HEX(A641)</f>
        <v>789</v>
      </c>
      <c r="D641" s="29" t="s">
        <v>99</v>
      </c>
      <c r="E641" s="4" t="s">
        <v>658</v>
      </c>
      <c r="F641" s="29"/>
      <c r="G641" s="24"/>
      <c r="H641" s="29"/>
      <c r="M641" s="14"/>
      <c r="N641" s="24"/>
      <c r="O641" s="26" t="str" cm="1">
        <f t="array" ref="O641">BIN2HEX(IF(I641&lt;&gt;"",VLOOKUP(I641,Ops!$I$2:'Ops'!$J$15,2,FALSE),IF(ISNUMBER(SEARCH("BR",D641)),"001","000"))&amp;IF(D641&lt;&gt;"",VLOOKUP(D641,Ops!$B$2:'Ops'!$C$23,2,FALSE),"0")&amp;_xlfn.IFS(ISNUMBER(SEARCH("BR",D641)),VLOOKUP(D641,Ops!$B$3:'Ops'!$D$22,3,FALSE),F641&lt;&gt;"",VLOOKUP(F641,Ops!$R$2:'Ops'!$S$11,2),L641&lt;&gt;"",VLOOKUP(L641,Ops!$R$2:'Ops'!$S$25,2,FALSE),TRUE,"0000"),2)</f>
        <v>39</v>
      </c>
      <c r="P641" s="26" t="str">
        <f>RIGHT(IF($E641&lt;&gt;"",_xlfn.XLOOKUP($E641,$C$4:$C$681,$B$4:$B$681,"NO LABEL"),BIN2HEX(IF(N641="CarryEn","1","0")&amp;IF(M641="SubXY","1","0")&amp;IF(H641&lt;&gt;"",VLOOKUP(H641,Ops!$F$2:'Ops'!$G$20,2,FALSE),"000000"),2)),2)</f>
        <v>8F</v>
      </c>
      <c r="Q641" s="26" t="str" cm="1">
        <f t="array" ref="Q641">BIN2HEX(_xlfn.IFS(D641="HWINTEN","10",G641="KeyAck","01",G641="InitLp8","01",TRUE,"00")&amp;IF(OR(Ops!$O$2:'Ops'!$O$13=K641),VLOOKUP(K641,Ops!$O$2:'Ops'!$P$13,2,FALSE),"000")&amp;IF(E641&lt;&gt;"",IF(LEN(_xlfn.XLOOKUP($E641,$C$5:$C$681,$B$5:$B$681,0))=3,HEX2BIN(LEFT(_xlfn.XLOOKUP($E641,$C$5:$C$681,$B$5:$B$681,0),1),3),IF(OR(Ops!$L$2:'Ops'!$L$11=J641),VLOOKUP(J641,Ops!$L$2:'Ops'!$M$11,2,FALSE),"000")),IF(OR(Ops!$L$2:'Ops'!$L$11=J641),VLOOKUP(J641,Ops!$L$2:'Ops'!$M$11,2,FALSE),"000")),2)</f>
        <v>07</v>
      </c>
      <c r="R641" s="27"/>
      <c r="S641" s="4" t="s">
        <v>669</v>
      </c>
      <c r="Z641" s="74" t="str">
        <f t="shared" si="194"/>
        <v>0x39,</v>
      </c>
      <c r="AA641" s="75" t="str">
        <f t="shared" si="195"/>
        <v>0x8F,</v>
      </c>
      <c r="AB641" s="75" t="str">
        <f t="shared" si="196"/>
        <v>0x07,</v>
      </c>
      <c r="AC641" s="76"/>
    </row>
    <row r="642" spans="1:29" x14ac:dyDescent="0.3">
      <c r="A642" s="79">
        <f t="shared" si="175"/>
        <v>1932</v>
      </c>
      <c r="B642" s="80" t="str">
        <f>DEC2HEX(A642)</f>
        <v>78C</v>
      </c>
      <c r="D642" s="29" t="s">
        <v>0</v>
      </c>
      <c r="E642" s="4" t="s">
        <v>653</v>
      </c>
      <c r="F642" s="29"/>
      <c r="G642" s="24"/>
      <c r="H642" s="29"/>
      <c r="M642" s="14"/>
      <c r="N642" s="24"/>
      <c r="O642" s="26" t="str" cm="1">
        <f t="array" ref="O642">BIN2HEX(IF(I642&lt;&gt;"",VLOOKUP(I642,Ops!$I$2:'Ops'!$J$15,2,FALSE),IF(ISNUMBER(SEARCH("BR",D642)),"001","000"))&amp;IF(D642&lt;&gt;"",VLOOKUP(D642,Ops!$B$2:'Ops'!$C$23,2,FALSE),"0")&amp;_xlfn.IFS(ISNUMBER(SEARCH("BR",D642)),VLOOKUP(D642,Ops!$B$3:'Ops'!$D$22,3,FALSE),F642&lt;&gt;"",VLOOKUP(F642,Ops!$R$2:'Ops'!$S$11,2),L642&lt;&gt;"",VLOOKUP(L642,Ops!$R$2:'Ops'!$S$25,2,FALSE),TRUE,"0000"),2)</f>
        <v>10</v>
      </c>
      <c r="P642" s="26" t="str">
        <f>RIGHT(IF($E642&lt;&gt;"",_xlfn.XLOOKUP($E642,$C$4:$C$681,$B$4:$B$681,"NO LABEL"),BIN2HEX(IF(N642="CarryEn","1","0")&amp;IF(M642="SubXY","1","0")&amp;IF(H642&lt;&gt;"",VLOOKUP(H642,Ops!$F$2:'Ops'!$G$20,2,FALSE),"000000"),2)),2)</f>
        <v>9B</v>
      </c>
      <c r="Q642" s="26" t="str" cm="1">
        <f t="array" ref="Q642">BIN2HEX(_xlfn.IFS(D642="HWINTEN","10",G642="KeyAck","01",G642="InitLp8","01",TRUE,"00")&amp;IF(OR(Ops!$O$2:'Ops'!$O$13=K642),VLOOKUP(K642,Ops!$O$2:'Ops'!$P$13,2,FALSE),"000")&amp;IF(E642&lt;&gt;"",IF(LEN(_xlfn.XLOOKUP($E642,$C$5:$C$681,$B$5:$B$681,0))=3,HEX2BIN(LEFT(_xlfn.XLOOKUP($E642,$C$5:$C$681,$B$5:$B$681,0),1),3),IF(OR(Ops!$L$2:'Ops'!$L$11=J642),VLOOKUP(J642,Ops!$L$2:'Ops'!$M$11,2,FALSE),"000")),IF(OR(Ops!$L$2:'Ops'!$L$11=J642),VLOOKUP(J642,Ops!$L$2:'Ops'!$M$11,2,FALSE),"000")),2)</f>
        <v>07</v>
      </c>
      <c r="R642" s="27"/>
      <c r="S642" s="4" t="s">
        <v>672</v>
      </c>
      <c r="Z642" s="74" t="str">
        <f t="shared" si="194"/>
        <v>0x10,</v>
      </c>
      <c r="AA642" s="75" t="str">
        <f t="shared" si="195"/>
        <v>0x9B,</v>
      </c>
      <c r="AB642" s="75" t="str">
        <f t="shared" si="196"/>
        <v>0x07,</v>
      </c>
      <c r="AC642" s="76"/>
    </row>
    <row r="643" spans="1:29" x14ac:dyDescent="0.3">
      <c r="A643" s="79">
        <f t="shared" si="175"/>
        <v>1935</v>
      </c>
      <c r="B643" s="80" t="str">
        <f t="shared" si="193"/>
        <v>78F</v>
      </c>
      <c r="C643" s="4" t="s">
        <v>658</v>
      </c>
      <c r="D643" s="29" t="s">
        <v>251</v>
      </c>
      <c r="E643" s="4" t="s">
        <v>650</v>
      </c>
      <c r="F643" s="29"/>
      <c r="G643" s="24"/>
      <c r="H643" s="29"/>
      <c r="M643" s="14"/>
      <c r="N643" s="24"/>
      <c r="O643" s="26" t="str" cm="1">
        <f t="array" ref="O643">BIN2HEX(IF(I643&lt;&gt;"",VLOOKUP(I643,Ops!$I$2:'Ops'!$J$15,2,FALSE),IF(ISNUMBER(SEARCH("BR",D643)),"001","000"))&amp;IF(D643&lt;&gt;"",VLOOKUP(D643,Ops!$B$2:'Ops'!$C$23,2,FALSE),"0")&amp;_xlfn.IFS(ISNUMBER(SEARCH("BR",D643)),VLOOKUP(D643,Ops!$B$3:'Ops'!$D$22,3,FALSE),F643&lt;&gt;"",VLOOKUP(F643,Ops!$R$2:'Ops'!$S$11,2),L643&lt;&gt;"",VLOOKUP(L643,Ops!$R$2:'Ops'!$S$25,2,FALSE),TRUE,"0000"),2)</f>
        <v>3F</v>
      </c>
      <c r="P643" s="26" t="str">
        <f>RIGHT(IF($E643&lt;&gt;"",_xlfn.XLOOKUP($E643,$C$4:$C$681,$B$4:$B$681,"NO LABEL"),BIN2HEX(IF(N643="CarryEn","1","0")&amp;IF(M643="SubXY","1","0")&amp;IF(H643&lt;&gt;"",VLOOKUP(H643,Ops!$F$2:'Ops'!$G$20,2,FALSE),"000000"),2)),2)</f>
        <v>80</v>
      </c>
      <c r="Q643" s="26" t="str" cm="1">
        <f t="array" ref="Q643">BIN2HEX(_xlfn.IFS(D643="HWINTEN","10",G643="KeyAck","01",G643="InitLp8","01",TRUE,"00")&amp;IF(OR(Ops!$O$2:'Ops'!$O$13=K643),VLOOKUP(K643,Ops!$O$2:'Ops'!$P$13,2,FALSE),"000")&amp;IF(E643&lt;&gt;"",IF(LEN(_xlfn.XLOOKUP($E643,$C$5:$C$681,$B$5:$B$681,0))=3,HEX2BIN(LEFT(_xlfn.XLOOKUP($E643,$C$5:$C$681,$B$5:$B$681,0),1),3),IF(OR(Ops!$L$2:'Ops'!$L$11=J643),VLOOKUP(J643,Ops!$L$2:'Ops'!$M$11,2,FALSE),"000")),IF(OR(Ops!$L$2:'Ops'!$L$11=J643),VLOOKUP(J643,Ops!$L$2:'Ops'!$M$11,2,FALSE),"000")),2)</f>
        <v>07</v>
      </c>
      <c r="R643" s="27"/>
      <c r="S643" s="4" t="s">
        <v>673</v>
      </c>
      <c r="Z643" s="74" t="str">
        <f t="shared" si="194"/>
        <v>0x3F,</v>
      </c>
      <c r="AA643" s="75" t="str">
        <f t="shared" si="195"/>
        <v>0x80,</v>
      </c>
      <c r="AB643" s="75" t="str">
        <f t="shared" si="196"/>
        <v>0x07,</v>
      </c>
      <c r="AC643" s="76"/>
    </row>
    <row r="644" spans="1:29" x14ac:dyDescent="0.3">
      <c r="A644" s="79">
        <f t="shared" si="175"/>
        <v>1938</v>
      </c>
      <c r="B644" s="80" t="str">
        <f>DEC2HEX(A644)</f>
        <v>792</v>
      </c>
      <c r="D644" s="29"/>
      <c r="F644" s="29"/>
      <c r="G644" s="24"/>
      <c r="H644" s="29"/>
      <c r="J644" s="4" t="s">
        <v>61</v>
      </c>
      <c r="M644" s="14"/>
      <c r="N644" s="24"/>
      <c r="O644" s="26" t="str" cm="1">
        <f t="array" ref="O644">BIN2HEX(IF(I644&lt;&gt;"",VLOOKUP(I644,Ops!$I$2:'Ops'!$J$15,2,FALSE),IF(ISNUMBER(SEARCH("BR",D644)),"001","000"))&amp;IF(D644&lt;&gt;"",VLOOKUP(D644,Ops!$B$2:'Ops'!$C$23,2,FALSE),"0")&amp;_xlfn.IFS(ISNUMBER(SEARCH("BR",D644)),VLOOKUP(D644,Ops!$B$3:'Ops'!$D$22,3,FALSE),F644&lt;&gt;"",VLOOKUP(F644,Ops!$R$2:'Ops'!$S$11,2),L644&lt;&gt;"",VLOOKUP(L644,Ops!$R$2:'Ops'!$S$25,2,FALSE),TRUE,"0000"),2)</f>
        <v>00</v>
      </c>
      <c r="P644" s="26" t="str">
        <f>RIGHT(IF($E644&lt;&gt;"",_xlfn.XLOOKUP($E644,$C$4:$C$681,$B$4:$B$681,"NO LABEL"),BIN2HEX(IF(N644="CarryEn","1","0")&amp;IF(M644="SubXY","1","0")&amp;IF(H644&lt;&gt;"",VLOOKUP(H644,Ops!$F$2:'Ops'!$G$20,2,FALSE),"000000"),2)),2)</f>
        <v>00</v>
      </c>
      <c r="Q644" s="26" t="str" cm="1">
        <f t="array" ref="Q644">BIN2HEX(_xlfn.IFS(D644="HWINTEN","10",G644="KeyAck","01",G644="InitLp8","01",TRUE,"00")&amp;IF(OR(Ops!$O$2:'Ops'!$O$13=K644),VLOOKUP(K644,Ops!$O$2:'Ops'!$P$13,2,FALSE),"000")&amp;IF(E644&lt;&gt;"",IF(LEN(_xlfn.XLOOKUP($E644,$C$5:$C$681,$B$5:$B$681,0))=3,HEX2BIN(LEFT(_xlfn.XLOOKUP($E644,$C$5:$C$681,$B$5:$B$681,0),1),3),IF(OR(Ops!$L$2:'Ops'!$L$11=J644),VLOOKUP(J644,Ops!$L$2:'Ops'!$M$11,2,FALSE),"000")),IF(OR(Ops!$L$2:'Ops'!$L$11=J644),VLOOKUP(J644,Ops!$L$2:'Ops'!$M$11,2,FALSE),"000")),2)</f>
        <v>02</v>
      </c>
      <c r="R644" s="27"/>
      <c r="S644" s="4" t="s">
        <v>674</v>
      </c>
      <c r="Z644" s="74" t="str">
        <f t="shared" si="194"/>
        <v>0x00,</v>
      </c>
      <c r="AA644" s="75" t="str">
        <f t="shared" si="195"/>
        <v>0x00,</v>
      </c>
      <c r="AB644" s="75" t="str">
        <f t="shared" si="196"/>
        <v>0x02,</v>
      </c>
      <c r="AC644" s="76"/>
    </row>
    <row r="645" spans="1:29" x14ac:dyDescent="0.3">
      <c r="A645" s="79">
        <f t="shared" si="175"/>
        <v>1941</v>
      </c>
      <c r="B645" s="80" t="str">
        <f>DEC2HEX(A645)</f>
        <v>795</v>
      </c>
      <c r="D645" s="29"/>
      <c r="F645" s="29"/>
      <c r="G645" s="24"/>
      <c r="H645" s="29"/>
      <c r="J645" s="4" t="s">
        <v>421</v>
      </c>
      <c r="K645" s="4" t="s">
        <v>424</v>
      </c>
      <c r="L645" s="4" t="s">
        <v>423</v>
      </c>
      <c r="M645" s="14"/>
      <c r="N645" s="24"/>
      <c r="O645" s="26" t="str" cm="1">
        <f t="array" ref="O645">BIN2HEX(IF(I645&lt;&gt;"",VLOOKUP(I645,Ops!$I$2:'Ops'!$J$15,2,FALSE),IF(ISNUMBER(SEARCH("BR",D645)),"001","000"))&amp;IF(D645&lt;&gt;"",VLOOKUP(D645,Ops!$B$2:'Ops'!$C$23,2,FALSE),"0")&amp;_xlfn.IFS(ISNUMBER(SEARCH("BR",D645)),VLOOKUP(D645,Ops!$B$3:'Ops'!$D$22,3,FALSE),F645&lt;&gt;"",VLOOKUP(F645,Ops!$R$2:'Ops'!$S$11,2),L645&lt;&gt;"",VLOOKUP(L645,Ops!$R$2:'Ops'!$S$25,2,FALSE),TRUE,"0000"),2)</f>
        <v>03</v>
      </c>
      <c r="P645" s="26" t="str">
        <f>RIGHT(IF($E645&lt;&gt;"",_xlfn.XLOOKUP($E645,$C$4:$C$681,$B$4:$B$681,"NO LABEL"),BIN2HEX(IF(N645="CarryEn","1","0")&amp;IF(M645="SubXY","1","0")&amp;IF(H645&lt;&gt;"",VLOOKUP(H645,Ops!$F$2:'Ops'!$G$20,2,FALSE),"000000"),2)),2)</f>
        <v>00</v>
      </c>
      <c r="Q645" s="26" t="str" cm="1">
        <f t="array" ref="Q645">BIN2HEX(_xlfn.IFS(D645="HWINTEN","10",G645="KeyAck","01",G645="InitLp8","01",TRUE,"00")&amp;IF(OR(Ops!$O$2:'Ops'!$O$13=K645),VLOOKUP(K645,Ops!$O$2:'Ops'!$P$13,2,FALSE),"000")&amp;IF(E645&lt;&gt;"",IF(LEN(_xlfn.XLOOKUP($E645,$C$5:$C$681,$B$5:$B$681,0))=3,HEX2BIN(LEFT(_xlfn.XLOOKUP($E645,$C$5:$C$681,$B$5:$B$681,0),1),3),IF(OR(Ops!$L$2:'Ops'!$L$11=J645),VLOOKUP(J645,Ops!$L$2:'Ops'!$M$11,2,FALSE),"000")),IF(OR(Ops!$L$2:'Ops'!$L$11=J645),VLOOKUP(J645,Ops!$L$2:'Ops'!$M$11,2,FALSE),"000")),2)</f>
        <v>03</v>
      </c>
      <c r="R645" s="27"/>
      <c r="S645" s="4" t="s">
        <v>660</v>
      </c>
      <c r="Z645" s="74" t="str">
        <f t="shared" si="194"/>
        <v>0x03,</v>
      </c>
      <c r="AA645" s="75" t="str">
        <f t="shared" si="195"/>
        <v>0x00,</v>
      </c>
      <c r="AB645" s="75" t="str">
        <f t="shared" si="196"/>
        <v>0x03,</v>
      </c>
      <c r="AC645" s="76"/>
    </row>
    <row r="646" spans="1:29" x14ac:dyDescent="0.3">
      <c r="A646" s="79">
        <f t="shared" si="175"/>
        <v>1944</v>
      </c>
      <c r="B646" s="80" t="str">
        <f>DEC2HEX(A646)</f>
        <v>798</v>
      </c>
      <c r="D646" s="29" t="s">
        <v>0</v>
      </c>
      <c r="E646" s="4" t="s">
        <v>642</v>
      </c>
      <c r="F646" s="29"/>
      <c r="G646" s="24"/>
      <c r="H646" s="29"/>
      <c r="M646" s="14"/>
      <c r="N646" s="24"/>
      <c r="O646" s="26" t="str" cm="1">
        <f t="array" ref="O646">BIN2HEX(IF(I646&lt;&gt;"",VLOOKUP(I646,Ops!$I$2:'Ops'!$J$15,2,FALSE),IF(ISNUMBER(SEARCH("BR",D646)),"001","000"))&amp;IF(D646&lt;&gt;"",VLOOKUP(D646,Ops!$B$2:'Ops'!$C$23,2,FALSE),"0")&amp;_xlfn.IFS(ISNUMBER(SEARCH("BR",D646)),VLOOKUP(D646,Ops!$B$3:'Ops'!$D$22,3,FALSE),F646&lt;&gt;"",VLOOKUP(F646,Ops!$R$2:'Ops'!$S$11,2),L646&lt;&gt;"",VLOOKUP(L646,Ops!$R$2:'Ops'!$S$25,2,FALSE),TRUE,"0000"),2)</f>
        <v>10</v>
      </c>
      <c r="P646" s="26" t="str">
        <f>RIGHT(IF($E646&lt;&gt;"",_xlfn.XLOOKUP($E646,$C$4:$C$681,$B$4:$B$681,"NO LABEL"),BIN2HEX(IF(N646="CarryEn","1","0")&amp;IF(M646="SubXY","1","0")&amp;IF(H646&lt;&gt;"",VLOOKUP(H646,Ops!$F$2:'Ops'!$G$20,2,FALSE),"000000"),2)),2)</f>
        <v>AD</v>
      </c>
      <c r="Q646" s="26" t="str" cm="1">
        <f t="array" ref="Q646">BIN2HEX(_xlfn.IFS(D646="HWINTEN","10",G646="KeyAck","01",G646="InitLp8","01",TRUE,"00")&amp;IF(OR(Ops!$O$2:'Ops'!$O$13=K646),VLOOKUP(K646,Ops!$O$2:'Ops'!$P$13,2,FALSE),"000")&amp;IF(E646&lt;&gt;"",IF(LEN(_xlfn.XLOOKUP($E646,$C$5:$C$681,$B$5:$B$681,0))=3,HEX2BIN(LEFT(_xlfn.XLOOKUP($E646,$C$5:$C$681,$B$5:$B$681,0),1),3),IF(OR(Ops!$L$2:'Ops'!$L$11=J646),VLOOKUP(J646,Ops!$L$2:'Ops'!$M$11,2,FALSE),"000")),IF(OR(Ops!$L$2:'Ops'!$L$11=J646),VLOOKUP(J646,Ops!$L$2:'Ops'!$M$11,2,FALSE),"000")),2)</f>
        <v>07</v>
      </c>
      <c r="R646" s="27"/>
      <c r="S646" s="4" t="s">
        <v>659</v>
      </c>
      <c r="Z646" s="74" t="str">
        <f t="shared" si="194"/>
        <v>0x10,</v>
      </c>
      <c r="AA646" s="75" t="str">
        <f t="shared" si="195"/>
        <v>0xAD,</v>
      </c>
      <c r="AB646" s="75" t="str">
        <f t="shared" si="196"/>
        <v>0x07,</v>
      </c>
      <c r="AC646" s="76"/>
    </row>
    <row r="647" spans="1:29" x14ac:dyDescent="0.3">
      <c r="A647" s="79">
        <f t="shared" si="175"/>
        <v>1947</v>
      </c>
      <c r="B647" s="80" t="str">
        <f>DEC2HEX(A647)</f>
        <v>79B</v>
      </c>
      <c r="C647" s="4" t="s">
        <v>653</v>
      </c>
      <c r="D647" s="29"/>
      <c r="F647" s="29"/>
      <c r="G647" s="24" t="s">
        <v>692</v>
      </c>
      <c r="H647" s="29"/>
      <c r="M647" s="14"/>
      <c r="N647" s="24"/>
      <c r="O647" s="26" t="str" cm="1">
        <f t="array" ref="O647">BIN2HEX(IF(I647&lt;&gt;"",VLOOKUP(I647,Ops!$I$2:'Ops'!$J$15,2,FALSE),IF(ISNUMBER(SEARCH("BR",D647)),"001","000"))&amp;IF(D647&lt;&gt;"",VLOOKUP(D647,Ops!$B$2:'Ops'!$C$23,2,FALSE),"0")&amp;_xlfn.IFS(ISNUMBER(SEARCH("BR",D647)),VLOOKUP(D647,Ops!$B$3:'Ops'!$D$22,3,FALSE),F647&lt;&gt;"",VLOOKUP(F647,Ops!$R$2:'Ops'!$S$11,2),L647&lt;&gt;"",VLOOKUP(L647,Ops!$R$2:'Ops'!$S$25,2,FALSE),TRUE,"0000"),2)</f>
        <v>00</v>
      </c>
      <c r="P647" s="26" t="str">
        <f>RIGHT(IF($E647&lt;&gt;"",_xlfn.XLOOKUP($E647,$C$4:$C$681,$B$4:$B$681,"NO LABEL"),BIN2HEX(IF(N647="CarryEn","1","0")&amp;IF(M647="SubXY","1","0")&amp;IF(H647&lt;&gt;"",VLOOKUP(H647,Ops!$F$2:'Ops'!$G$20,2,FALSE),"000000"),2)),2)</f>
        <v>00</v>
      </c>
      <c r="Q647" s="26" t="str" cm="1">
        <f t="array" ref="Q647">BIN2HEX(_xlfn.IFS(D647="HWINTEN","10",G647="KeyAck","01",G647="InitLp8","01",TRUE,"00")&amp;IF(OR(Ops!$O$2:'Ops'!$O$13=K647),VLOOKUP(K647,Ops!$O$2:'Ops'!$P$13,2,FALSE),"000")&amp;IF(E647&lt;&gt;"",IF(LEN(_xlfn.XLOOKUP($E647,$C$5:$C$681,$B$5:$B$681,0))=3,HEX2BIN(LEFT(_xlfn.XLOOKUP($E647,$C$5:$C$681,$B$5:$B$681,0),1),3),IF(OR(Ops!$L$2:'Ops'!$L$11=J647),VLOOKUP(J647,Ops!$L$2:'Ops'!$M$11,2,FALSE),"000")),IF(OR(Ops!$L$2:'Ops'!$L$11=J647),VLOOKUP(J647,Ops!$L$2:'Ops'!$M$11,2,FALSE),"000")),2)</f>
        <v>40</v>
      </c>
      <c r="R647" s="27"/>
      <c r="S647" s="4" t="s">
        <v>675</v>
      </c>
      <c r="Z647" s="74" t="str">
        <f t="shared" si="194"/>
        <v>0x00,</v>
      </c>
      <c r="AA647" s="75" t="str">
        <f t="shared" si="195"/>
        <v>0x00,</v>
      </c>
      <c r="AB647" s="75" t="str">
        <f t="shared" si="196"/>
        <v>0x40,</v>
      </c>
      <c r="AC647" s="76"/>
    </row>
    <row r="648" spans="1:29" x14ac:dyDescent="0.3">
      <c r="A648" s="79">
        <f t="shared" si="175"/>
        <v>1950</v>
      </c>
      <c r="B648" s="80" t="str">
        <f t="shared" si="193"/>
        <v>79E</v>
      </c>
      <c r="D648" s="29" t="s">
        <v>251</v>
      </c>
      <c r="E648" s="4" t="s">
        <v>652</v>
      </c>
      <c r="F648" s="29"/>
      <c r="G648" s="24"/>
      <c r="H648" s="29"/>
      <c r="M648" s="14"/>
      <c r="N648" s="24"/>
      <c r="O648" s="26" t="str" cm="1">
        <f t="array" ref="O648">BIN2HEX(IF(I648&lt;&gt;"",VLOOKUP(I648,Ops!$I$2:'Ops'!$J$15,2,FALSE),IF(ISNUMBER(SEARCH("BR",D648)),"001","000"))&amp;IF(D648&lt;&gt;"",VLOOKUP(D648,Ops!$B$2:'Ops'!$C$23,2,FALSE),"0")&amp;_xlfn.IFS(ISNUMBER(SEARCH("BR",D648)),VLOOKUP(D648,Ops!$B$3:'Ops'!$D$22,3,FALSE),F648&lt;&gt;"",VLOOKUP(F648,Ops!$R$2:'Ops'!$S$11,2),L648&lt;&gt;"",VLOOKUP(L648,Ops!$R$2:'Ops'!$S$25,2,FALSE),TRUE,"0000"),2)</f>
        <v>3F</v>
      </c>
      <c r="P648" s="26" t="str">
        <f>RIGHT(IF($E648&lt;&gt;"",_xlfn.XLOOKUP($E648,$C$4:$C$681,$B$4:$B$681,"NO LABEL"),BIN2HEX(IF(N648="CarryEn","1","0")&amp;IF(M648="SubXY","1","0")&amp;IF(H648&lt;&gt;"",VLOOKUP(H648,Ops!$F$2:'Ops'!$G$20,2,FALSE),"000000"),2)),2)</f>
        <v>A1</v>
      </c>
      <c r="Q648" s="26" t="str" cm="1">
        <f t="array" ref="Q648">BIN2HEX(_xlfn.IFS(D648="HWINTEN","10",G648="KeyAck","01",G648="InitLp8","01",TRUE,"00")&amp;IF(OR(Ops!$O$2:'Ops'!$O$13=K648),VLOOKUP(K648,Ops!$O$2:'Ops'!$P$13,2,FALSE),"000")&amp;IF(E648&lt;&gt;"",IF(LEN(_xlfn.XLOOKUP($E648,$C$5:$C$681,$B$5:$B$681,0))=3,HEX2BIN(LEFT(_xlfn.XLOOKUP($E648,$C$5:$C$681,$B$5:$B$681,0),1),3),IF(OR(Ops!$L$2:'Ops'!$L$11=J648),VLOOKUP(J648,Ops!$L$2:'Ops'!$M$11,2,FALSE),"000")),IF(OR(Ops!$L$2:'Ops'!$L$11=J648),VLOOKUP(J648,Ops!$L$2:'Ops'!$M$11,2,FALSE),"000")),2)</f>
        <v>07</v>
      </c>
      <c r="R648" s="27"/>
      <c r="Z648" s="74" t="str">
        <f t="shared" si="194"/>
        <v>0x3F,</v>
      </c>
      <c r="AA648" s="75" t="str">
        <f t="shared" si="195"/>
        <v>0xA1,</v>
      </c>
      <c r="AB648" s="75" t="str">
        <f t="shared" si="196"/>
        <v>0x07,</v>
      </c>
      <c r="AC648" s="76"/>
    </row>
    <row r="649" spans="1:29" x14ac:dyDescent="0.3">
      <c r="A649" s="79">
        <f t="shared" si="175"/>
        <v>1953</v>
      </c>
      <c r="B649" s="80" t="str">
        <f t="shared" si="193"/>
        <v>7A1</v>
      </c>
      <c r="C649" s="4" t="s">
        <v>652</v>
      </c>
      <c r="D649" s="29"/>
      <c r="F649" s="29"/>
      <c r="G649" s="24"/>
      <c r="H649" s="29" t="s">
        <v>68</v>
      </c>
      <c r="I649" s="4" t="s">
        <v>478</v>
      </c>
      <c r="J649" s="4" t="s">
        <v>474</v>
      </c>
      <c r="K649" s="4" t="s">
        <v>469</v>
      </c>
      <c r="M649" s="14"/>
      <c r="N649" s="24"/>
      <c r="O649" s="26" t="str" cm="1">
        <f t="array" ref="O649">BIN2HEX(IF(I649&lt;&gt;"",VLOOKUP(I649,Ops!$I$2:'Ops'!$J$15,2,FALSE),IF(ISNUMBER(SEARCH("BR",D649)),"001","000"))&amp;IF(D649&lt;&gt;"",VLOOKUP(D649,Ops!$B$2:'Ops'!$C$23,2,FALSE),"0")&amp;_xlfn.IFS(ISNUMBER(SEARCH("BR",D649)),VLOOKUP(D649,Ops!$B$3:'Ops'!$D$22,3,FALSE),F649&lt;&gt;"",VLOOKUP(F649,Ops!$R$2:'Ops'!$S$11,2),L649&lt;&gt;"",VLOOKUP(L649,Ops!$R$2:'Ops'!$S$25,2,FALSE),TRUE,"0000"),2)</f>
        <v>20</v>
      </c>
      <c r="P649" s="26" t="str">
        <f>RIGHT(IF($E649&lt;&gt;"",_xlfn.XLOOKUP($E649,$C$4:$C$681,$B$4:$B$681,"NO LABEL"),BIN2HEX(IF(N649="CarryEn","1","0")&amp;IF(M649="SubXY","1","0")&amp;IF(H649&lt;&gt;"",VLOOKUP(H649,Ops!$F$2:'Ops'!$G$20,2,FALSE),"000000"),2)),2)</f>
        <v>05</v>
      </c>
      <c r="Q649" s="26" t="str" cm="1">
        <f t="array" ref="Q649">BIN2HEX(_xlfn.IFS(D649="HWINTEN","10",G649="KeyAck","01",G649="InitLp8","01",TRUE,"00")&amp;IF(OR(Ops!$O$2:'Ops'!$O$13=K649),VLOOKUP(K649,Ops!$O$2:'Ops'!$P$13,2,FALSE),"000")&amp;IF(E649&lt;&gt;"",IF(LEN(_xlfn.XLOOKUP($E649,$C$5:$C$681,$B$5:$B$681,0))=3,HEX2BIN(LEFT(_xlfn.XLOOKUP($E649,$C$5:$C$681,$B$5:$B$681,0),1),3),IF(OR(Ops!$L$2:'Ops'!$L$11=J649),VLOOKUP(J649,Ops!$L$2:'Ops'!$M$11,2,FALSE),"000")),IF(OR(Ops!$L$2:'Ops'!$L$11=J649),VLOOKUP(J649,Ops!$L$2:'Ops'!$M$11,2,FALSE),"000")),2)</f>
        <v>2C</v>
      </c>
      <c r="R649" s="27"/>
      <c r="S649" s="4" t="s">
        <v>676</v>
      </c>
      <c r="Z649" s="74" t="str">
        <f t="shared" si="194"/>
        <v>0x20,</v>
      </c>
      <c r="AA649" s="75" t="str">
        <f t="shared" si="195"/>
        <v>0x05,</v>
      </c>
      <c r="AB649" s="75" t="str">
        <f t="shared" si="196"/>
        <v>0x2C,</v>
      </c>
      <c r="AC649" s="76"/>
    </row>
    <row r="650" spans="1:29" x14ac:dyDescent="0.3">
      <c r="A650" s="79">
        <f t="shared" si="175"/>
        <v>1956</v>
      </c>
      <c r="B650" s="80" t="str">
        <f t="shared" ref="B650:B657" si="197">DEC2HEX(A650)</f>
        <v>7A4</v>
      </c>
      <c r="D650" s="29" t="s">
        <v>251</v>
      </c>
      <c r="E650" s="4" t="s">
        <v>652</v>
      </c>
      <c r="F650" s="29"/>
      <c r="G650" s="24"/>
      <c r="H650" s="29"/>
      <c r="M650" s="14"/>
      <c r="N650" s="24"/>
      <c r="O650" s="26" t="str" cm="1">
        <f t="array" ref="O650">BIN2HEX(IF(I650&lt;&gt;"",VLOOKUP(I650,Ops!$I$2:'Ops'!$J$15,2,FALSE),IF(ISNUMBER(SEARCH("BR",D650)),"001","000"))&amp;IF(D650&lt;&gt;"",VLOOKUP(D650,Ops!$B$2:'Ops'!$C$23,2,FALSE),"0")&amp;_xlfn.IFS(ISNUMBER(SEARCH("BR",D650)),VLOOKUP(D650,Ops!$B$3:'Ops'!$D$22,3,FALSE),F650&lt;&gt;"",VLOOKUP(F650,Ops!$R$2:'Ops'!$S$11,2),L650&lt;&gt;"",VLOOKUP(L650,Ops!$R$2:'Ops'!$S$25,2,FALSE),TRUE,"0000"),2)</f>
        <v>3F</v>
      </c>
      <c r="P650" s="26" t="str">
        <f>RIGHT(IF($E650&lt;&gt;"",_xlfn.XLOOKUP($E650,$C$4:$C$681,$B$4:$B$681,"NO LABEL"),BIN2HEX(IF(N650="CarryEn","1","0")&amp;IF(M650="SubXY","1","0")&amp;IF(H650&lt;&gt;"",VLOOKUP(H650,Ops!$F$2:'Ops'!$G$20,2,FALSE),"000000"),2)),2)</f>
        <v>A1</v>
      </c>
      <c r="Q650" s="26" t="str" cm="1">
        <f t="array" ref="Q650">BIN2HEX(_xlfn.IFS(D650="HWINTEN","10",G650="KeyAck","01",G650="InitLp8","01",TRUE,"00")&amp;IF(OR(Ops!$O$2:'Ops'!$O$13=K650),VLOOKUP(K650,Ops!$O$2:'Ops'!$P$13,2,FALSE),"000")&amp;IF(E650&lt;&gt;"",IF(LEN(_xlfn.XLOOKUP($E650,$C$5:$C$681,$B$5:$B$681,0))=3,HEX2BIN(LEFT(_xlfn.XLOOKUP($E650,$C$5:$C$681,$B$5:$B$681,0),1),3),IF(OR(Ops!$L$2:'Ops'!$L$11=J650),VLOOKUP(J650,Ops!$L$2:'Ops'!$M$11,2,FALSE),"000")),IF(OR(Ops!$L$2:'Ops'!$L$11=J650),VLOOKUP(J650,Ops!$L$2:'Ops'!$M$11,2,FALSE),"000")),2)</f>
        <v>07</v>
      </c>
      <c r="R650" s="27"/>
      <c r="S650" s="4" t="s">
        <v>673</v>
      </c>
      <c r="Z650" s="74" t="str">
        <f t="shared" si="194"/>
        <v>0x3F,</v>
      </c>
      <c r="AA650" s="75" t="str">
        <f t="shared" si="195"/>
        <v>0xA1,</v>
      </c>
      <c r="AB650" s="75" t="str">
        <f t="shared" si="196"/>
        <v>0x07,</v>
      </c>
      <c r="AC650" s="76"/>
    </row>
    <row r="651" spans="1:29" x14ac:dyDescent="0.3">
      <c r="A651" s="79">
        <f t="shared" si="175"/>
        <v>1959</v>
      </c>
      <c r="B651" s="80" t="str">
        <f t="shared" si="197"/>
        <v>7A7</v>
      </c>
      <c r="D651" s="29"/>
      <c r="F651" s="29"/>
      <c r="G651" s="24"/>
      <c r="H651" s="29"/>
      <c r="J651" s="4" t="s">
        <v>519</v>
      </c>
      <c r="M651" s="14"/>
      <c r="N651" s="24"/>
      <c r="O651" s="26" t="str" cm="1">
        <f t="array" ref="O651">BIN2HEX(IF(I651&lt;&gt;"",VLOOKUP(I651,Ops!$I$2:'Ops'!$J$15,2,FALSE),IF(ISNUMBER(SEARCH("BR",D651)),"001","000"))&amp;IF(D651&lt;&gt;"",VLOOKUP(D651,Ops!$B$2:'Ops'!$C$23,2,FALSE),"0")&amp;_xlfn.IFS(ISNUMBER(SEARCH("BR",D651)),VLOOKUP(D651,Ops!$B$3:'Ops'!$D$22,3,FALSE),F651&lt;&gt;"",VLOOKUP(F651,Ops!$R$2:'Ops'!$S$11,2),L651&lt;&gt;"",VLOOKUP(L651,Ops!$R$2:'Ops'!$S$25,2,FALSE),TRUE,"0000"),2)</f>
        <v>00</v>
      </c>
      <c r="P651" s="26" t="str">
        <f>RIGHT(IF($E651&lt;&gt;"",_xlfn.XLOOKUP($E651,$C$4:$C$681,$B$4:$B$681,"NO LABEL"),BIN2HEX(IF(N651="CarryEn","1","0")&amp;IF(M651="SubXY","1","0")&amp;IF(H651&lt;&gt;"",VLOOKUP(H651,Ops!$F$2:'Ops'!$G$20,2,FALSE),"000000"),2)),2)</f>
        <v>00</v>
      </c>
      <c r="Q651" s="26" t="str" cm="1">
        <f t="array" ref="Q651">BIN2HEX(_xlfn.IFS(D651="HWINTEN","10",G651="KeyAck","01",G651="InitLp8","01",TRUE,"00")&amp;IF(OR(Ops!$O$2:'Ops'!$O$13=K651),VLOOKUP(K651,Ops!$O$2:'Ops'!$P$13,2,FALSE),"000")&amp;IF(E651&lt;&gt;"",IF(LEN(_xlfn.XLOOKUP($E651,$C$5:$C$681,$B$5:$B$681,0))=3,HEX2BIN(LEFT(_xlfn.XLOOKUP($E651,$C$5:$C$681,$B$5:$B$681,0),1),3),IF(OR(Ops!$L$2:'Ops'!$L$11=J651),VLOOKUP(J651,Ops!$L$2:'Ops'!$M$11,2,FALSE),"000")),IF(OR(Ops!$L$2:'Ops'!$L$11=J651),VLOOKUP(J651,Ops!$L$2:'Ops'!$M$11,2,FALSE),"000")),2)</f>
        <v>07</v>
      </c>
      <c r="R651" s="27"/>
      <c r="S651" s="4" t="s">
        <v>657</v>
      </c>
      <c r="Z651" s="74" t="str">
        <f t="shared" si="194"/>
        <v>0x00,</v>
      </c>
      <c r="AA651" s="75" t="str">
        <f t="shared" si="195"/>
        <v>0x00,</v>
      </c>
      <c r="AB651" s="75" t="str">
        <f t="shared" si="196"/>
        <v>0x07,</v>
      </c>
      <c r="AC651" s="76"/>
    </row>
    <row r="652" spans="1:29" x14ac:dyDescent="0.3">
      <c r="A652" s="79">
        <f t="shared" si="175"/>
        <v>1962</v>
      </c>
      <c r="B652" s="80" t="str">
        <f t="shared" si="197"/>
        <v>7AA</v>
      </c>
      <c r="D652" s="29"/>
      <c r="F652" s="29"/>
      <c r="G652" s="24"/>
      <c r="H652" s="29"/>
      <c r="J652" s="4" t="s">
        <v>421</v>
      </c>
      <c r="K652" s="4" t="s">
        <v>422</v>
      </c>
      <c r="L652" s="4" t="s">
        <v>428</v>
      </c>
      <c r="M652" s="14"/>
      <c r="N652" s="24"/>
      <c r="O652" s="26" t="str" cm="1">
        <f t="array" ref="O652">BIN2HEX(IF(I652&lt;&gt;"",VLOOKUP(I652,Ops!$I$2:'Ops'!$J$15,2,FALSE),IF(ISNUMBER(SEARCH("BR",D652)),"001","000"))&amp;IF(D652&lt;&gt;"",VLOOKUP(D652,Ops!$B$2:'Ops'!$C$23,2,FALSE),"0")&amp;_xlfn.IFS(ISNUMBER(SEARCH("BR",D652)),VLOOKUP(D652,Ops!$B$3:'Ops'!$D$22,3,FALSE),F652&lt;&gt;"",VLOOKUP(F652,Ops!$R$2:'Ops'!$S$11,2),L652&lt;&gt;"",VLOOKUP(L652,Ops!$R$2:'Ops'!$S$25,2,FALSE),TRUE,"0000"),2)</f>
        <v>05</v>
      </c>
      <c r="P652" s="26" t="str">
        <f>RIGHT(IF($E652&lt;&gt;"",_xlfn.XLOOKUP($E652,$C$4:$C$681,$B$4:$B$681,"NO LABEL"),BIN2HEX(IF(N652="CarryEn","1","0")&amp;IF(M652="SubXY","1","0")&amp;IF(H652&lt;&gt;"",VLOOKUP(H652,Ops!$F$2:'Ops'!$G$20,2,FALSE),"000000"),2)),2)</f>
        <v>00</v>
      </c>
      <c r="Q652" s="26" t="str" cm="1">
        <f t="array" ref="Q652">BIN2HEX(_xlfn.IFS(D652="HWINTEN","10",G652="KeyAck","01",G652="InitLp8","01",TRUE,"00")&amp;IF(OR(Ops!$O$2:'Ops'!$O$13=K652),VLOOKUP(K652,Ops!$O$2:'Ops'!$P$13,2,FALSE),"000")&amp;IF(E652&lt;&gt;"",IF(LEN(_xlfn.XLOOKUP($E652,$C$5:$C$681,$B$5:$B$681,0))=3,HEX2BIN(LEFT(_xlfn.XLOOKUP($E652,$C$5:$C$681,$B$5:$B$681,0),1),3),IF(OR(Ops!$L$2:'Ops'!$L$11=J652),VLOOKUP(J652,Ops!$L$2:'Ops'!$M$11,2,FALSE),"000")),IF(OR(Ops!$L$2:'Ops'!$L$11=J652),VLOOKUP(J652,Ops!$L$2:'Ops'!$M$11,2,FALSE),"000")),2)</f>
        <v>1B</v>
      </c>
      <c r="R652" s="27"/>
      <c r="S652" s="4" t="s">
        <v>677</v>
      </c>
      <c r="Z652" s="74" t="str">
        <f t="shared" si="194"/>
        <v>0x05,</v>
      </c>
      <c r="AA652" s="75" t="str">
        <f t="shared" si="195"/>
        <v>0x00,</v>
      </c>
      <c r="AB652" s="75" t="str">
        <f t="shared" si="196"/>
        <v>0x1B,</v>
      </c>
      <c r="AC652" s="76"/>
    </row>
    <row r="653" spans="1:29" x14ac:dyDescent="0.3">
      <c r="A653" s="79">
        <f t="shared" si="175"/>
        <v>1965</v>
      </c>
      <c r="B653" s="80" t="str">
        <f t="shared" si="197"/>
        <v>7AD</v>
      </c>
      <c r="C653" s="4" t="s">
        <v>642</v>
      </c>
      <c r="D653" s="29"/>
      <c r="F653" s="29"/>
      <c r="G653" s="24"/>
      <c r="H653" s="29"/>
      <c r="I653" s="4" t="s">
        <v>290</v>
      </c>
      <c r="K653" s="4" t="s">
        <v>480</v>
      </c>
      <c r="M653" s="14"/>
      <c r="N653" s="24"/>
      <c r="O653" s="26" t="str" cm="1">
        <f t="array" ref="O653">BIN2HEX(IF(I653&lt;&gt;"",VLOOKUP(I653,Ops!$I$2:'Ops'!$J$15,2,FALSE),IF(ISNUMBER(SEARCH("BR",D653)),"001","000"))&amp;IF(D653&lt;&gt;"",VLOOKUP(D653,Ops!$B$2:'Ops'!$C$23,2,FALSE),"0")&amp;_xlfn.IFS(ISNUMBER(SEARCH("BR",D653)),VLOOKUP(D653,Ops!$B$3:'Ops'!$D$22,3,FALSE),F653&lt;&gt;"",VLOOKUP(F653,Ops!$R$2:'Ops'!$S$11,2),L653&lt;&gt;"",VLOOKUP(L653,Ops!$R$2:'Ops'!$S$25,2,FALSE),TRUE,"0000"),2)</f>
        <v>40</v>
      </c>
      <c r="P653" s="26" t="str">
        <f>RIGHT(IF($E653&lt;&gt;"",_xlfn.XLOOKUP($E653,$C$4:$C$681,$B$4:$B$681,"NO LABEL"),BIN2HEX(IF(N653="CarryEn","1","0")&amp;IF(M653="SubXY","1","0")&amp;IF(H653&lt;&gt;"",VLOOKUP(H653,Ops!$F$2:'Ops'!$G$20,2,FALSE),"000000"),2)),2)</f>
        <v>00</v>
      </c>
      <c r="Q653" s="26" t="str" cm="1">
        <f t="array" ref="Q653">BIN2HEX(_xlfn.IFS(D653="HWINTEN","10",G653="KeyAck","01",G653="InitLp8","01",TRUE,"00")&amp;IF(OR(Ops!$O$2:'Ops'!$O$13=K653),VLOOKUP(K653,Ops!$O$2:'Ops'!$P$13,2,FALSE),"000")&amp;IF(E653&lt;&gt;"",IF(LEN(_xlfn.XLOOKUP($E653,$C$5:$C$681,$B$5:$B$681,0))=3,HEX2BIN(LEFT(_xlfn.XLOOKUP($E653,$C$5:$C$681,$B$5:$B$681,0),1),3),IF(OR(Ops!$L$2:'Ops'!$L$11=J653),VLOOKUP(J653,Ops!$L$2:'Ops'!$M$11,2,FALSE),"000")),IF(OR(Ops!$L$2:'Ops'!$L$11=J653),VLOOKUP(J653,Ops!$L$2:'Ops'!$M$11,2,FALSE),"000")),2)</f>
        <v>00</v>
      </c>
      <c r="R653" s="27"/>
      <c r="S653" s="4" t="s">
        <v>282</v>
      </c>
      <c r="Z653" s="74" t="str">
        <f t="shared" si="194"/>
        <v>0x40,</v>
      </c>
      <c r="AA653" s="75" t="str">
        <f t="shared" si="195"/>
        <v>0x00,</v>
      </c>
      <c r="AB653" s="75" t="str">
        <f t="shared" si="196"/>
        <v>0x00,</v>
      </c>
      <c r="AC653" s="76"/>
    </row>
    <row r="654" spans="1:29" x14ac:dyDescent="0.3">
      <c r="A654" s="79">
        <f t="shared" si="175"/>
        <v>1968</v>
      </c>
      <c r="B654" s="80" t="str">
        <f>DEC2HEX(A654)</f>
        <v>7B0</v>
      </c>
      <c r="D654" s="29" t="s">
        <v>64</v>
      </c>
      <c r="E654" s="4" t="s">
        <v>638</v>
      </c>
      <c r="F654" s="29"/>
      <c r="G654" s="24"/>
      <c r="H654" s="29"/>
      <c r="M654" s="14"/>
      <c r="N654" s="24"/>
      <c r="O654" s="26" t="str" cm="1">
        <f t="array" ref="O654">BIN2HEX(IF(I654&lt;&gt;"",VLOOKUP(I654,Ops!$I$2:'Ops'!$J$15,2,FALSE),IF(ISNUMBER(SEARCH("BR",D654)),"001","000"))&amp;IF(D654&lt;&gt;"",VLOOKUP(D654,Ops!$B$2:'Ops'!$C$23,2,FALSE),"0")&amp;_xlfn.IFS(ISNUMBER(SEARCH("BR",D654)),VLOOKUP(D654,Ops!$B$3:'Ops'!$D$22,3,FALSE),F654&lt;&gt;"",VLOOKUP(F654,Ops!$R$2:'Ops'!$S$11,2),L654&lt;&gt;"",VLOOKUP(L654,Ops!$R$2:'Ops'!$S$25,2,FALSE),TRUE,"0000"),2)</f>
        <v>34</v>
      </c>
      <c r="P654" s="26" t="str">
        <f>RIGHT(IF($E654&lt;&gt;"",_xlfn.XLOOKUP($E654,$C$4:$C$681,$B$4:$B$681,"NO LABEL"),BIN2HEX(IF(N654="CarryEn","1","0")&amp;IF(M654="SubXY","1","0")&amp;IF(H654&lt;&gt;"",VLOOKUP(H654,Ops!$F$2:'Ops'!$G$20,2,FALSE),"000000"),2)),2)</f>
        <v>B6</v>
      </c>
      <c r="Q654" s="26" t="str" cm="1">
        <f t="array" ref="Q654">BIN2HEX(_xlfn.IFS(D654="HWINTEN","10",G654="KeyAck","01",G654="InitLp8","01",TRUE,"00")&amp;IF(OR(Ops!$O$2:'Ops'!$O$13=K654),VLOOKUP(K654,Ops!$O$2:'Ops'!$P$13,2,FALSE),"000")&amp;IF(E654&lt;&gt;"",IF(LEN(_xlfn.XLOOKUP($E654,$C$5:$C$681,$B$5:$B$681,0))=3,HEX2BIN(LEFT(_xlfn.XLOOKUP($E654,$C$5:$C$681,$B$5:$B$681,0),1),3),IF(OR(Ops!$L$2:'Ops'!$L$11=J654),VLOOKUP(J654,Ops!$L$2:'Ops'!$M$11,2,FALSE),"000")),IF(OR(Ops!$L$2:'Ops'!$L$11=J654),VLOOKUP(J654,Ops!$L$2:'Ops'!$M$11,2,FALSE),"000")),2)</f>
        <v>07</v>
      </c>
      <c r="R654" s="27"/>
      <c r="S654" s="4" t="s">
        <v>678</v>
      </c>
      <c r="Z654" s="74" t="str">
        <f t="shared" si="194"/>
        <v>0x34,</v>
      </c>
      <c r="AA654" s="75" t="str">
        <f t="shared" si="195"/>
        <v>0xB6,</v>
      </c>
      <c r="AB654" s="75" t="str">
        <f t="shared" si="196"/>
        <v>0x07,</v>
      </c>
      <c r="AC654" s="76"/>
    </row>
    <row r="655" spans="1:29" x14ac:dyDescent="0.3">
      <c r="A655" s="79">
        <f t="shared" si="175"/>
        <v>1971</v>
      </c>
      <c r="B655" s="80" t="str">
        <f>DEC2HEX(A655)</f>
        <v>7B3</v>
      </c>
      <c r="D655" s="29" t="s">
        <v>0</v>
      </c>
      <c r="E655" s="4" t="s">
        <v>639</v>
      </c>
      <c r="F655" s="29"/>
      <c r="G655" s="24"/>
      <c r="H655" s="29"/>
      <c r="M655" s="14"/>
      <c r="N655" s="24"/>
      <c r="O655" s="26" t="str" cm="1">
        <f t="array" ref="O655">BIN2HEX(IF(I655&lt;&gt;"",VLOOKUP(I655,Ops!$I$2:'Ops'!$J$15,2,FALSE),IF(ISNUMBER(SEARCH("BR",D655)),"001","000"))&amp;IF(D655&lt;&gt;"",VLOOKUP(D655,Ops!$B$2:'Ops'!$C$23,2,FALSE),"0")&amp;_xlfn.IFS(ISNUMBER(SEARCH("BR",D655)),VLOOKUP(D655,Ops!$B$3:'Ops'!$D$22,3,FALSE),F655&lt;&gt;"",VLOOKUP(F655,Ops!$R$2:'Ops'!$S$11,2),L655&lt;&gt;"",VLOOKUP(L655,Ops!$R$2:'Ops'!$S$25,2,FALSE),TRUE,"0000"),2)</f>
        <v>10</v>
      </c>
      <c r="P655" s="26" t="str">
        <f>RIGHT(IF($E655&lt;&gt;"",_xlfn.XLOOKUP($E655,$C$4:$C$681,$B$4:$B$681,"NO LABEL"),BIN2HEX(IF(N655="CarryEn","1","0")&amp;IF(M655="SubXY","1","0")&amp;IF(H655&lt;&gt;"",VLOOKUP(H655,Ops!$F$2:'Ops'!$G$20,2,FALSE),"000000"),2)),2)</f>
        <v>B9</v>
      </c>
      <c r="Q655" s="26" t="str" cm="1">
        <f t="array" ref="Q655">BIN2HEX(_xlfn.IFS(D655="HWINTEN","10",G655="KeyAck","01",G655="InitLp8","01",TRUE,"00")&amp;IF(OR(Ops!$O$2:'Ops'!$O$13=K655),VLOOKUP(K655,Ops!$O$2:'Ops'!$P$13,2,FALSE),"000")&amp;IF(E655&lt;&gt;"",IF(LEN(_xlfn.XLOOKUP($E655,$C$5:$C$681,$B$5:$B$681,0))=3,HEX2BIN(LEFT(_xlfn.XLOOKUP($E655,$C$5:$C$681,$B$5:$B$681,0),1),3),IF(OR(Ops!$L$2:'Ops'!$L$11=J655),VLOOKUP(J655,Ops!$L$2:'Ops'!$M$11,2,FALSE),"000")),IF(OR(Ops!$L$2:'Ops'!$L$11=J655),VLOOKUP(J655,Ops!$L$2:'Ops'!$M$11,2,FALSE),"000")),2)</f>
        <v>07</v>
      </c>
      <c r="R655" s="27"/>
      <c r="S655" s="4" t="s">
        <v>679</v>
      </c>
      <c r="Z655" s="74" t="str">
        <f t="shared" si="194"/>
        <v>0x10,</v>
      </c>
      <c r="AA655" s="75" t="str">
        <f t="shared" si="195"/>
        <v>0xB9,</v>
      </c>
      <c r="AB655" s="75" t="str">
        <f t="shared" si="196"/>
        <v>0x07,</v>
      </c>
      <c r="AC655" s="76"/>
    </row>
    <row r="656" spans="1:29" x14ac:dyDescent="0.3">
      <c r="A656" s="79">
        <f t="shared" si="175"/>
        <v>1974</v>
      </c>
      <c r="B656" s="80" t="str">
        <f t="shared" si="197"/>
        <v>7B6</v>
      </c>
      <c r="C656" s="4" t="s">
        <v>638</v>
      </c>
      <c r="D656" s="29"/>
      <c r="F656" s="29"/>
      <c r="G656" s="24"/>
      <c r="H656" s="29"/>
      <c r="J656" s="4" t="s">
        <v>421</v>
      </c>
      <c r="K656" s="4" t="s">
        <v>422</v>
      </c>
      <c r="L656" s="4" t="s">
        <v>40</v>
      </c>
      <c r="M656" s="14"/>
      <c r="N656" s="24"/>
      <c r="O656" s="26" t="str" cm="1">
        <f t="array" ref="O656">BIN2HEX(IF(I656&lt;&gt;"",VLOOKUP(I656,Ops!$I$2:'Ops'!$J$15,2,FALSE),IF(ISNUMBER(SEARCH("BR",D656)),"001","000"))&amp;IF(D656&lt;&gt;"",VLOOKUP(D656,Ops!$B$2:'Ops'!$C$23,2,FALSE),"0")&amp;_xlfn.IFS(ISNUMBER(SEARCH("BR",D656)),VLOOKUP(D656,Ops!$B$3:'Ops'!$D$22,3,FALSE),F656&lt;&gt;"",VLOOKUP(F656,Ops!$R$2:'Ops'!$S$11,2),L656&lt;&gt;"",VLOOKUP(L656,Ops!$R$2:'Ops'!$S$25,2,FALSE),TRUE,"0000"),2)</f>
        <v>04</v>
      </c>
      <c r="P656" s="26" t="str">
        <f>RIGHT(IF($E656&lt;&gt;"",_xlfn.XLOOKUP($E656,$C$4:$C$681,$B$4:$B$681,"NO LABEL"),BIN2HEX(IF(N656="CarryEn","1","0")&amp;IF(M656="SubXY","1","0")&amp;IF(H656&lt;&gt;"",VLOOKUP(H656,Ops!$F$2:'Ops'!$G$20,2,FALSE),"000000"),2)),2)</f>
        <v>00</v>
      </c>
      <c r="Q656" s="26" t="str" cm="1">
        <f t="array" ref="Q656">BIN2HEX(_xlfn.IFS(D656="HWINTEN","10",G656="KeyAck","01",G656="InitLp8","01",TRUE,"00")&amp;IF(OR(Ops!$O$2:'Ops'!$O$13=K656),VLOOKUP(K656,Ops!$O$2:'Ops'!$P$13,2,FALSE),"000")&amp;IF(E656&lt;&gt;"",IF(LEN(_xlfn.XLOOKUP($E656,$C$5:$C$681,$B$5:$B$681,0))=3,HEX2BIN(LEFT(_xlfn.XLOOKUP($E656,$C$5:$C$681,$B$5:$B$681,0),1),3),IF(OR(Ops!$L$2:'Ops'!$L$11=J656),VLOOKUP(J656,Ops!$L$2:'Ops'!$M$11,2,FALSE),"000")),IF(OR(Ops!$L$2:'Ops'!$L$11=J656),VLOOKUP(J656,Ops!$L$2:'Ops'!$M$11,2,FALSE),"000")),2)</f>
        <v>1B</v>
      </c>
      <c r="R656" s="27"/>
      <c r="Z656" s="74" t="str">
        <f t="shared" si="194"/>
        <v>0x04,</v>
      </c>
      <c r="AA656" s="75" t="str">
        <f t="shared" si="195"/>
        <v>0x00,</v>
      </c>
      <c r="AB656" s="75" t="str">
        <f t="shared" si="196"/>
        <v>0x1B,</v>
      </c>
      <c r="AC656" s="76"/>
    </row>
    <row r="657" spans="1:29" x14ac:dyDescent="0.3">
      <c r="A657" s="79">
        <f t="shared" si="175"/>
        <v>1977</v>
      </c>
      <c r="B657" s="80" t="str">
        <f t="shared" si="197"/>
        <v>7B9</v>
      </c>
      <c r="C657" s="4" t="s">
        <v>639</v>
      </c>
      <c r="D657" s="29"/>
      <c r="F657" s="29"/>
      <c r="G657" s="24"/>
      <c r="H657" s="29"/>
      <c r="J657" s="56" t="s">
        <v>56</v>
      </c>
      <c r="M657" s="14"/>
      <c r="N657" s="24"/>
      <c r="O657" s="26" t="str" cm="1">
        <f t="array" ref="O657">BIN2HEX(IF(I657&lt;&gt;"",VLOOKUP(I657,Ops!$I$2:'Ops'!$J$15,2,FALSE),IF(ISNUMBER(SEARCH("BR",D657)),"001","000"))&amp;IF(D657&lt;&gt;"",VLOOKUP(D657,Ops!$B$2:'Ops'!$C$23,2,FALSE),"0")&amp;_xlfn.IFS(ISNUMBER(SEARCH("BR",D657)),VLOOKUP(D657,Ops!$B$3:'Ops'!$D$22,3,FALSE),F657&lt;&gt;"",VLOOKUP(F657,Ops!$R$2:'Ops'!$S$11,2),L657&lt;&gt;"",VLOOKUP(L657,Ops!$R$2:'Ops'!$S$25,2,FALSE),TRUE,"0000"),2)</f>
        <v>00</v>
      </c>
      <c r="P657" s="26" t="str">
        <f>RIGHT(IF($E657&lt;&gt;"",_xlfn.XLOOKUP($E657,$C$4:$C$681,$B$4:$B$681,"NO LABEL"),BIN2HEX(IF(N657="CarryEn","1","0")&amp;IF(M657="SubXY","1","0")&amp;IF(H657&lt;&gt;"",VLOOKUP(H657,Ops!$F$2:'Ops'!$G$20,2,FALSE),"000000"),2)),2)</f>
        <v>00</v>
      </c>
      <c r="Q657" s="26" t="str" cm="1">
        <f t="array" ref="Q657">BIN2HEX(_xlfn.IFS(D657="HWINTEN","10",G657="KeyAck","01",G657="InitLp8","01",TRUE,"00")&amp;IF(OR(Ops!$O$2:'Ops'!$O$13=K657),VLOOKUP(K657,Ops!$O$2:'Ops'!$P$13,2,FALSE),"000")&amp;IF(E657&lt;&gt;"",IF(LEN(_xlfn.XLOOKUP($E657,$C$5:$C$681,$B$5:$B$681,0))=3,HEX2BIN(LEFT(_xlfn.XLOOKUP($E657,$C$5:$C$681,$B$5:$B$681,0),1),3),IF(OR(Ops!$L$2:'Ops'!$L$11=J657),VLOOKUP(J657,Ops!$L$2:'Ops'!$M$11,2,FALSE),"000")),IF(OR(Ops!$L$2:'Ops'!$L$11=J657),VLOOKUP(J657,Ops!$L$2:'Ops'!$M$11,2,FALSE),"000")),2)</f>
        <v>05</v>
      </c>
      <c r="R657" s="27"/>
      <c r="S657" s="4" t="s">
        <v>668</v>
      </c>
      <c r="Z657" s="74" t="str">
        <f t="shared" si="194"/>
        <v>0x00,</v>
      </c>
      <c r="AA657" s="75" t="str">
        <f t="shared" si="195"/>
        <v>0x00,</v>
      </c>
      <c r="AB657" s="75" t="str">
        <f t="shared" si="196"/>
        <v>0x05,</v>
      </c>
      <c r="AC657" s="76"/>
    </row>
    <row r="658" spans="1:29" ht="15" thickBot="1" x14ac:dyDescent="0.35">
      <c r="A658" s="79">
        <f t="shared" si="175"/>
        <v>1980</v>
      </c>
      <c r="B658" s="80" t="str">
        <f t="shared" ref="B658:B677" si="198">DEC2HEX(A658)</f>
        <v>7BC</v>
      </c>
      <c r="D658" s="29" t="s">
        <v>0</v>
      </c>
      <c r="E658" s="4" t="s">
        <v>1</v>
      </c>
      <c r="F658" s="29"/>
      <c r="G658" s="24"/>
      <c r="H658" s="29"/>
      <c r="M658" s="14"/>
      <c r="N658" s="24"/>
      <c r="O658" s="26" t="str" cm="1">
        <f t="array" ref="O658">BIN2HEX(IF(I658&lt;&gt;"",VLOOKUP(I658,Ops!$I$2:'Ops'!$J$15,2,FALSE),IF(ISNUMBER(SEARCH("BR",D658)),"001","000"))&amp;IF(D658&lt;&gt;"",VLOOKUP(D658,Ops!$B$2:'Ops'!$C$23,2,FALSE),"0")&amp;_xlfn.IFS(ISNUMBER(SEARCH("BR",D658)),VLOOKUP(D658,Ops!$B$3:'Ops'!$D$22,3,FALSE),F658&lt;&gt;"",VLOOKUP(F658,Ops!$R$2:'Ops'!$S$11,2),L658&lt;&gt;"",VLOOKUP(L658,Ops!$R$2:'Ops'!$S$25,2,FALSE),TRUE,"0000"),2)</f>
        <v>10</v>
      </c>
      <c r="P658" s="26" t="str">
        <f>RIGHT(IF($E658&lt;&gt;"",_xlfn.XLOOKUP($E658,$C$4:$C$681,$B$4:$B$681,"NO LABEL"),BIN2HEX(IF(N658="CarryEn","1","0")&amp;IF(M658="SubXY","1","0")&amp;IF(H658&lt;&gt;"",VLOOKUP(H658,Ops!$F$2:'Ops'!$G$20,2,FALSE),"000000"),2)),2)</f>
        <v>60</v>
      </c>
      <c r="Q658" s="26" t="str" cm="1">
        <f t="array" ref="Q658">BIN2HEX(_xlfn.IFS(D658="HWINTEN","10",G658="KeyAck","01",G658="InitLp8","01",TRUE,"00")&amp;IF(OR(Ops!$O$2:'Ops'!$O$13=K658),VLOOKUP(K658,Ops!$O$2:'Ops'!$P$13,2,FALSE),"000")&amp;IF(E658&lt;&gt;"",IF(LEN(_xlfn.XLOOKUP($E658,$C$5:$C$681,$B$5:$B$681,0))=3,HEX2BIN(LEFT(_xlfn.XLOOKUP($E658,$C$5:$C$681,$B$5:$B$681,0),1),3),IF(OR(Ops!$L$2:'Ops'!$L$11=J658),VLOOKUP(J658,Ops!$L$2:'Ops'!$M$11,2,FALSE),"000")),IF(OR(Ops!$L$2:'Ops'!$L$11=J658),VLOOKUP(J658,Ops!$L$2:'Ops'!$M$11,2,FALSE),"000")),2)</f>
        <v>00</v>
      </c>
      <c r="R658" s="27"/>
      <c r="Z658" s="99" t="str">
        <f t="shared" si="185"/>
        <v>0x10,</v>
      </c>
      <c r="AA658" s="100" t="str">
        <f t="shared" si="186"/>
        <v>0x60,</v>
      </c>
      <c r="AB658" s="100" t="str">
        <f t="shared" si="187"/>
        <v>0x00,</v>
      </c>
      <c r="AC658" s="101"/>
    </row>
    <row r="659" spans="1:29" x14ac:dyDescent="0.3">
      <c r="A659" s="79">
        <f t="shared" si="175"/>
        <v>1983</v>
      </c>
      <c r="B659" s="80" t="str">
        <f t="shared" si="198"/>
        <v>7BF</v>
      </c>
      <c r="C659" s="91" t="s">
        <v>340</v>
      </c>
      <c r="D659" s="23" t="str">
        <f>FIXED((A659/2048)*100,2)&amp;"% Used"</f>
        <v>96.83% Used</v>
      </c>
      <c r="F659" s="29"/>
      <c r="G659" s="24"/>
      <c r="H659" s="29"/>
      <c r="M659" s="14"/>
      <c r="N659" s="24"/>
      <c r="O659" s="26" t="e" cm="1">
        <f t="array" ref="O659">BIN2HEX(IF(I659&lt;&gt;"",VLOOKUP(I659,Ops!$I$2:'Ops'!$J$15,2,FALSE),IF(ISNUMBER(SEARCH("BR",D659)),"001","000"))&amp;IF(D659&lt;&gt;"",VLOOKUP(D659,Ops!$B$2:'Ops'!$C$23,2,FALSE),"0")&amp;_xlfn.IFS(ISNUMBER(SEARCH("BR",D659)),VLOOKUP(D659,Ops!$B$3:'Ops'!$D$22,3,FALSE),F659&lt;&gt;"",VLOOKUP(F659,Ops!$R$2:'Ops'!$S$11,2),L659&lt;&gt;"",VLOOKUP(L659,Ops!$R$2:'Ops'!$S$25,2,FALSE),TRUE,"0000"),2)</f>
        <v>#N/A</v>
      </c>
      <c r="P659" s="26" t="str">
        <f>RIGHT(IF($E659&lt;&gt;"",_xlfn.XLOOKUP($E659,$C$4:$C$681,$B$4:$B$681,"NO LABEL"),BIN2HEX(IF(N659="CarryEn","1","0")&amp;IF(M659="SubXY","1","0")&amp;IF(H659&lt;&gt;"",VLOOKUP(H659,Ops!$F$2:'Ops'!$G$20,2,FALSE),"000000"),2)),2)</f>
        <v>00</v>
      </c>
      <c r="Q659" s="26" t="str" cm="1">
        <f t="array" ref="Q659">BIN2HEX(_xlfn.IFS(D659="HWINTEN","10",G659="KeyAck","01",G659="InitLp8","01",TRUE,"00")&amp;IF(OR(Ops!$O$2:'Ops'!$O$13=K659),VLOOKUP(K659,Ops!$O$2:'Ops'!$P$13,2,FALSE),"000")&amp;IF(E659&lt;&gt;"",IF(LEN(_xlfn.XLOOKUP($E659,$C$5:$C$681,$B$5:$B$681,0))=3,HEX2BIN(LEFT(_xlfn.XLOOKUP($E659,$C$5:$C$681,$B$5:$B$681,0),1),3),IF(OR(Ops!$L$2:'Ops'!$L$11=J659),VLOOKUP(J659,Ops!$L$2:'Ops'!$M$11,2,FALSE),"000")),IF(OR(Ops!$L$2:'Ops'!$L$11=J659),VLOOKUP(J659,Ops!$L$2:'Ops'!$M$11,2,FALSE),"000")),2)</f>
        <v>00</v>
      </c>
      <c r="R659" s="27"/>
      <c r="Z659" s="74" t="e">
        <f t="shared" si="185"/>
        <v>#N/A</v>
      </c>
      <c r="AA659" s="75" t="str">
        <f t="shared" si="186"/>
        <v>0x00,</v>
      </c>
      <c r="AB659" s="75" t="str">
        <f t="shared" si="187"/>
        <v>0x00,</v>
      </c>
      <c r="AC659" s="76"/>
    </row>
    <row r="660" spans="1:29" x14ac:dyDescent="0.3">
      <c r="A660" s="79">
        <f t="shared" si="175"/>
        <v>1986</v>
      </c>
      <c r="B660" s="80" t="str">
        <f t="shared" si="198"/>
        <v>7C2</v>
      </c>
      <c r="D660" s="29"/>
      <c r="F660" s="29"/>
      <c r="G660" s="24"/>
      <c r="H660" s="29"/>
      <c r="M660" s="14"/>
      <c r="N660" s="24"/>
      <c r="O660" s="26" t="str" cm="1">
        <f t="array" ref="O660">BIN2HEX(IF(I660&lt;&gt;"",VLOOKUP(I660,Ops!$I$2:'Ops'!$J$15,2,FALSE),IF(ISNUMBER(SEARCH("BR",D660)),"001","000"))&amp;IF(D660&lt;&gt;"",VLOOKUP(D660,Ops!$B$2:'Ops'!$C$23,2,FALSE),"0")&amp;_xlfn.IFS(ISNUMBER(SEARCH("BR",D660)),VLOOKUP(D660,Ops!$B$3:'Ops'!$D$22,3,FALSE),F660&lt;&gt;"",VLOOKUP(F660,Ops!$R$2:'Ops'!$S$11,2),L660&lt;&gt;"",VLOOKUP(L660,Ops!$R$2:'Ops'!$S$25,2,FALSE),TRUE,"0000"),2)</f>
        <v>00</v>
      </c>
      <c r="P660" s="26" t="str">
        <f>RIGHT(IF($E660&lt;&gt;"",_xlfn.XLOOKUP($E660,$C$4:$C$681,$B$4:$B$681,"NO LABEL"),BIN2HEX(IF(N660="CarryEn","1","0")&amp;IF(M660="SubXY","1","0")&amp;IF(H660&lt;&gt;"",VLOOKUP(H660,Ops!$F$2:'Ops'!$G$20,2,FALSE),"000000"),2)),2)</f>
        <v>00</v>
      </c>
      <c r="Q660" s="26" t="str" cm="1">
        <f t="array" ref="Q660">BIN2HEX(_xlfn.IFS(D660="HWINTEN","10",G660="KeyAck","01",G660="InitLp8","01",TRUE,"00")&amp;IF(OR(Ops!$O$2:'Ops'!$O$13=K660),VLOOKUP(K660,Ops!$O$2:'Ops'!$P$13,2,FALSE),"000")&amp;IF(E660&lt;&gt;"",IF(LEN(_xlfn.XLOOKUP($E660,$C$5:$C$681,$B$5:$B$681,0))=3,HEX2BIN(LEFT(_xlfn.XLOOKUP($E660,$C$5:$C$681,$B$5:$B$681,0),1),3),IF(OR(Ops!$L$2:'Ops'!$L$11=J660),VLOOKUP(J660,Ops!$L$2:'Ops'!$M$11,2,FALSE),"000")),IF(OR(Ops!$L$2:'Ops'!$L$11=J660),VLOOKUP(J660,Ops!$L$2:'Ops'!$M$11,2,FALSE),"000")),2)</f>
        <v>00</v>
      </c>
      <c r="R660" s="27"/>
      <c r="Z660" s="74" t="str">
        <f t="shared" si="185"/>
        <v>0x00,</v>
      </c>
      <c r="AA660" s="75" t="str">
        <f t="shared" si="186"/>
        <v>0x00,</v>
      </c>
      <c r="AB660" s="75" t="str">
        <f t="shared" si="187"/>
        <v>0x00,</v>
      </c>
      <c r="AC660" s="76"/>
    </row>
    <row r="661" spans="1:29" x14ac:dyDescent="0.3">
      <c r="A661" s="79">
        <f t="shared" si="175"/>
        <v>1989</v>
      </c>
      <c r="B661" s="80" t="str">
        <f t="shared" si="198"/>
        <v>7C5</v>
      </c>
      <c r="D661" s="29"/>
      <c r="F661" s="29"/>
      <c r="G661" s="24"/>
      <c r="H661" s="29"/>
      <c r="M661" s="14"/>
      <c r="N661" s="24"/>
      <c r="O661" s="26" t="str" cm="1">
        <f t="array" ref="O661">BIN2HEX(IF(I661&lt;&gt;"",VLOOKUP(I661,Ops!$I$2:'Ops'!$J$15,2,FALSE),IF(ISNUMBER(SEARCH("BR",D661)),"001","000"))&amp;IF(D661&lt;&gt;"",VLOOKUP(D661,Ops!$B$2:'Ops'!$C$23,2,FALSE),"0")&amp;_xlfn.IFS(ISNUMBER(SEARCH("BR",D661)),VLOOKUP(D661,Ops!$B$3:'Ops'!$D$22,3,FALSE),F661&lt;&gt;"",VLOOKUP(F661,Ops!$R$2:'Ops'!$S$11,2),L661&lt;&gt;"",VLOOKUP(L661,Ops!$R$2:'Ops'!$S$25,2,FALSE),TRUE,"0000"),2)</f>
        <v>00</v>
      </c>
      <c r="P661" s="26" t="str">
        <f>RIGHT(IF($E661&lt;&gt;"",_xlfn.XLOOKUP($E661,$C$4:$C$681,$B$4:$B$681,"NO LABEL"),BIN2HEX(IF(N661="CarryEn","1","0")&amp;IF(M661="SubXY","1","0")&amp;IF(H661&lt;&gt;"",VLOOKUP(H661,Ops!$F$2:'Ops'!$G$20,2,FALSE),"000000"),2)),2)</f>
        <v>00</v>
      </c>
      <c r="Q661" s="26" t="str" cm="1">
        <f t="array" ref="Q661">BIN2HEX(_xlfn.IFS(D661="HWINTEN","10",G661="KeyAck","01",G661="InitLp8","01",TRUE,"00")&amp;IF(OR(Ops!$O$2:'Ops'!$O$13=K661),VLOOKUP(K661,Ops!$O$2:'Ops'!$P$13,2,FALSE),"000")&amp;IF(E661&lt;&gt;"",IF(LEN(_xlfn.XLOOKUP($E661,$C$5:$C$681,$B$5:$B$681,0))=3,HEX2BIN(LEFT(_xlfn.XLOOKUP($E661,$C$5:$C$681,$B$5:$B$681,0),1),3),IF(OR(Ops!$L$2:'Ops'!$L$11=J661),VLOOKUP(J661,Ops!$L$2:'Ops'!$M$11,2,FALSE),"000")),IF(OR(Ops!$L$2:'Ops'!$L$11=J661),VLOOKUP(J661,Ops!$L$2:'Ops'!$M$11,2,FALSE),"000")),2)</f>
        <v>00</v>
      </c>
      <c r="R661" s="27"/>
      <c r="Z661" s="74" t="str">
        <f t="shared" si="185"/>
        <v>0x00,</v>
      </c>
      <c r="AA661" s="75" t="str">
        <f t="shared" si="186"/>
        <v>0x00,</v>
      </c>
      <c r="AB661" s="75" t="str">
        <f t="shared" si="187"/>
        <v>0x00,</v>
      </c>
      <c r="AC661" s="76"/>
    </row>
    <row r="662" spans="1:29" x14ac:dyDescent="0.3">
      <c r="A662" s="79">
        <f t="shared" si="175"/>
        <v>1992</v>
      </c>
      <c r="B662" s="80" t="str">
        <f t="shared" si="198"/>
        <v>7C8</v>
      </c>
      <c r="D662" s="29"/>
      <c r="F662" s="29"/>
      <c r="G662" s="24"/>
      <c r="H662" s="29"/>
      <c r="M662" s="14"/>
      <c r="N662" s="24"/>
      <c r="O662" s="26" t="str" cm="1">
        <f t="array" ref="O662">BIN2HEX(IF(I662&lt;&gt;"",VLOOKUP(I662,Ops!$I$2:'Ops'!$J$15,2,FALSE),IF(ISNUMBER(SEARCH("BR",D662)),"001","000"))&amp;IF(D662&lt;&gt;"",VLOOKUP(D662,Ops!$B$2:'Ops'!$C$23,2,FALSE),"0")&amp;_xlfn.IFS(ISNUMBER(SEARCH("BR",D662)),VLOOKUP(D662,Ops!$B$3:'Ops'!$D$22,3,FALSE),F662&lt;&gt;"",VLOOKUP(F662,Ops!$R$2:'Ops'!$S$11,2),L662&lt;&gt;"",VLOOKUP(L662,Ops!$R$2:'Ops'!$S$25,2,FALSE),TRUE,"0000"),2)</f>
        <v>00</v>
      </c>
      <c r="P662" s="26" t="str">
        <f>RIGHT(IF($E662&lt;&gt;"",_xlfn.XLOOKUP($E662,$C$4:$C$681,$B$4:$B$681,"NO LABEL"),BIN2HEX(IF(N662="CarryEn","1","0")&amp;IF(M662="SubXY","1","0")&amp;IF(H662&lt;&gt;"",VLOOKUP(H662,Ops!$F$2:'Ops'!$G$20,2,FALSE),"000000"),2)),2)</f>
        <v>00</v>
      </c>
      <c r="Q662" s="26" t="str" cm="1">
        <f t="array" ref="Q662">BIN2HEX(_xlfn.IFS(D662="HWINTEN","10",G662="KeyAck","01",G662="InitLp8","01",TRUE,"00")&amp;IF(OR(Ops!$O$2:'Ops'!$O$13=K662),VLOOKUP(K662,Ops!$O$2:'Ops'!$P$13,2,FALSE),"000")&amp;IF(E662&lt;&gt;"",IF(LEN(_xlfn.XLOOKUP($E662,$C$5:$C$681,$B$5:$B$681,0))=3,HEX2BIN(LEFT(_xlfn.XLOOKUP($E662,$C$5:$C$681,$B$5:$B$681,0),1),3),IF(OR(Ops!$L$2:'Ops'!$L$11=J662),VLOOKUP(J662,Ops!$L$2:'Ops'!$M$11,2,FALSE),"000")),IF(OR(Ops!$L$2:'Ops'!$L$11=J662),VLOOKUP(J662,Ops!$L$2:'Ops'!$M$11,2,FALSE),"000")),2)</f>
        <v>00</v>
      </c>
      <c r="R662" s="27"/>
      <c r="Z662" s="74" t="str">
        <f t="shared" si="185"/>
        <v>0x00,</v>
      </c>
      <c r="AA662" s="75" t="str">
        <f t="shared" si="186"/>
        <v>0x00,</v>
      </c>
      <c r="AB662" s="75" t="str">
        <f t="shared" si="187"/>
        <v>0x00,</v>
      </c>
      <c r="AC662" s="76"/>
    </row>
    <row r="663" spans="1:29" x14ac:dyDescent="0.3">
      <c r="A663" s="79">
        <f t="shared" si="175"/>
        <v>1995</v>
      </c>
      <c r="B663" s="80" t="str">
        <f>DEC2HEX(A663)</f>
        <v>7CB</v>
      </c>
      <c r="D663" s="29"/>
      <c r="F663" s="29"/>
      <c r="G663" s="24"/>
      <c r="H663" s="29"/>
      <c r="M663" s="14"/>
      <c r="N663" s="24"/>
      <c r="O663" s="26" t="str" cm="1">
        <f t="array" ref="O663">BIN2HEX(IF(I663&lt;&gt;"",VLOOKUP(I663,Ops!$I$2:'Ops'!$J$15,2,FALSE),IF(ISNUMBER(SEARCH("BR",D663)),"001","000"))&amp;IF(D663&lt;&gt;"",VLOOKUP(D663,Ops!$B$2:'Ops'!$C$23,2,FALSE),"0")&amp;_xlfn.IFS(ISNUMBER(SEARCH("BR",D663)),VLOOKUP(D663,Ops!$B$3:'Ops'!$D$22,3,FALSE),F663&lt;&gt;"",VLOOKUP(F663,Ops!$R$2:'Ops'!$S$11,2),L663&lt;&gt;"",VLOOKUP(L663,Ops!$R$2:'Ops'!$S$25,2,FALSE),TRUE,"0000"),2)</f>
        <v>00</v>
      </c>
      <c r="P663" s="26" t="str">
        <f>RIGHT(IF($E663&lt;&gt;"",_xlfn.XLOOKUP($E663,$C$4:$C$681,$B$4:$B$681,"NO LABEL"),BIN2HEX(IF(N663="CarryEn","1","0")&amp;IF(M663="SubXY","1","0")&amp;IF(H663&lt;&gt;"",VLOOKUP(H663,Ops!$F$2:'Ops'!$G$20,2,FALSE),"000000"),2)),2)</f>
        <v>00</v>
      </c>
      <c r="Q663" s="26" t="str" cm="1">
        <f t="array" ref="Q663">BIN2HEX(_xlfn.IFS(D663="HWINTEN","10",G663="KeyAck","01",G663="InitLp8","01",TRUE,"00")&amp;IF(OR(Ops!$O$2:'Ops'!$O$13=K663),VLOOKUP(K663,Ops!$O$2:'Ops'!$P$13,2,FALSE),"000")&amp;IF(E663&lt;&gt;"",IF(LEN(_xlfn.XLOOKUP($E663,$C$5:$C$681,$B$5:$B$681,0))=3,HEX2BIN(LEFT(_xlfn.XLOOKUP($E663,$C$5:$C$681,$B$5:$B$681,0),1),3),IF(OR(Ops!$L$2:'Ops'!$L$11=J663),VLOOKUP(J663,Ops!$L$2:'Ops'!$M$11,2,FALSE),"000")),IF(OR(Ops!$L$2:'Ops'!$L$11=J663),VLOOKUP(J663,Ops!$L$2:'Ops'!$M$11,2,FALSE),"000")),2)</f>
        <v>00</v>
      </c>
      <c r="R663" s="27"/>
      <c r="Z663" s="74" t="str">
        <f t="shared" si="185"/>
        <v>0x00,</v>
      </c>
      <c r="AA663" s="75" t="str">
        <f t="shared" si="186"/>
        <v>0x00,</v>
      </c>
      <c r="AB663" s="75" t="str">
        <f t="shared" si="187"/>
        <v>0x00,</v>
      </c>
      <c r="AC663" s="76"/>
    </row>
    <row r="664" spans="1:29" x14ac:dyDescent="0.3">
      <c r="A664" s="79">
        <f t="shared" si="175"/>
        <v>1998</v>
      </c>
      <c r="B664" s="80" t="str">
        <f>DEC2HEX(A664)</f>
        <v>7CE</v>
      </c>
      <c r="D664" s="29"/>
      <c r="F664" s="29"/>
      <c r="G664" s="24"/>
      <c r="H664" s="29"/>
      <c r="M664" s="14"/>
      <c r="N664" s="24"/>
      <c r="O664" s="26" t="str" cm="1">
        <f t="array" ref="O664">BIN2HEX(IF(I664&lt;&gt;"",VLOOKUP(I664,Ops!$I$2:'Ops'!$J$15,2,FALSE),IF(ISNUMBER(SEARCH("BR",D664)),"001","000"))&amp;IF(D664&lt;&gt;"",VLOOKUP(D664,Ops!$B$2:'Ops'!$C$23,2,FALSE),"0")&amp;_xlfn.IFS(ISNUMBER(SEARCH("BR",D664)),VLOOKUP(D664,Ops!$B$3:'Ops'!$D$22,3,FALSE),F664&lt;&gt;"",VLOOKUP(F664,Ops!$R$2:'Ops'!$S$11,2),L664&lt;&gt;"",VLOOKUP(L664,Ops!$R$2:'Ops'!$S$25,2,FALSE),TRUE,"0000"),2)</f>
        <v>00</v>
      </c>
      <c r="P664" s="26" t="str">
        <f>RIGHT(IF($E664&lt;&gt;"",_xlfn.XLOOKUP($E664,$C$4:$C$681,$B$4:$B$681,"NO LABEL"),BIN2HEX(IF(N664="CarryEn","1","0")&amp;IF(M664="SubXY","1","0")&amp;IF(H664&lt;&gt;"",VLOOKUP(H664,Ops!$F$2:'Ops'!$G$20,2,FALSE),"000000"),2)),2)</f>
        <v>00</v>
      </c>
      <c r="Q664" s="26" t="str" cm="1">
        <f t="array" ref="Q664">BIN2HEX(_xlfn.IFS(D664="HWINTEN","10",G664="KeyAck","01",G664="InitLp8","01",TRUE,"00")&amp;IF(OR(Ops!$O$2:'Ops'!$O$13=K664),VLOOKUP(K664,Ops!$O$2:'Ops'!$P$13,2,FALSE),"000")&amp;IF(E664&lt;&gt;"",IF(LEN(_xlfn.XLOOKUP($E664,$C$5:$C$681,$B$5:$B$681,0))=3,HEX2BIN(LEFT(_xlfn.XLOOKUP($E664,$C$5:$C$681,$B$5:$B$681,0),1),3),IF(OR(Ops!$L$2:'Ops'!$L$11=J664),VLOOKUP(J664,Ops!$L$2:'Ops'!$M$11,2,FALSE),"000")),IF(OR(Ops!$L$2:'Ops'!$L$11=J664),VLOOKUP(J664,Ops!$L$2:'Ops'!$M$11,2,FALSE),"000")),2)</f>
        <v>00</v>
      </c>
      <c r="R664" s="27"/>
      <c r="Z664" s="74" t="str">
        <f t="shared" si="185"/>
        <v>0x00,</v>
      </c>
      <c r="AA664" s="75" t="str">
        <f t="shared" si="186"/>
        <v>0x00,</v>
      </c>
      <c r="AB664" s="75" t="str">
        <f t="shared" si="187"/>
        <v>0x00,</v>
      </c>
      <c r="AC664" s="76"/>
    </row>
    <row r="665" spans="1:29" x14ac:dyDescent="0.3">
      <c r="A665" s="79">
        <f t="shared" si="175"/>
        <v>2001</v>
      </c>
      <c r="B665" s="80" t="str">
        <f t="shared" si="198"/>
        <v>7D1</v>
      </c>
      <c r="D665" s="29"/>
      <c r="F665" s="29"/>
      <c r="G665" s="24"/>
      <c r="H665" s="29"/>
      <c r="M665" s="14"/>
      <c r="N665" s="24"/>
      <c r="O665" s="26" t="str" cm="1">
        <f t="array" ref="O665">BIN2HEX(IF(I665&lt;&gt;"",VLOOKUP(I665,Ops!$I$2:'Ops'!$J$15,2,FALSE),IF(ISNUMBER(SEARCH("BR",D665)),"001","000"))&amp;IF(D665&lt;&gt;"",VLOOKUP(D665,Ops!$B$2:'Ops'!$C$23,2,FALSE),"0")&amp;_xlfn.IFS(ISNUMBER(SEARCH("BR",D665)),VLOOKUP(D665,Ops!$B$3:'Ops'!$D$22,3,FALSE),F665&lt;&gt;"",VLOOKUP(F665,Ops!$R$2:'Ops'!$S$11,2),L665&lt;&gt;"",VLOOKUP(L665,Ops!$R$2:'Ops'!$S$25,2,FALSE),TRUE,"0000"),2)</f>
        <v>00</v>
      </c>
      <c r="P665" s="26" t="str">
        <f>RIGHT(IF($E665&lt;&gt;"",_xlfn.XLOOKUP($E665,$C$4:$C$681,$B$4:$B$681,"NO LABEL"),BIN2HEX(IF(N665="CarryEn","1","0")&amp;IF(M665="SubXY","1","0")&amp;IF(H665&lt;&gt;"",VLOOKUP(H665,Ops!$F$2:'Ops'!$G$20,2,FALSE),"000000"),2)),2)</f>
        <v>00</v>
      </c>
      <c r="Q665" s="26" t="str" cm="1">
        <f t="array" ref="Q665">BIN2HEX(_xlfn.IFS(D665="HWINTEN","10",G665="KeyAck","01",G665="InitLp8","01",TRUE,"00")&amp;IF(OR(Ops!$O$2:'Ops'!$O$13=K665),VLOOKUP(K665,Ops!$O$2:'Ops'!$P$13,2,FALSE),"000")&amp;IF(E665&lt;&gt;"",IF(LEN(_xlfn.XLOOKUP($E665,$C$5:$C$681,$B$5:$B$681,0))=3,HEX2BIN(LEFT(_xlfn.XLOOKUP($E665,$C$5:$C$681,$B$5:$B$681,0),1),3),IF(OR(Ops!$L$2:'Ops'!$L$11=J665),VLOOKUP(J665,Ops!$L$2:'Ops'!$M$11,2,FALSE),"000")),IF(OR(Ops!$L$2:'Ops'!$L$11=J665),VLOOKUP(J665,Ops!$L$2:'Ops'!$M$11,2,FALSE),"000")),2)</f>
        <v>00</v>
      </c>
      <c r="R665" s="27"/>
      <c r="Z665" s="74" t="str">
        <f t="shared" si="185"/>
        <v>0x00,</v>
      </c>
      <c r="AA665" s="75" t="str">
        <f t="shared" si="186"/>
        <v>0x00,</v>
      </c>
      <c r="AB665" s="75" t="str">
        <f t="shared" si="187"/>
        <v>0x00,</v>
      </c>
      <c r="AC665" s="76"/>
    </row>
    <row r="666" spans="1:29" x14ac:dyDescent="0.3">
      <c r="A666" s="79">
        <f t="shared" si="175"/>
        <v>2004</v>
      </c>
      <c r="B666" s="80" t="str">
        <f t="shared" si="198"/>
        <v>7D4</v>
      </c>
      <c r="D666" s="29"/>
      <c r="F666" s="29"/>
      <c r="G666" s="24"/>
      <c r="H666" s="29"/>
      <c r="M666" s="14"/>
      <c r="N666" s="24"/>
      <c r="O666" s="26" t="str" cm="1">
        <f t="array" ref="O666">BIN2HEX(IF(I666&lt;&gt;"",VLOOKUP(I666,Ops!$I$2:'Ops'!$J$15,2,FALSE),IF(ISNUMBER(SEARCH("BR",D666)),"001","000"))&amp;IF(D666&lt;&gt;"",VLOOKUP(D666,Ops!$B$2:'Ops'!$C$23,2,FALSE),"0")&amp;_xlfn.IFS(ISNUMBER(SEARCH("BR",D666)),VLOOKUP(D666,Ops!$B$3:'Ops'!$D$22,3,FALSE),F666&lt;&gt;"",VLOOKUP(F666,Ops!$R$2:'Ops'!$S$11,2),L666&lt;&gt;"",VLOOKUP(L666,Ops!$R$2:'Ops'!$S$25,2,FALSE),TRUE,"0000"),2)</f>
        <v>00</v>
      </c>
      <c r="P666" s="26" t="str">
        <f>RIGHT(IF($E666&lt;&gt;"",_xlfn.XLOOKUP($E666,$C$4:$C$681,$B$4:$B$681,"NO LABEL"),BIN2HEX(IF(N666="CarryEn","1","0")&amp;IF(M666="SubXY","1","0")&amp;IF(H666&lt;&gt;"",VLOOKUP(H666,Ops!$F$2:'Ops'!$G$20,2,FALSE),"000000"),2)),2)</f>
        <v>00</v>
      </c>
      <c r="Q666" s="26" t="str" cm="1">
        <f t="array" ref="Q666">BIN2HEX(_xlfn.IFS(D666="HWINTEN","10",G666="KeyAck","01",G666="InitLp8","01",TRUE,"00")&amp;IF(OR(Ops!$O$2:'Ops'!$O$13=K666),VLOOKUP(K666,Ops!$O$2:'Ops'!$P$13,2,FALSE),"000")&amp;IF(E666&lt;&gt;"",IF(LEN(_xlfn.XLOOKUP($E666,$C$5:$C$681,$B$5:$B$681,0))=3,HEX2BIN(LEFT(_xlfn.XLOOKUP($E666,$C$5:$C$681,$B$5:$B$681,0),1),3),IF(OR(Ops!$L$2:'Ops'!$L$11=J666),VLOOKUP(J666,Ops!$L$2:'Ops'!$M$11,2,FALSE),"000")),IF(OR(Ops!$L$2:'Ops'!$L$11=J666),VLOOKUP(J666,Ops!$L$2:'Ops'!$M$11,2,FALSE),"000")),2)</f>
        <v>00</v>
      </c>
      <c r="R666" s="27"/>
      <c r="Z666" s="74" t="str">
        <f t="shared" si="185"/>
        <v>0x00,</v>
      </c>
      <c r="AA666" s="75" t="str">
        <f t="shared" si="186"/>
        <v>0x00,</v>
      </c>
      <c r="AB666" s="75" t="str">
        <f t="shared" si="187"/>
        <v>0x00,</v>
      </c>
      <c r="AC666" s="76"/>
    </row>
    <row r="667" spans="1:29" x14ac:dyDescent="0.3">
      <c r="A667" s="79">
        <f t="shared" si="175"/>
        <v>2007</v>
      </c>
      <c r="B667" s="80" t="str">
        <f t="shared" si="198"/>
        <v>7D7</v>
      </c>
      <c r="D667" s="29"/>
      <c r="F667" s="29"/>
      <c r="G667" s="24"/>
      <c r="H667" s="29"/>
      <c r="M667" s="14"/>
      <c r="N667" s="24"/>
      <c r="O667" s="26" t="str" cm="1">
        <f t="array" ref="O667">BIN2HEX(IF(I667&lt;&gt;"",VLOOKUP(I667,Ops!$I$2:'Ops'!$J$15,2,FALSE),IF(ISNUMBER(SEARCH("BR",D667)),"001","000"))&amp;IF(D667&lt;&gt;"",VLOOKUP(D667,Ops!$B$2:'Ops'!$C$23,2,FALSE),"0")&amp;_xlfn.IFS(ISNUMBER(SEARCH("BR",D667)),VLOOKUP(D667,Ops!$B$3:'Ops'!$D$22,3,FALSE),F667&lt;&gt;"",VLOOKUP(F667,Ops!$R$2:'Ops'!$S$11,2),L667&lt;&gt;"",VLOOKUP(L667,Ops!$R$2:'Ops'!$S$25,2,FALSE),TRUE,"0000"),2)</f>
        <v>00</v>
      </c>
      <c r="P667" s="26" t="str">
        <f>RIGHT(IF($E667&lt;&gt;"",_xlfn.XLOOKUP($E667,$C$4:$C$681,$B$4:$B$681,"NO LABEL"),BIN2HEX(IF(N667="CarryEn","1","0")&amp;IF(M667="SubXY","1","0")&amp;IF(H667&lt;&gt;"",VLOOKUP(H667,Ops!$F$2:'Ops'!$G$20,2,FALSE),"000000"),2)),2)</f>
        <v>00</v>
      </c>
      <c r="Q667" s="26" t="str" cm="1">
        <f t="array" ref="Q667">BIN2HEX(_xlfn.IFS(D667="HWINTEN","10",G667="KeyAck","01",G667="InitLp8","01",TRUE,"00")&amp;IF(OR(Ops!$O$2:'Ops'!$O$13=K667),VLOOKUP(K667,Ops!$O$2:'Ops'!$P$13,2,FALSE),"000")&amp;IF(E667&lt;&gt;"",IF(LEN(_xlfn.XLOOKUP($E667,$C$5:$C$681,$B$5:$B$681,0))=3,HEX2BIN(LEFT(_xlfn.XLOOKUP($E667,$C$5:$C$681,$B$5:$B$681,0),1),3),IF(OR(Ops!$L$2:'Ops'!$L$11=J667),VLOOKUP(J667,Ops!$L$2:'Ops'!$M$11,2,FALSE),"000")),IF(OR(Ops!$L$2:'Ops'!$L$11=J667),VLOOKUP(J667,Ops!$L$2:'Ops'!$M$11,2,FALSE),"000")),2)</f>
        <v>00</v>
      </c>
      <c r="R667" s="27"/>
      <c r="Z667" s="74" t="str">
        <f t="shared" si="185"/>
        <v>0x00,</v>
      </c>
      <c r="AA667" s="75" t="str">
        <f t="shared" si="186"/>
        <v>0x00,</v>
      </c>
      <c r="AB667" s="75" t="str">
        <f t="shared" si="187"/>
        <v>0x00,</v>
      </c>
      <c r="AC667" s="76"/>
    </row>
    <row r="668" spans="1:29" x14ac:dyDescent="0.3">
      <c r="A668" s="79">
        <f t="shared" si="175"/>
        <v>2010</v>
      </c>
      <c r="B668" s="80" t="str">
        <f t="shared" si="198"/>
        <v>7DA</v>
      </c>
      <c r="D668" s="29"/>
      <c r="F668" s="29"/>
      <c r="G668" s="24"/>
      <c r="H668" s="29"/>
      <c r="M668" s="14"/>
      <c r="N668" s="24"/>
      <c r="O668" s="26" t="str" cm="1">
        <f t="array" ref="O668">BIN2HEX(IF(I668&lt;&gt;"",VLOOKUP(I668,Ops!$I$2:'Ops'!$J$15,2,FALSE),IF(ISNUMBER(SEARCH("BR",D668)),"001","000"))&amp;IF(D668&lt;&gt;"",VLOOKUP(D668,Ops!$B$2:'Ops'!$C$23,2,FALSE),"0")&amp;_xlfn.IFS(ISNUMBER(SEARCH("BR",D668)),VLOOKUP(D668,Ops!$B$3:'Ops'!$D$22,3,FALSE),F668&lt;&gt;"",VLOOKUP(F668,Ops!$R$2:'Ops'!$S$11,2),L668&lt;&gt;"",VLOOKUP(L668,Ops!$R$2:'Ops'!$S$25,2,FALSE),TRUE,"0000"),2)</f>
        <v>00</v>
      </c>
      <c r="P668" s="26" t="str">
        <f>RIGHT(IF($E668&lt;&gt;"",_xlfn.XLOOKUP($E668,$C$4:$C$681,$B$4:$B$681,"NO LABEL"),BIN2HEX(IF(N668="CarryEn","1","0")&amp;IF(M668="SubXY","1","0")&amp;IF(H668&lt;&gt;"",VLOOKUP(H668,Ops!$F$2:'Ops'!$G$20,2,FALSE),"000000"),2)),2)</f>
        <v>00</v>
      </c>
      <c r="Q668" s="26" t="str" cm="1">
        <f t="array" ref="Q668">BIN2HEX(_xlfn.IFS(D668="HWINTEN","10",G668="KeyAck","01",G668="InitLp8","01",TRUE,"00")&amp;IF(OR(Ops!$O$2:'Ops'!$O$13=K668),VLOOKUP(K668,Ops!$O$2:'Ops'!$P$13,2,FALSE),"000")&amp;IF(E668&lt;&gt;"",IF(LEN(_xlfn.XLOOKUP($E668,$C$5:$C$681,$B$5:$B$681,0))=3,HEX2BIN(LEFT(_xlfn.XLOOKUP($E668,$C$5:$C$681,$B$5:$B$681,0),1),3),IF(OR(Ops!$L$2:'Ops'!$L$11=J668),VLOOKUP(J668,Ops!$L$2:'Ops'!$M$11,2,FALSE),"000")),IF(OR(Ops!$L$2:'Ops'!$L$11=J668),VLOOKUP(J668,Ops!$L$2:'Ops'!$M$11,2,FALSE),"000")),2)</f>
        <v>00</v>
      </c>
      <c r="R668" s="27"/>
      <c r="Z668" s="74" t="str">
        <f t="shared" si="185"/>
        <v>0x00,</v>
      </c>
      <c r="AA668" s="75" t="str">
        <f t="shared" si="186"/>
        <v>0x00,</v>
      </c>
      <c r="AB668" s="75" t="str">
        <f t="shared" si="187"/>
        <v>0x00,</v>
      </c>
      <c r="AC668" s="76"/>
    </row>
    <row r="669" spans="1:29" x14ac:dyDescent="0.3">
      <c r="A669" s="79">
        <f t="shared" si="175"/>
        <v>2013</v>
      </c>
      <c r="B669" s="80" t="str">
        <f t="shared" si="198"/>
        <v>7DD</v>
      </c>
      <c r="D669" s="29"/>
      <c r="F669" s="29"/>
      <c r="G669" s="24"/>
      <c r="H669" s="29"/>
      <c r="M669" s="14"/>
      <c r="N669" s="24"/>
      <c r="O669" s="26" t="str" cm="1">
        <f t="array" ref="O669">BIN2HEX(IF(I669&lt;&gt;"",VLOOKUP(I669,Ops!$I$2:'Ops'!$J$15,2,FALSE),IF(ISNUMBER(SEARCH("BR",D669)),"001","000"))&amp;IF(D669&lt;&gt;"",VLOOKUP(D669,Ops!$B$2:'Ops'!$C$23,2,FALSE),"0")&amp;_xlfn.IFS(ISNUMBER(SEARCH("BR",D669)),VLOOKUP(D669,Ops!$B$3:'Ops'!$D$22,3,FALSE),F669&lt;&gt;"",VLOOKUP(F669,Ops!$R$2:'Ops'!$S$11,2),L669&lt;&gt;"",VLOOKUP(L669,Ops!$R$2:'Ops'!$S$25,2,FALSE),TRUE,"0000"),2)</f>
        <v>00</v>
      </c>
      <c r="P669" s="26" t="str">
        <f>RIGHT(IF($E669&lt;&gt;"",_xlfn.XLOOKUP($E669,$C$4:$C$681,$B$4:$B$681,"NO LABEL"),BIN2HEX(IF(N669="CarryEn","1","0")&amp;IF(M669="SubXY","1","0")&amp;IF(H669&lt;&gt;"",VLOOKUP(H669,Ops!$F$2:'Ops'!$G$20,2,FALSE),"000000"),2)),2)</f>
        <v>00</v>
      </c>
      <c r="Q669" s="26" t="str" cm="1">
        <f t="array" ref="Q669">BIN2HEX(_xlfn.IFS(D669="HWINTEN","10",G669="KeyAck","01",G669="InitLp8","01",TRUE,"00")&amp;IF(OR(Ops!$O$2:'Ops'!$O$13=K669),VLOOKUP(K669,Ops!$O$2:'Ops'!$P$13,2,FALSE),"000")&amp;IF(E669&lt;&gt;"",IF(LEN(_xlfn.XLOOKUP($E669,$C$5:$C$681,$B$5:$B$681,0))=3,HEX2BIN(LEFT(_xlfn.XLOOKUP($E669,$C$5:$C$681,$B$5:$B$681,0),1),3),IF(OR(Ops!$L$2:'Ops'!$L$11=J669),VLOOKUP(J669,Ops!$L$2:'Ops'!$M$11,2,FALSE),"000")),IF(OR(Ops!$L$2:'Ops'!$L$11=J669),VLOOKUP(J669,Ops!$L$2:'Ops'!$M$11,2,FALSE),"000")),2)</f>
        <v>00</v>
      </c>
      <c r="R669" s="27"/>
      <c r="Z669" s="74" t="str">
        <f t="shared" si="185"/>
        <v>0x00,</v>
      </c>
      <c r="AA669" s="75" t="str">
        <f t="shared" si="186"/>
        <v>0x00,</v>
      </c>
      <c r="AB669" s="75" t="str">
        <f t="shared" si="187"/>
        <v>0x00,</v>
      </c>
      <c r="AC669" s="76"/>
    </row>
    <row r="670" spans="1:29" x14ac:dyDescent="0.3">
      <c r="A670" s="79">
        <f t="shared" si="175"/>
        <v>2016</v>
      </c>
      <c r="B670" s="80" t="str">
        <f t="shared" si="198"/>
        <v>7E0</v>
      </c>
      <c r="D670" s="29"/>
      <c r="F670" s="29"/>
      <c r="G670" s="24"/>
      <c r="H670" s="29"/>
      <c r="M670" s="14"/>
      <c r="N670" s="24"/>
      <c r="O670" s="26" t="str" cm="1">
        <f t="array" ref="O670">BIN2HEX(IF(I670&lt;&gt;"",VLOOKUP(I670,Ops!$I$2:'Ops'!$J$15,2,FALSE),IF(ISNUMBER(SEARCH("BR",D670)),"001","000"))&amp;IF(D670&lt;&gt;"",VLOOKUP(D670,Ops!$B$2:'Ops'!$C$23,2,FALSE),"0")&amp;_xlfn.IFS(ISNUMBER(SEARCH("BR",D670)),VLOOKUP(D670,Ops!$B$3:'Ops'!$D$22,3,FALSE),F670&lt;&gt;"",VLOOKUP(F670,Ops!$R$2:'Ops'!$S$11,2),L670&lt;&gt;"",VLOOKUP(L670,Ops!$R$2:'Ops'!$S$25,2,FALSE),TRUE,"0000"),2)</f>
        <v>00</v>
      </c>
      <c r="P670" s="26" t="str">
        <f>RIGHT(IF($E670&lt;&gt;"",_xlfn.XLOOKUP($E670,$C$4:$C$681,$B$4:$B$681,"NO LABEL"),BIN2HEX(IF(N670="CarryEn","1","0")&amp;IF(M670="SubXY","1","0")&amp;IF(H670&lt;&gt;"",VLOOKUP(H670,Ops!$F$2:'Ops'!$G$20,2,FALSE),"000000"),2)),2)</f>
        <v>00</v>
      </c>
      <c r="Q670" s="26" t="str" cm="1">
        <f t="array" ref="Q670">BIN2HEX(_xlfn.IFS(D670="HWINTEN","10",G670="KeyAck","01",G670="InitLp8","01",TRUE,"00")&amp;IF(OR(Ops!$O$2:'Ops'!$O$13=K670),VLOOKUP(K670,Ops!$O$2:'Ops'!$P$13,2,FALSE),"000")&amp;IF(E670&lt;&gt;"",IF(LEN(_xlfn.XLOOKUP($E670,$C$5:$C$681,$B$5:$B$681,0))=3,HEX2BIN(LEFT(_xlfn.XLOOKUP($E670,$C$5:$C$681,$B$5:$B$681,0),1),3),IF(OR(Ops!$L$2:'Ops'!$L$11=J670),VLOOKUP(J670,Ops!$L$2:'Ops'!$M$11,2,FALSE),"000")),IF(OR(Ops!$L$2:'Ops'!$L$11=J670),VLOOKUP(J670,Ops!$L$2:'Ops'!$M$11,2,FALSE),"000")),2)</f>
        <v>00</v>
      </c>
      <c r="R670" s="27"/>
      <c r="Z670" s="74" t="str">
        <f t="shared" si="185"/>
        <v>0x00,</v>
      </c>
      <c r="AA670" s="75" t="str">
        <f t="shared" si="186"/>
        <v>0x00,</v>
      </c>
      <c r="AB670" s="75" t="str">
        <f t="shared" si="187"/>
        <v>0x00,</v>
      </c>
      <c r="AC670" s="76"/>
    </row>
    <row r="671" spans="1:29" x14ac:dyDescent="0.3">
      <c r="A671" s="79">
        <f t="shared" si="175"/>
        <v>2019</v>
      </c>
      <c r="B671" s="80" t="str">
        <f t="shared" si="198"/>
        <v>7E3</v>
      </c>
      <c r="D671" s="29"/>
      <c r="F671" s="29"/>
      <c r="G671" s="24"/>
      <c r="H671" s="29"/>
      <c r="M671" s="14"/>
      <c r="N671" s="24"/>
      <c r="O671" s="26" t="str" cm="1">
        <f t="array" ref="O671">BIN2HEX(IF(I671&lt;&gt;"",VLOOKUP(I671,Ops!$I$2:'Ops'!$J$15,2,FALSE),IF(ISNUMBER(SEARCH("BR",D671)),"001","000"))&amp;IF(D671&lt;&gt;"",VLOOKUP(D671,Ops!$B$2:'Ops'!$C$23,2,FALSE),"0")&amp;_xlfn.IFS(ISNUMBER(SEARCH("BR",D671)),VLOOKUP(D671,Ops!$B$3:'Ops'!$D$22,3,FALSE),F671&lt;&gt;"",VLOOKUP(F671,Ops!$R$2:'Ops'!$S$11,2),L671&lt;&gt;"",VLOOKUP(L671,Ops!$R$2:'Ops'!$S$25,2,FALSE),TRUE,"0000"),2)</f>
        <v>00</v>
      </c>
      <c r="P671" s="26" t="str">
        <f>RIGHT(IF($E671&lt;&gt;"",_xlfn.XLOOKUP($E671,$C$4:$C$681,$B$4:$B$681,"NO LABEL"),BIN2HEX(IF(N671="CarryEn","1","0")&amp;IF(M671="SubXY","1","0")&amp;IF(H671&lt;&gt;"",VLOOKUP(H671,Ops!$F$2:'Ops'!$G$20,2,FALSE),"000000"),2)),2)</f>
        <v>00</v>
      </c>
      <c r="Q671" s="26" t="str" cm="1">
        <f t="array" ref="Q671">BIN2HEX(_xlfn.IFS(D671="HWINTEN","10",G671="KeyAck","01",G671="InitLp8","01",TRUE,"00")&amp;IF(OR(Ops!$O$2:'Ops'!$O$13=K671),VLOOKUP(K671,Ops!$O$2:'Ops'!$P$13,2,FALSE),"000")&amp;IF(E671&lt;&gt;"",IF(LEN(_xlfn.XLOOKUP($E671,$C$5:$C$681,$B$5:$B$681,0))=3,HEX2BIN(LEFT(_xlfn.XLOOKUP($E671,$C$5:$C$681,$B$5:$B$681,0),1),3),IF(OR(Ops!$L$2:'Ops'!$L$11=J671),VLOOKUP(J671,Ops!$L$2:'Ops'!$M$11,2,FALSE),"000")),IF(OR(Ops!$L$2:'Ops'!$L$11=J671),VLOOKUP(J671,Ops!$L$2:'Ops'!$M$11,2,FALSE),"000")),2)</f>
        <v>00</v>
      </c>
      <c r="R671" s="27"/>
      <c r="Z671" s="74" t="str">
        <f t="shared" si="185"/>
        <v>0x00,</v>
      </c>
      <c r="AA671" s="75" t="str">
        <f t="shared" si="186"/>
        <v>0x00,</v>
      </c>
      <c r="AB671" s="75" t="str">
        <f t="shared" si="187"/>
        <v>0x00,</v>
      </c>
      <c r="AC671" s="76"/>
    </row>
    <row r="672" spans="1:29" x14ac:dyDescent="0.3">
      <c r="A672" s="79">
        <f t="shared" si="175"/>
        <v>2022</v>
      </c>
      <c r="B672" s="80" t="str">
        <f t="shared" si="198"/>
        <v>7E6</v>
      </c>
      <c r="D672" s="29"/>
      <c r="F672" s="29"/>
      <c r="G672" s="24"/>
      <c r="H672" s="29"/>
      <c r="M672" s="14"/>
      <c r="N672" s="24"/>
      <c r="O672" s="26" t="str" cm="1">
        <f t="array" ref="O672">BIN2HEX(IF(I672&lt;&gt;"",VLOOKUP(I672,Ops!$I$2:'Ops'!$J$15,2,FALSE),IF(ISNUMBER(SEARCH("BR",D672)),"001","000"))&amp;IF(D672&lt;&gt;"",VLOOKUP(D672,Ops!$B$2:'Ops'!$C$23,2,FALSE),"0")&amp;_xlfn.IFS(ISNUMBER(SEARCH("BR",D672)),VLOOKUP(D672,Ops!$B$3:'Ops'!$D$22,3,FALSE),F672&lt;&gt;"",VLOOKUP(F672,Ops!$R$2:'Ops'!$S$11,2),L672&lt;&gt;"",VLOOKUP(L672,Ops!$R$2:'Ops'!$S$25,2,FALSE),TRUE,"0000"),2)</f>
        <v>00</v>
      </c>
      <c r="P672" s="26" t="str">
        <f>RIGHT(IF($E672&lt;&gt;"",_xlfn.XLOOKUP($E672,$C$4:$C$681,$B$4:$B$681,"NO LABEL"),BIN2HEX(IF(N672="CarryEn","1","0")&amp;IF(M672="SubXY","1","0")&amp;IF(H672&lt;&gt;"",VLOOKUP(H672,Ops!$F$2:'Ops'!$G$20,2,FALSE),"000000"),2)),2)</f>
        <v>00</v>
      </c>
      <c r="Q672" s="26" t="str" cm="1">
        <f t="array" ref="Q672">BIN2HEX(_xlfn.IFS(D672="HWINTEN","10",G672="KeyAck","01",G672="InitLp8","01",TRUE,"00")&amp;IF(OR(Ops!$O$2:'Ops'!$O$13=K672),VLOOKUP(K672,Ops!$O$2:'Ops'!$P$13,2,FALSE),"000")&amp;IF(E672&lt;&gt;"",IF(LEN(_xlfn.XLOOKUP($E672,$C$5:$C$681,$B$5:$B$681,0))=3,HEX2BIN(LEFT(_xlfn.XLOOKUP($E672,$C$5:$C$681,$B$5:$B$681,0),1),3),IF(OR(Ops!$L$2:'Ops'!$L$11=J672),VLOOKUP(J672,Ops!$L$2:'Ops'!$M$11,2,FALSE),"000")),IF(OR(Ops!$L$2:'Ops'!$L$11=J672),VLOOKUP(J672,Ops!$L$2:'Ops'!$M$11,2,FALSE),"000")),2)</f>
        <v>00</v>
      </c>
      <c r="R672" s="27"/>
      <c r="Z672" s="74" t="str">
        <f t="shared" si="185"/>
        <v>0x00,</v>
      </c>
      <c r="AA672" s="75" t="str">
        <f t="shared" si="186"/>
        <v>0x00,</v>
      </c>
      <c r="AB672" s="75" t="str">
        <f t="shared" si="187"/>
        <v>0x00,</v>
      </c>
      <c r="AC672" s="76"/>
    </row>
    <row r="673" spans="1:29" x14ac:dyDescent="0.3">
      <c r="A673" s="79">
        <f t="shared" si="175"/>
        <v>2025</v>
      </c>
      <c r="B673" s="80" t="str">
        <f t="shared" si="198"/>
        <v>7E9</v>
      </c>
      <c r="D673" s="29"/>
      <c r="F673" s="29"/>
      <c r="G673" s="24"/>
      <c r="H673" s="29"/>
      <c r="M673" s="14"/>
      <c r="N673" s="24"/>
      <c r="O673" s="26" t="str" cm="1">
        <f t="array" ref="O673">BIN2HEX(IF(I673&lt;&gt;"",VLOOKUP(I673,Ops!$I$2:'Ops'!$J$15,2,FALSE),IF(ISNUMBER(SEARCH("BR",D673)),"001","000"))&amp;IF(D673&lt;&gt;"",VLOOKUP(D673,Ops!$B$2:'Ops'!$C$23,2,FALSE),"0")&amp;_xlfn.IFS(ISNUMBER(SEARCH("BR",D673)),VLOOKUP(D673,Ops!$B$3:'Ops'!$D$22,3,FALSE),F673&lt;&gt;"",VLOOKUP(F673,Ops!$R$2:'Ops'!$S$11,2),L673&lt;&gt;"",VLOOKUP(L673,Ops!$R$2:'Ops'!$S$25,2,FALSE),TRUE,"0000"),2)</f>
        <v>00</v>
      </c>
      <c r="P673" s="26" t="str">
        <f>RIGHT(IF($E673&lt;&gt;"",_xlfn.XLOOKUP($E673,$C$4:$C$681,$B$4:$B$681,"NO LABEL"),BIN2HEX(IF(N673="CarryEn","1","0")&amp;IF(M673="SubXY","1","0")&amp;IF(H673&lt;&gt;"",VLOOKUP(H673,Ops!$F$2:'Ops'!$G$20,2,FALSE),"000000"),2)),2)</f>
        <v>00</v>
      </c>
      <c r="Q673" s="26" t="str" cm="1">
        <f t="array" ref="Q673">BIN2HEX(_xlfn.IFS(D673="HWINTEN","10",G673="KeyAck","01",G673="InitLp8","01",TRUE,"00")&amp;IF(OR(Ops!$O$2:'Ops'!$O$13=K673),VLOOKUP(K673,Ops!$O$2:'Ops'!$P$13,2,FALSE),"000")&amp;IF(E673&lt;&gt;"",IF(LEN(_xlfn.XLOOKUP($E673,$C$5:$C$681,$B$5:$B$681,0))=3,HEX2BIN(LEFT(_xlfn.XLOOKUP($E673,$C$5:$C$681,$B$5:$B$681,0),1),3),IF(OR(Ops!$L$2:'Ops'!$L$11=J673),VLOOKUP(J673,Ops!$L$2:'Ops'!$M$11,2,FALSE),"000")),IF(OR(Ops!$L$2:'Ops'!$L$11=J673),VLOOKUP(J673,Ops!$L$2:'Ops'!$M$11,2,FALSE),"000")),2)</f>
        <v>00</v>
      </c>
      <c r="R673" s="27"/>
      <c r="Z673" s="74" t="str">
        <f t="shared" si="185"/>
        <v>0x00,</v>
      </c>
      <c r="AA673" s="75" t="str">
        <f t="shared" si="186"/>
        <v>0x00,</v>
      </c>
      <c r="AB673" s="75" t="str">
        <f t="shared" si="187"/>
        <v>0x00,</v>
      </c>
      <c r="AC673" s="76"/>
    </row>
    <row r="674" spans="1:29" x14ac:dyDescent="0.3">
      <c r="A674" s="79">
        <f t="shared" si="175"/>
        <v>2028</v>
      </c>
      <c r="B674" s="80" t="str">
        <f t="shared" si="198"/>
        <v>7EC</v>
      </c>
      <c r="D674" s="29"/>
      <c r="F674" s="29"/>
      <c r="G674" s="24"/>
      <c r="H674" s="29"/>
      <c r="M674" s="14"/>
      <c r="N674" s="24"/>
      <c r="O674" s="26" t="str" cm="1">
        <f t="array" ref="O674">BIN2HEX(IF(I674&lt;&gt;"",VLOOKUP(I674,Ops!$I$2:'Ops'!$J$15,2,FALSE),IF(ISNUMBER(SEARCH("BR",D674)),"001","000"))&amp;IF(D674&lt;&gt;"",VLOOKUP(D674,Ops!$B$2:'Ops'!$C$23,2,FALSE),"0")&amp;_xlfn.IFS(ISNUMBER(SEARCH("BR",D674)),VLOOKUP(D674,Ops!$B$3:'Ops'!$D$22,3,FALSE),F674&lt;&gt;"",VLOOKUP(F674,Ops!$R$2:'Ops'!$S$11,2),L674&lt;&gt;"",VLOOKUP(L674,Ops!$R$2:'Ops'!$S$25,2,FALSE),TRUE,"0000"),2)</f>
        <v>00</v>
      </c>
      <c r="P674" s="26" t="str">
        <f>RIGHT(IF($E674&lt;&gt;"",_xlfn.XLOOKUP($E674,$C$4:$C$681,$B$4:$B$681,"NO LABEL"),BIN2HEX(IF(N674="CarryEn","1","0")&amp;IF(M674="SubXY","1","0")&amp;IF(H674&lt;&gt;"",VLOOKUP(H674,Ops!$F$2:'Ops'!$G$20,2,FALSE),"000000"),2)),2)</f>
        <v>00</v>
      </c>
      <c r="Q674" s="26" t="str" cm="1">
        <f t="array" ref="Q674">BIN2HEX(_xlfn.IFS(D674="HWINTEN","10",G674="KeyAck","01",G674="InitLp8","01",TRUE,"00")&amp;IF(OR(Ops!$O$2:'Ops'!$O$13=K674),VLOOKUP(K674,Ops!$O$2:'Ops'!$P$13,2,FALSE),"000")&amp;IF(E674&lt;&gt;"",IF(LEN(_xlfn.XLOOKUP($E674,$C$5:$C$681,$B$5:$B$681,0))=3,HEX2BIN(LEFT(_xlfn.XLOOKUP($E674,$C$5:$C$681,$B$5:$B$681,0),1),3),IF(OR(Ops!$L$2:'Ops'!$L$11=J674),VLOOKUP(J674,Ops!$L$2:'Ops'!$M$11,2,FALSE),"000")),IF(OR(Ops!$L$2:'Ops'!$L$11=J674),VLOOKUP(J674,Ops!$L$2:'Ops'!$M$11,2,FALSE),"000")),2)</f>
        <v>00</v>
      </c>
      <c r="R674" s="27"/>
      <c r="Z674" s="74" t="str">
        <f t="shared" si="185"/>
        <v>0x00,</v>
      </c>
      <c r="AA674" s="75" t="str">
        <f t="shared" si="186"/>
        <v>0x00,</v>
      </c>
      <c r="AB674" s="75" t="str">
        <f t="shared" si="187"/>
        <v>0x00,</v>
      </c>
      <c r="AC674" s="76"/>
    </row>
    <row r="675" spans="1:29" x14ac:dyDescent="0.3">
      <c r="A675" s="79">
        <f t="shared" si="175"/>
        <v>2031</v>
      </c>
      <c r="B675" s="80" t="str">
        <f t="shared" si="198"/>
        <v>7EF</v>
      </c>
      <c r="D675" s="29"/>
      <c r="F675" s="29"/>
      <c r="G675" s="24"/>
      <c r="H675" s="29"/>
      <c r="M675" s="14"/>
      <c r="N675" s="24"/>
      <c r="O675" s="26" t="str" cm="1">
        <f t="array" ref="O675">BIN2HEX(IF(I675&lt;&gt;"",VLOOKUP(I675,Ops!$I$2:'Ops'!$J$15,2,FALSE),IF(ISNUMBER(SEARCH("BR",D675)),"001","000"))&amp;IF(D675&lt;&gt;"",VLOOKUP(D675,Ops!$B$2:'Ops'!$C$23,2,FALSE),"0")&amp;_xlfn.IFS(ISNUMBER(SEARCH("BR",D675)),VLOOKUP(D675,Ops!$B$3:'Ops'!$D$22,3,FALSE),F675&lt;&gt;"",VLOOKUP(F675,Ops!$R$2:'Ops'!$S$11,2),L675&lt;&gt;"",VLOOKUP(L675,Ops!$R$2:'Ops'!$S$25,2,FALSE),TRUE,"0000"),2)</f>
        <v>00</v>
      </c>
      <c r="P675" s="26" t="str">
        <f>RIGHT(IF($E675&lt;&gt;"",_xlfn.XLOOKUP($E675,$C$4:$C$681,$B$4:$B$681,"NO LABEL"),BIN2HEX(IF(N675="CarryEn","1","0")&amp;IF(M675="SubXY","1","0")&amp;IF(H675&lt;&gt;"",VLOOKUP(H675,Ops!$F$2:'Ops'!$G$20,2,FALSE),"000000"),2)),2)</f>
        <v>00</v>
      </c>
      <c r="Q675" s="26" t="str" cm="1">
        <f t="array" ref="Q675">BIN2HEX(_xlfn.IFS(D675="HWINTEN","10",G675="KeyAck","01",G675="InitLp8","01",TRUE,"00")&amp;IF(OR(Ops!$O$2:'Ops'!$O$13=K675),VLOOKUP(K675,Ops!$O$2:'Ops'!$P$13,2,FALSE),"000")&amp;IF(E675&lt;&gt;"",IF(LEN(_xlfn.XLOOKUP($E675,$C$5:$C$681,$B$5:$B$681,0))=3,HEX2BIN(LEFT(_xlfn.XLOOKUP($E675,$C$5:$C$681,$B$5:$B$681,0),1),3),IF(OR(Ops!$L$2:'Ops'!$L$11=J675),VLOOKUP(J675,Ops!$L$2:'Ops'!$M$11,2,FALSE),"000")),IF(OR(Ops!$L$2:'Ops'!$L$11=J675),VLOOKUP(J675,Ops!$L$2:'Ops'!$M$11,2,FALSE),"000")),2)</f>
        <v>00</v>
      </c>
      <c r="R675" s="27"/>
      <c r="Z675" s="74" t="str">
        <f t="shared" si="185"/>
        <v>0x00,</v>
      </c>
      <c r="AA675" s="75" t="str">
        <f t="shared" si="186"/>
        <v>0x00,</v>
      </c>
      <c r="AB675" s="75" t="str">
        <f t="shared" si="187"/>
        <v>0x00,</v>
      </c>
      <c r="AC675" s="76"/>
    </row>
    <row r="676" spans="1:29" x14ac:dyDescent="0.3">
      <c r="A676" s="79">
        <f t="shared" si="175"/>
        <v>2034</v>
      </c>
      <c r="B676" s="80" t="str">
        <f t="shared" si="198"/>
        <v>7F2</v>
      </c>
      <c r="D676" s="29"/>
      <c r="F676" s="29"/>
      <c r="G676" s="24"/>
      <c r="H676" s="29"/>
      <c r="M676" s="14"/>
      <c r="N676" s="24"/>
      <c r="O676" s="26" t="str" cm="1">
        <f t="array" ref="O676">BIN2HEX(IF(I676&lt;&gt;"",VLOOKUP(I676,Ops!$I$2:'Ops'!$J$15,2,FALSE),IF(ISNUMBER(SEARCH("BR",D676)),"001","000"))&amp;IF(D676&lt;&gt;"",VLOOKUP(D676,Ops!$B$2:'Ops'!$C$23,2,FALSE),"0")&amp;_xlfn.IFS(ISNUMBER(SEARCH("BR",D676)),VLOOKUP(D676,Ops!$B$3:'Ops'!$D$22,3,FALSE),F676&lt;&gt;"",VLOOKUP(F676,Ops!$R$2:'Ops'!$S$11,2),L676&lt;&gt;"",VLOOKUP(L676,Ops!$R$2:'Ops'!$S$25,2,FALSE),TRUE,"0000"),2)</f>
        <v>00</v>
      </c>
      <c r="P676" s="26" t="str">
        <f>RIGHT(IF($E676&lt;&gt;"",_xlfn.XLOOKUP($E676,$C$4:$C$681,$B$4:$B$681,"NO LABEL"),BIN2HEX(IF(N676="CarryEn","1","0")&amp;IF(M676="SubXY","1","0")&amp;IF(H676&lt;&gt;"",VLOOKUP(H676,Ops!$F$2:'Ops'!$G$20,2,FALSE),"000000"),2)),2)</f>
        <v>00</v>
      </c>
      <c r="Q676" s="26" t="str" cm="1">
        <f t="array" ref="Q676">BIN2HEX(_xlfn.IFS(D676="HWINTEN","10",G676="KeyAck","01",G676="InitLp8","01",TRUE,"00")&amp;IF(OR(Ops!$O$2:'Ops'!$O$13=K676),VLOOKUP(K676,Ops!$O$2:'Ops'!$P$13,2,FALSE),"000")&amp;IF(E676&lt;&gt;"",IF(LEN(_xlfn.XLOOKUP($E676,$C$5:$C$681,$B$5:$B$681,0))=3,HEX2BIN(LEFT(_xlfn.XLOOKUP($E676,$C$5:$C$681,$B$5:$B$681,0),1),3),IF(OR(Ops!$L$2:'Ops'!$L$11=J676),VLOOKUP(J676,Ops!$L$2:'Ops'!$M$11,2,FALSE),"000")),IF(OR(Ops!$L$2:'Ops'!$L$11=J676),VLOOKUP(J676,Ops!$L$2:'Ops'!$M$11,2,FALSE),"000")),2)</f>
        <v>00</v>
      </c>
      <c r="R676" s="27"/>
      <c r="Z676" s="74" t="str">
        <f t="shared" si="185"/>
        <v>0x00,</v>
      </c>
      <c r="AA676" s="75" t="str">
        <f t="shared" si="186"/>
        <v>0x00,</v>
      </c>
      <c r="AB676" s="75" t="str">
        <f t="shared" si="187"/>
        <v>0x00,</v>
      </c>
      <c r="AC676" s="76"/>
    </row>
    <row r="677" spans="1:29" x14ac:dyDescent="0.3">
      <c r="A677" s="79">
        <f t="shared" si="175"/>
        <v>2037</v>
      </c>
      <c r="B677" s="80" t="str">
        <f t="shared" si="198"/>
        <v>7F5</v>
      </c>
      <c r="D677" s="29"/>
      <c r="F677" s="29"/>
      <c r="G677" s="24"/>
      <c r="H677" s="29"/>
      <c r="M677" s="14"/>
      <c r="N677" s="24"/>
      <c r="O677" s="26" t="str" cm="1">
        <f t="array" ref="O677">BIN2HEX(IF(I677&lt;&gt;"",VLOOKUP(I677,Ops!$I$2:'Ops'!$J$15,2,FALSE),IF(ISNUMBER(SEARCH("BR",D677)),"001","000"))&amp;IF(D677&lt;&gt;"",VLOOKUP(D677,Ops!$B$2:'Ops'!$C$23,2,FALSE),"0")&amp;_xlfn.IFS(ISNUMBER(SEARCH("BR",D677)),VLOOKUP(D677,Ops!$B$3:'Ops'!$D$22,3,FALSE),F677&lt;&gt;"",VLOOKUP(F677,Ops!$R$2:'Ops'!$S$11,2),L677&lt;&gt;"",VLOOKUP(L677,Ops!$R$2:'Ops'!$S$25,2,FALSE),TRUE,"0000"),2)</f>
        <v>00</v>
      </c>
      <c r="P677" s="26" t="str">
        <f>RIGHT(IF($E677&lt;&gt;"",_xlfn.XLOOKUP($E677,$C$4:$C$681,$B$4:$B$681,"NO LABEL"),BIN2HEX(IF(N677="CarryEn","1","0")&amp;IF(M677="SubXY","1","0")&amp;IF(H677&lt;&gt;"",VLOOKUP(H677,Ops!$F$2:'Ops'!$G$20,2,FALSE),"000000"),2)),2)</f>
        <v>00</v>
      </c>
      <c r="Q677" s="26" t="str" cm="1">
        <f t="array" ref="Q677">BIN2HEX(_xlfn.IFS(D677="HWINTEN","10",G677="KeyAck","01",G677="InitLp8","01",TRUE,"00")&amp;IF(OR(Ops!$O$2:'Ops'!$O$13=K677),VLOOKUP(K677,Ops!$O$2:'Ops'!$P$13,2,FALSE),"000")&amp;IF(E677&lt;&gt;"",IF(LEN(_xlfn.XLOOKUP($E677,$C$5:$C$681,$B$5:$B$681,0))=3,HEX2BIN(LEFT(_xlfn.XLOOKUP($E677,$C$5:$C$681,$B$5:$B$681,0),1),3),IF(OR(Ops!$L$2:'Ops'!$L$11=J677),VLOOKUP(J677,Ops!$L$2:'Ops'!$M$11,2,FALSE),"000")),IF(OR(Ops!$L$2:'Ops'!$L$11=J677),VLOOKUP(J677,Ops!$L$2:'Ops'!$M$11,2,FALSE),"000")),2)</f>
        <v>00</v>
      </c>
      <c r="R677" s="27"/>
      <c r="Z677" s="74" t="str">
        <f t="shared" si="185"/>
        <v>0x00,</v>
      </c>
      <c r="AA677" s="75" t="str">
        <f t="shared" si="186"/>
        <v>0x00,</v>
      </c>
      <c r="AB677" s="75" t="str">
        <f t="shared" si="187"/>
        <v>0x00,</v>
      </c>
      <c r="AC677" s="76"/>
    </row>
    <row r="678" spans="1:29" x14ac:dyDescent="0.3">
      <c r="A678" s="79">
        <f t="shared" si="175"/>
        <v>2040</v>
      </c>
      <c r="B678" s="80" t="str">
        <f t="shared" ref="B678:B679" si="199">DEC2HEX(A678)</f>
        <v>7F8</v>
      </c>
      <c r="D678" s="29"/>
      <c r="F678" s="29"/>
      <c r="G678" s="24"/>
      <c r="H678" s="29"/>
      <c r="M678" s="14"/>
      <c r="N678" s="24"/>
      <c r="O678" s="26" t="str" cm="1">
        <f t="array" ref="O678">BIN2HEX(IF(I678&lt;&gt;"",VLOOKUP(I678,Ops!$I$2:'Ops'!$J$15,2,FALSE),IF(ISNUMBER(SEARCH("BR",D678)),"001","000"))&amp;IF(D678&lt;&gt;"",VLOOKUP(D678,Ops!$B$2:'Ops'!$C$23,2,FALSE),"0")&amp;_xlfn.IFS(ISNUMBER(SEARCH("BR",D678)),VLOOKUP(D678,Ops!$B$3:'Ops'!$D$22,3,FALSE),F678&lt;&gt;"",VLOOKUP(F678,Ops!$R$2:'Ops'!$S$11,2),L678&lt;&gt;"",VLOOKUP(L678,Ops!$R$2:'Ops'!$S$25,2,FALSE),TRUE,"0000"),2)</f>
        <v>00</v>
      </c>
      <c r="P678" s="26" t="str">
        <f>RIGHT(IF($E678&lt;&gt;"",_xlfn.XLOOKUP($E678,$C$4:$C$681,$B$4:$B$681,"NO LABEL"),BIN2HEX(IF(N678="CarryEn","1","0")&amp;IF(M678="SubXY","1","0")&amp;IF(H678&lt;&gt;"",VLOOKUP(H678,Ops!$F$2:'Ops'!$G$20,2,FALSE),"000000"),2)),2)</f>
        <v>00</v>
      </c>
      <c r="Q678" s="26" t="str" cm="1">
        <f t="array" ref="Q678">BIN2HEX(_xlfn.IFS(D678="HWINTEN","10",G678="KeyAck","01",G678="InitLp8","01",TRUE,"00")&amp;IF(OR(Ops!$O$2:'Ops'!$O$13=K678),VLOOKUP(K678,Ops!$O$2:'Ops'!$P$13,2,FALSE),"000")&amp;IF(E678&lt;&gt;"",IF(LEN(_xlfn.XLOOKUP($E678,$C$5:$C$681,$B$5:$B$681,0))=3,HEX2BIN(LEFT(_xlfn.XLOOKUP($E678,$C$5:$C$681,$B$5:$B$681,0),1),3),IF(OR(Ops!$L$2:'Ops'!$L$11=J678),VLOOKUP(J678,Ops!$L$2:'Ops'!$M$11,2,FALSE),"000")),IF(OR(Ops!$L$2:'Ops'!$L$11=J678),VLOOKUP(J678,Ops!$L$2:'Ops'!$M$11,2,FALSE),"000")),2)</f>
        <v>00</v>
      </c>
      <c r="R678" s="27"/>
      <c r="Z678" s="74" t="str">
        <f t="shared" si="185"/>
        <v>0x00,</v>
      </c>
      <c r="AA678" s="75" t="str">
        <f t="shared" si="186"/>
        <v>0x00,</v>
      </c>
      <c r="AB678" s="75" t="str">
        <f t="shared" si="187"/>
        <v>0x00,</v>
      </c>
      <c r="AC678" s="76"/>
    </row>
    <row r="679" spans="1:29" x14ac:dyDescent="0.3">
      <c r="A679" s="79">
        <f t="shared" si="175"/>
        <v>2043</v>
      </c>
      <c r="B679" s="80" t="str">
        <f t="shared" si="199"/>
        <v>7FB</v>
      </c>
      <c r="D679" s="29"/>
      <c r="F679" s="29"/>
      <c r="G679" s="24"/>
      <c r="H679" s="29"/>
      <c r="M679" s="14"/>
      <c r="N679" s="24"/>
      <c r="O679" s="26" t="str" cm="1">
        <f t="array" ref="O679">BIN2HEX(IF(I679&lt;&gt;"",VLOOKUP(I679,Ops!$I$2:'Ops'!$J$15,2,FALSE),IF(ISNUMBER(SEARCH("BR",D679)),"001","000"))&amp;IF(D679&lt;&gt;"",VLOOKUP(D679,Ops!$B$2:'Ops'!$C$23,2,FALSE),"0")&amp;_xlfn.IFS(ISNUMBER(SEARCH("BR",D679)),VLOOKUP(D679,Ops!$B$3:'Ops'!$D$22,3,FALSE),F679&lt;&gt;"",VLOOKUP(F679,Ops!$R$2:'Ops'!$S$11,2),L679&lt;&gt;"",VLOOKUP(L679,Ops!$R$2:'Ops'!$S$25,2,FALSE),TRUE,"0000"),2)</f>
        <v>00</v>
      </c>
      <c r="P679" s="26" t="str">
        <f>RIGHT(IF($E679&lt;&gt;"",_xlfn.XLOOKUP($E679,$C$4:$C$681,$B$4:$B$681,"NO LABEL"),BIN2HEX(IF(N679="CarryEn","1","0")&amp;IF(M679="SubXY","1","0")&amp;IF(H679&lt;&gt;"",VLOOKUP(H679,Ops!$F$2:'Ops'!$G$20,2,FALSE),"000000"),2)),2)</f>
        <v>00</v>
      </c>
      <c r="Q679" s="26" t="str" cm="1">
        <f t="array" ref="Q679">BIN2HEX(_xlfn.IFS(D679="HWINTEN","10",G679="KeyAck","01",G679="InitLp8","01",TRUE,"00")&amp;IF(OR(Ops!$O$2:'Ops'!$O$13=K679),VLOOKUP(K679,Ops!$O$2:'Ops'!$P$13,2,FALSE),"000")&amp;IF(E679&lt;&gt;"",IF(LEN(_xlfn.XLOOKUP($E679,$C$5:$C$681,$B$5:$B$681,0))=3,HEX2BIN(LEFT(_xlfn.XLOOKUP($E679,$C$5:$C$681,$B$5:$B$681,0),1),3),IF(OR(Ops!$L$2:'Ops'!$L$11=J679),VLOOKUP(J679,Ops!$L$2:'Ops'!$M$11,2,FALSE),"000")),IF(OR(Ops!$L$2:'Ops'!$L$11=J679),VLOOKUP(J679,Ops!$L$2:'Ops'!$M$11,2,FALSE),"000")),2)</f>
        <v>00</v>
      </c>
      <c r="R679" s="27"/>
      <c r="Z679" s="74" t="str">
        <f t="shared" si="185"/>
        <v>0x00,</v>
      </c>
      <c r="AA679" s="75" t="str">
        <f t="shared" si="186"/>
        <v>0x00,</v>
      </c>
      <c r="AB679" s="75" t="str">
        <f t="shared" si="187"/>
        <v>0x00,</v>
      </c>
      <c r="AC679" s="76"/>
    </row>
    <row r="680" spans="1:29" x14ac:dyDescent="0.3">
      <c r="A680" s="79">
        <f t="shared" si="175"/>
        <v>2046</v>
      </c>
      <c r="B680" s="80" t="str">
        <f t="shared" ref="B680:B681" si="200">DEC2HEX(A680)</f>
        <v>7FE</v>
      </c>
      <c r="D680" s="29"/>
      <c r="F680" s="29"/>
      <c r="G680" s="24"/>
      <c r="H680" s="29"/>
      <c r="M680" s="14"/>
      <c r="N680" s="24"/>
      <c r="O680" s="26" t="str" cm="1">
        <f t="array" ref="O680">BIN2HEX(IF(I680&lt;&gt;"",VLOOKUP(I680,Ops!$I$2:'Ops'!$J$15,2,FALSE),IF(ISNUMBER(SEARCH("BR",D680)),"001","000"))&amp;IF(D680&lt;&gt;"",VLOOKUP(D680,Ops!$B$2:'Ops'!$C$23,2,FALSE),"0")&amp;_xlfn.IFS(ISNUMBER(SEARCH("BR",D680)),VLOOKUP(D680,Ops!$B$3:'Ops'!$D$22,3,FALSE),F680&lt;&gt;"",VLOOKUP(F680,Ops!$R$2:'Ops'!$S$11,2),L680&lt;&gt;"",VLOOKUP(L680,Ops!$R$2:'Ops'!$S$25,2,FALSE),TRUE,"0000"),2)</f>
        <v>00</v>
      </c>
      <c r="P680" s="26" t="str">
        <f>RIGHT(IF($E680&lt;&gt;"",_xlfn.XLOOKUP($E680,$C$4:$C$681,$B$4:$B$681,"NO LABEL"),BIN2HEX(IF(N680="CarryEn","1","0")&amp;IF(M680="SubXY","1","0")&amp;IF(H680&lt;&gt;"",VLOOKUP(H680,Ops!$F$2:'Ops'!$G$20,2,FALSE),"000000"),2)),2)</f>
        <v>00</v>
      </c>
      <c r="Q680" s="26" t="str" cm="1">
        <f t="array" ref="Q680">BIN2HEX(_xlfn.IFS(D680="HWINTEN","10",G680="KeyAck","01",G680="InitLp8","01",TRUE,"00")&amp;IF(OR(Ops!$O$2:'Ops'!$O$13=K680),VLOOKUP(K680,Ops!$O$2:'Ops'!$P$13,2,FALSE),"000")&amp;IF(E680&lt;&gt;"",IF(LEN(_xlfn.XLOOKUP($E680,$C$5:$C$681,$B$5:$B$681,0))=3,HEX2BIN(LEFT(_xlfn.XLOOKUP($E680,$C$5:$C$681,$B$5:$B$681,0),1),3),IF(OR(Ops!$L$2:'Ops'!$L$11=J680),VLOOKUP(J680,Ops!$L$2:'Ops'!$M$11,2,FALSE),"000")),IF(OR(Ops!$L$2:'Ops'!$L$11=J680),VLOOKUP(J680,Ops!$L$2:'Ops'!$M$11,2,FALSE),"000")),2)</f>
        <v>00</v>
      </c>
      <c r="R680" s="27"/>
      <c r="Z680" s="74" t="str">
        <f t="shared" ref="Z680:Z681" si="201">IF(O680="", "};", "0x"&amp;O680&amp;",")</f>
        <v>0x00,</v>
      </c>
      <c r="AA680" s="75" t="str">
        <f t="shared" ref="AA680:AA681" si="202">"0x"&amp;P680&amp;","</f>
        <v>0x00,</v>
      </c>
      <c r="AB680" s="75" t="str">
        <f t="shared" ref="AB680:AB681" si="203">"0x"&amp;Q680&amp;","</f>
        <v>0x00,</v>
      </c>
      <c r="AC680" s="76"/>
    </row>
    <row r="681" spans="1:29" x14ac:dyDescent="0.3">
      <c r="A681" s="79">
        <f t="shared" si="175"/>
        <v>2049</v>
      </c>
      <c r="B681" s="80" t="str">
        <f t="shared" si="200"/>
        <v>801</v>
      </c>
      <c r="D681" s="29"/>
      <c r="F681" s="29"/>
      <c r="G681" s="24"/>
      <c r="H681" s="29"/>
      <c r="M681" s="14"/>
      <c r="N681" s="24"/>
      <c r="O681" s="26" t="str" cm="1">
        <f t="array" ref="O681">BIN2HEX(IF(I681&lt;&gt;"",VLOOKUP(I681,Ops!$I$2:'Ops'!$J$15,2,FALSE),IF(ISNUMBER(SEARCH("BR",D681)),"001","000"))&amp;IF(D681&lt;&gt;"",VLOOKUP(D681,Ops!$B$2:'Ops'!$C$23,2,FALSE),"0")&amp;_xlfn.IFS(ISNUMBER(SEARCH("BR",D681)),VLOOKUP(D681,Ops!$B$3:'Ops'!$D$22,3,FALSE),F681&lt;&gt;"",VLOOKUP(F681,Ops!$R$2:'Ops'!$S$11,2),L681&lt;&gt;"",VLOOKUP(L681,Ops!$R$2:'Ops'!$S$25,2,FALSE),TRUE,"0000"),2)</f>
        <v>00</v>
      </c>
      <c r="P681" s="26" t="str">
        <f>RIGHT(IF($E681&lt;&gt;"",_xlfn.XLOOKUP($E681,$C$4:$C$681,$B$4:$B$681,"NO LABEL"),BIN2HEX(IF(N681="CarryEn","1","0")&amp;IF(M681="SubXY","1","0")&amp;IF(H681&lt;&gt;"",VLOOKUP(H681,Ops!$F$2:'Ops'!$G$20,2,FALSE),"000000"),2)),2)</f>
        <v>00</v>
      </c>
      <c r="Q681" s="26" t="str" cm="1">
        <f t="array" ref="Q681">BIN2HEX(_xlfn.IFS(D681="HWINTEN","10",G681="KeyAck","01",G681="InitLp8","01",TRUE,"00")&amp;IF(OR(Ops!$O$2:'Ops'!$O$13=K681),VLOOKUP(K681,Ops!$O$2:'Ops'!$P$13,2,FALSE),"000")&amp;IF(E681&lt;&gt;"",IF(LEN(_xlfn.XLOOKUP($E681,$C$5:$C$681,$B$5:$B$681,0))=3,HEX2BIN(LEFT(_xlfn.XLOOKUP($E681,$C$5:$C$681,$B$5:$B$681,0),1),3),IF(OR(Ops!$L$2:'Ops'!$L$11=J681),VLOOKUP(J681,Ops!$L$2:'Ops'!$M$11,2,FALSE),"000")),IF(OR(Ops!$L$2:'Ops'!$L$11=J681),VLOOKUP(J681,Ops!$L$2:'Ops'!$M$11,2,FALSE),"000")),2)</f>
        <v>00</v>
      </c>
      <c r="R681" s="27"/>
      <c r="Z681" s="74" t="str">
        <f t="shared" si="201"/>
        <v>0x00,</v>
      </c>
      <c r="AA681" s="75" t="str">
        <f t="shared" si="202"/>
        <v>0x00,</v>
      </c>
      <c r="AB681" s="75" t="str">
        <f t="shared" si="203"/>
        <v>0x00,</v>
      </c>
      <c r="AC681" s="76"/>
    </row>
    <row r="682" spans="1:29" x14ac:dyDescent="0.3">
      <c r="A682" s="96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5"/>
      <c r="P682" s="65"/>
      <c r="Q682" s="65"/>
      <c r="R682" s="65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 spans="1:29" x14ac:dyDescent="0.3">
      <c r="A683" s="19"/>
      <c r="Z683" s="75"/>
      <c r="AA683" s="75"/>
      <c r="AB683" s="75"/>
      <c r="AC683" s="75"/>
    </row>
    <row r="684" spans="1:29" x14ac:dyDescent="0.3">
      <c r="A684" s="19"/>
      <c r="Z684" s="75"/>
      <c r="AA684" s="75"/>
      <c r="AB684" s="75"/>
      <c r="AC684" s="75"/>
    </row>
    <row r="685" spans="1:29" x14ac:dyDescent="0.3">
      <c r="A685" s="19"/>
      <c r="Z685" s="75"/>
      <c r="AA685" s="75"/>
      <c r="AB685" s="75"/>
      <c r="AC685" s="75"/>
    </row>
    <row r="686" spans="1:29" x14ac:dyDescent="0.3">
      <c r="A686" s="19"/>
      <c r="Z686" s="75"/>
      <c r="AA686" s="75"/>
      <c r="AB686" s="75"/>
      <c r="AC686" s="75"/>
    </row>
    <row r="687" spans="1:29" x14ac:dyDescent="0.3">
      <c r="A687" s="19"/>
      <c r="Z687" s="75"/>
      <c r="AA687" s="75"/>
      <c r="AB687" s="75"/>
      <c r="AC687" s="75"/>
    </row>
    <row r="688" spans="1:29" x14ac:dyDescent="0.3">
      <c r="A688" s="19"/>
      <c r="Z688" s="75"/>
      <c r="AA688" s="75"/>
      <c r="AB688" s="75"/>
      <c r="AC688" s="75"/>
    </row>
    <row r="689" spans="1:29" x14ac:dyDescent="0.3">
      <c r="A689" s="19"/>
      <c r="Z689" s="75"/>
      <c r="AA689" s="75"/>
      <c r="AB689" s="75"/>
      <c r="AC689" s="75"/>
    </row>
    <row r="690" spans="1:29" x14ac:dyDescent="0.3">
      <c r="A690" s="19"/>
      <c r="Z690" s="75"/>
      <c r="AA690" s="75"/>
      <c r="AB690" s="75"/>
      <c r="AC690" s="75"/>
    </row>
    <row r="691" spans="1:29" x14ac:dyDescent="0.3">
      <c r="A691" s="19"/>
      <c r="Z691" s="75"/>
      <c r="AA691" s="75"/>
      <c r="AB691" s="75"/>
      <c r="AC691" s="75"/>
    </row>
    <row r="692" spans="1:29" x14ac:dyDescent="0.3">
      <c r="A692" s="19"/>
      <c r="Z692" s="75"/>
      <c r="AA692" s="75"/>
      <c r="AB692" s="75"/>
      <c r="AC692" s="75"/>
    </row>
    <row r="693" spans="1:29" x14ac:dyDescent="0.3">
      <c r="A693" s="19"/>
      <c r="Z693" s="75"/>
      <c r="AA693" s="75"/>
      <c r="AB693" s="75"/>
      <c r="AC693" s="75"/>
    </row>
    <row r="694" spans="1:29" x14ac:dyDescent="0.3">
      <c r="A694" s="19"/>
      <c r="Z694" s="75"/>
      <c r="AA694" s="75"/>
      <c r="AB694" s="75"/>
      <c r="AC694" s="75"/>
    </row>
    <row r="695" spans="1:29" x14ac:dyDescent="0.3">
      <c r="A695" s="19"/>
      <c r="Z695" s="75"/>
      <c r="AA695" s="75"/>
      <c r="AB695" s="75"/>
      <c r="AC695" s="75"/>
    </row>
    <row r="696" spans="1:29" x14ac:dyDescent="0.3">
      <c r="A696" s="19"/>
      <c r="Z696" s="75"/>
      <c r="AA696" s="75"/>
      <c r="AB696" s="75"/>
      <c r="AC696" s="75"/>
    </row>
    <row r="697" spans="1:29" x14ac:dyDescent="0.3">
      <c r="A697" s="19"/>
      <c r="Z697" s="75"/>
      <c r="AA697" s="75"/>
      <c r="AB697" s="75"/>
      <c r="AC697" s="75"/>
    </row>
    <row r="698" spans="1:29" x14ac:dyDescent="0.3">
      <c r="A698" s="19"/>
      <c r="Z698" s="75"/>
      <c r="AA698" s="75"/>
      <c r="AB698" s="75"/>
      <c r="AC698" s="75"/>
    </row>
    <row r="699" spans="1:29" x14ac:dyDescent="0.3">
      <c r="A699" s="19"/>
      <c r="Z699" s="75"/>
      <c r="AA699" s="75"/>
      <c r="AB699" s="75"/>
      <c r="AC699" s="75"/>
    </row>
    <row r="700" spans="1:29" x14ac:dyDescent="0.3">
      <c r="A700" s="19"/>
      <c r="Z700" s="75"/>
      <c r="AA700" s="75"/>
      <c r="AB700" s="75"/>
      <c r="AC700" s="75"/>
    </row>
    <row r="701" spans="1:29" x14ac:dyDescent="0.3">
      <c r="A701" s="19"/>
      <c r="Z701" s="75"/>
      <c r="AA701" s="75"/>
      <c r="AB701" s="75"/>
      <c r="AC701" s="75"/>
    </row>
    <row r="702" spans="1:29" x14ac:dyDescent="0.3">
      <c r="A702" s="19"/>
      <c r="Z702" s="75"/>
      <c r="AA702" s="75"/>
      <c r="AB702" s="75"/>
      <c r="AC702" s="75"/>
    </row>
    <row r="703" spans="1:29" x14ac:dyDescent="0.3">
      <c r="A703" s="19"/>
      <c r="Z703" s="75"/>
      <c r="AA703" s="75"/>
      <c r="AB703" s="75"/>
      <c r="AC703" s="75"/>
    </row>
    <row r="704" spans="1:29" x14ac:dyDescent="0.3">
      <c r="A704" s="19"/>
      <c r="Z704" s="75"/>
      <c r="AA704" s="75"/>
      <c r="AB704" s="75"/>
      <c r="AC704" s="75"/>
    </row>
    <row r="705" spans="1:29" x14ac:dyDescent="0.3">
      <c r="A705" s="19"/>
      <c r="Z705" s="75"/>
      <c r="AA705" s="75"/>
      <c r="AB705" s="75"/>
      <c r="AC705" s="75"/>
    </row>
    <row r="706" spans="1:29" x14ac:dyDescent="0.3">
      <c r="A706" s="19"/>
      <c r="Z706" s="75"/>
      <c r="AA706" s="75"/>
      <c r="AB706" s="75"/>
      <c r="AC706" s="75"/>
    </row>
    <row r="707" spans="1:29" x14ac:dyDescent="0.3">
      <c r="A707" s="19"/>
      <c r="Z707" s="75"/>
      <c r="AA707" s="75"/>
      <c r="AB707" s="75"/>
      <c r="AC707" s="75"/>
    </row>
    <row r="708" spans="1:29" x14ac:dyDescent="0.3">
      <c r="A708" s="19"/>
      <c r="Z708" s="75"/>
      <c r="AA708" s="75"/>
      <c r="AB708" s="75"/>
      <c r="AC708" s="75"/>
    </row>
    <row r="709" spans="1:29" x14ac:dyDescent="0.3">
      <c r="A709" s="19"/>
      <c r="Z709" s="75"/>
      <c r="AA709" s="75"/>
      <c r="AB709" s="75"/>
      <c r="AC709" s="75"/>
    </row>
    <row r="710" spans="1:29" x14ac:dyDescent="0.3">
      <c r="A710" s="19"/>
      <c r="Z710" s="75"/>
      <c r="AA710" s="75"/>
      <c r="AB710" s="75"/>
      <c r="AC710" s="75"/>
    </row>
    <row r="711" spans="1:29" x14ac:dyDescent="0.3">
      <c r="A711" s="19"/>
      <c r="Z711" s="75"/>
      <c r="AA711" s="75"/>
      <c r="AB711" s="75"/>
      <c r="AC711" s="75"/>
    </row>
    <row r="712" spans="1:29" x14ac:dyDescent="0.3">
      <c r="A712" s="19"/>
      <c r="Z712" s="75"/>
      <c r="AA712" s="75"/>
      <c r="AB712" s="75"/>
      <c r="AC712" s="75"/>
    </row>
    <row r="713" spans="1:29" x14ac:dyDescent="0.3">
      <c r="A713" s="19"/>
      <c r="Z713" s="75"/>
      <c r="AA713" s="75"/>
      <c r="AB713" s="75"/>
      <c r="AC713" s="75"/>
    </row>
    <row r="714" spans="1:29" x14ac:dyDescent="0.3">
      <c r="A714" s="19"/>
      <c r="Z714" s="75"/>
      <c r="AA714" s="75"/>
      <c r="AB714" s="75"/>
      <c r="AC714" s="75"/>
    </row>
    <row r="715" spans="1:29" x14ac:dyDescent="0.3">
      <c r="A715" s="19"/>
      <c r="Z715" s="75"/>
      <c r="AA715" s="75"/>
      <c r="AB715" s="75"/>
      <c r="AC715" s="75"/>
    </row>
    <row r="716" spans="1:29" x14ac:dyDescent="0.3">
      <c r="A716" s="19"/>
      <c r="Z716" s="75"/>
      <c r="AA716" s="75"/>
      <c r="AB716" s="75"/>
      <c r="AC716" s="75"/>
    </row>
    <row r="717" spans="1:29" x14ac:dyDescent="0.3">
      <c r="A717" s="19"/>
      <c r="Z717" s="75"/>
      <c r="AA717" s="75"/>
      <c r="AB717" s="75"/>
      <c r="AC717" s="75"/>
    </row>
    <row r="718" spans="1:29" x14ac:dyDescent="0.3">
      <c r="A718" s="19"/>
      <c r="Z718" s="75"/>
      <c r="AA718" s="75"/>
      <c r="AB718" s="75"/>
      <c r="AC718" s="75"/>
    </row>
    <row r="719" spans="1:29" x14ac:dyDescent="0.3">
      <c r="A719" s="19"/>
      <c r="Z719" s="75"/>
      <c r="AA719" s="75"/>
      <c r="AB719" s="75"/>
      <c r="AC719" s="75"/>
    </row>
    <row r="720" spans="1:29" x14ac:dyDescent="0.3">
      <c r="A720" s="19"/>
      <c r="Z720" s="75"/>
      <c r="AA720" s="75"/>
      <c r="AB720" s="75"/>
      <c r="AC720" s="75"/>
    </row>
    <row r="721" spans="1:29" x14ac:dyDescent="0.3">
      <c r="A721" s="19"/>
      <c r="Z721" s="75"/>
      <c r="AA721" s="75"/>
      <c r="AB721" s="75"/>
      <c r="AC721" s="75"/>
    </row>
    <row r="722" spans="1:29" x14ac:dyDescent="0.3">
      <c r="A722" s="19"/>
      <c r="Z722" s="75"/>
      <c r="AA722" s="75"/>
      <c r="AB722" s="75"/>
      <c r="AC722" s="75"/>
    </row>
    <row r="723" spans="1:29" x14ac:dyDescent="0.3">
      <c r="A723" s="19"/>
      <c r="Z723" s="75"/>
      <c r="AA723" s="75"/>
      <c r="AB723" s="75"/>
      <c r="AC723" s="75"/>
    </row>
    <row r="724" spans="1:29" x14ac:dyDescent="0.3">
      <c r="A724" s="19"/>
      <c r="Z724" s="75"/>
      <c r="AA724" s="75"/>
      <c r="AB724" s="75"/>
      <c r="AC724" s="75"/>
    </row>
    <row r="725" spans="1:29" x14ac:dyDescent="0.3">
      <c r="A725" s="19"/>
      <c r="Z725" s="75"/>
      <c r="AA725" s="75"/>
      <c r="AB725" s="75"/>
      <c r="AC725" s="75"/>
    </row>
    <row r="726" spans="1:29" x14ac:dyDescent="0.3">
      <c r="A726" s="19"/>
      <c r="Z726" s="75"/>
      <c r="AA726" s="75"/>
      <c r="AB726" s="75"/>
      <c r="AC726" s="75"/>
    </row>
    <row r="727" spans="1:29" x14ac:dyDescent="0.3">
      <c r="A727" s="19"/>
      <c r="Z727" s="75"/>
      <c r="AA727" s="75"/>
      <c r="AB727" s="75"/>
      <c r="AC727" s="75"/>
    </row>
    <row r="728" spans="1:29" x14ac:dyDescent="0.3">
      <c r="A728" s="19"/>
      <c r="Z728" s="75"/>
      <c r="AA728" s="75"/>
      <c r="AB728" s="75"/>
      <c r="AC728" s="75"/>
    </row>
    <row r="729" spans="1:29" x14ac:dyDescent="0.3">
      <c r="A729" s="19"/>
      <c r="Z729" s="75"/>
      <c r="AA729" s="75"/>
      <c r="AB729" s="75"/>
      <c r="AC729" s="75"/>
    </row>
    <row r="730" spans="1:29" x14ac:dyDescent="0.3">
      <c r="A730" s="19"/>
      <c r="Z730" s="75"/>
      <c r="AA730" s="75"/>
      <c r="AB730" s="75"/>
      <c r="AC730" s="75"/>
    </row>
    <row r="731" spans="1:29" x14ac:dyDescent="0.3">
      <c r="A731" s="19"/>
      <c r="Z731" s="75"/>
      <c r="AA731" s="75"/>
      <c r="AB731" s="75"/>
      <c r="AC731" s="75"/>
    </row>
    <row r="732" spans="1:29" x14ac:dyDescent="0.3">
      <c r="A732" s="19"/>
      <c r="Z732" s="75"/>
      <c r="AA732" s="75"/>
      <c r="AB732" s="75"/>
      <c r="AC732" s="75"/>
    </row>
    <row r="733" spans="1:29" x14ac:dyDescent="0.3">
      <c r="A733" s="19"/>
      <c r="Z733" s="75"/>
      <c r="AA733" s="75"/>
      <c r="AB733" s="75"/>
      <c r="AC733" s="75"/>
    </row>
    <row r="734" spans="1:29" x14ac:dyDescent="0.3">
      <c r="A734" s="19"/>
      <c r="Z734" s="75"/>
      <c r="AA734" s="75"/>
      <c r="AB734" s="75"/>
      <c r="AC734" s="75"/>
    </row>
    <row r="735" spans="1:29" x14ac:dyDescent="0.3">
      <c r="A735" s="19"/>
      <c r="Z735" s="75"/>
      <c r="AA735" s="75"/>
      <c r="AB735" s="75"/>
      <c r="AC735" s="75"/>
    </row>
    <row r="736" spans="1:29" x14ac:dyDescent="0.3">
      <c r="A736" s="19"/>
      <c r="Z736" s="75"/>
      <c r="AA736" s="75"/>
      <c r="AB736" s="75"/>
      <c r="AC736" s="75"/>
    </row>
    <row r="737" spans="1:29" x14ac:dyDescent="0.3">
      <c r="A737" s="19"/>
      <c r="Z737" s="75"/>
      <c r="AA737" s="75"/>
      <c r="AB737" s="75"/>
      <c r="AC737" s="75"/>
    </row>
    <row r="738" spans="1:29" x14ac:dyDescent="0.3">
      <c r="A738" s="19"/>
      <c r="Z738" s="75"/>
      <c r="AA738" s="75"/>
      <c r="AB738" s="75"/>
      <c r="AC738" s="75"/>
    </row>
    <row r="739" spans="1:29" x14ac:dyDescent="0.3">
      <c r="A739" s="19"/>
      <c r="Z739" s="75"/>
      <c r="AA739" s="75"/>
      <c r="AB739" s="75"/>
      <c r="AC739" s="75"/>
    </row>
    <row r="740" spans="1:29" x14ac:dyDescent="0.3">
      <c r="A740" s="19"/>
      <c r="Z740" s="75"/>
      <c r="AA740" s="75"/>
      <c r="AB740" s="75"/>
      <c r="AC740" s="75"/>
    </row>
    <row r="741" spans="1:29" x14ac:dyDescent="0.3">
      <c r="A741" s="19"/>
      <c r="Z741" s="75"/>
      <c r="AA741" s="75"/>
      <c r="AB741" s="75"/>
      <c r="AC741" s="75"/>
    </row>
    <row r="742" spans="1:29" x14ac:dyDescent="0.3">
      <c r="A742" s="19"/>
      <c r="Z742" s="75"/>
      <c r="AA742" s="75"/>
      <c r="AB742" s="75"/>
      <c r="AC742" s="75"/>
    </row>
    <row r="743" spans="1:29" x14ac:dyDescent="0.3">
      <c r="A743" s="19"/>
      <c r="Z743" s="75"/>
      <c r="AA743" s="75"/>
      <c r="AB743" s="75"/>
      <c r="AC743" s="75"/>
    </row>
    <row r="744" spans="1:29" x14ac:dyDescent="0.3">
      <c r="A744" s="19"/>
      <c r="Z744" s="75"/>
      <c r="AA744" s="75"/>
      <c r="AB744" s="75"/>
      <c r="AC744" s="75"/>
    </row>
    <row r="745" spans="1:29" x14ac:dyDescent="0.3">
      <c r="A745" s="19"/>
      <c r="Z745" s="75"/>
      <c r="AA745" s="75"/>
      <c r="AB745" s="75"/>
      <c r="AC745" s="75"/>
    </row>
    <row r="746" spans="1:29" x14ac:dyDescent="0.3">
      <c r="A746" s="19"/>
      <c r="Z746" s="75"/>
      <c r="AA746" s="75"/>
      <c r="AB746" s="75"/>
      <c r="AC746" s="75"/>
    </row>
    <row r="747" spans="1:29" x14ac:dyDescent="0.3">
      <c r="A747" s="19"/>
      <c r="Z747" s="75"/>
      <c r="AA747" s="75"/>
      <c r="AB747" s="75"/>
      <c r="AC747" s="75"/>
    </row>
    <row r="748" spans="1:29" x14ac:dyDescent="0.3">
      <c r="A748" s="19"/>
      <c r="Z748" s="75"/>
      <c r="AA748" s="75"/>
      <c r="AB748" s="75"/>
      <c r="AC748" s="75"/>
    </row>
    <row r="749" spans="1:29" x14ac:dyDescent="0.3">
      <c r="A749" s="19"/>
      <c r="Z749" s="75"/>
      <c r="AA749" s="75"/>
      <c r="AB749" s="75"/>
      <c r="AC749" s="75"/>
    </row>
    <row r="750" spans="1:29" x14ac:dyDescent="0.3">
      <c r="A750" s="19"/>
      <c r="Z750" s="75"/>
      <c r="AA750" s="75"/>
      <c r="AB750" s="75"/>
      <c r="AC750" s="75"/>
    </row>
    <row r="751" spans="1:29" x14ac:dyDescent="0.3">
      <c r="A751" s="19"/>
      <c r="Z751" s="75"/>
      <c r="AA751" s="75"/>
      <c r="AB751" s="75"/>
      <c r="AC751" s="75"/>
    </row>
    <row r="752" spans="1:29" x14ac:dyDescent="0.3">
      <c r="A752" s="19"/>
      <c r="Z752" s="75"/>
      <c r="AA752" s="75"/>
      <c r="AB752" s="75"/>
      <c r="AC752" s="75"/>
    </row>
    <row r="753" spans="1:29" x14ac:dyDescent="0.3">
      <c r="A753" s="19"/>
      <c r="Z753" s="75"/>
      <c r="AA753" s="75"/>
      <c r="AB753" s="75"/>
      <c r="AC753" s="75"/>
    </row>
    <row r="754" spans="1:29" x14ac:dyDescent="0.3">
      <c r="A754" s="19"/>
      <c r="Z754" s="75"/>
      <c r="AA754" s="75"/>
      <c r="AB754" s="75"/>
      <c r="AC754" s="75"/>
    </row>
    <row r="755" spans="1:29" x14ac:dyDescent="0.3">
      <c r="A755" s="19"/>
      <c r="Z755" s="75"/>
      <c r="AA755" s="75"/>
      <c r="AB755" s="75"/>
      <c r="AC755" s="75"/>
    </row>
    <row r="756" spans="1:29" x14ac:dyDescent="0.3">
      <c r="A756" s="19"/>
      <c r="Z756" s="75"/>
      <c r="AA756" s="75"/>
      <c r="AB756" s="75"/>
      <c r="AC756" s="75"/>
    </row>
    <row r="757" spans="1:29" x14ac:dyDescent="0.3">
      <c r="A757" s="19"/>
      <c r="Z757" s="75"/>
      <c r="AA757" s="75"/>
      <c r="AB757" s="75"/>
      <c r="AC757" s="75"/>
    </row>
    <row r="758" spans="1:29" x14ac:dyDescent="0.3">
      <c r="A758" s="19"/>
      <c r="Z758" s="75"/>
      <c r="AA758" s="75"/>
      <c r="AB758" s="75"/>
      <c r="AC758" s="75"/>
    </row>
    <row r="759" spans="1:29" x14ac:dyDescent="0.3">
      <c r="A759" s="19"/>
      <c r="Z759" s="75"/>
      <c r="AA759" s="75"/>
      <c r="AB759" s="75"/>
      <c r="AC759" s="75"/>
    </row>
    <row r="760" spans="1:29" x14ac:dyDescent="0.3">
      <c r="A760" s="19"/>
      <c r="Z760" s="75"/>
      <c r="AA760" s="75"/>
      <c r="AB760" s="75"/>
      <c r="AC760" s="75"/>
    </row>
    <row r="761" spans="1:29" x14ac:dyDescent="0.3">
      <c r="A761" s="19"/>
      <c r="Z761" s="75"/>
      <c r="AA761" s="75"/>
      <c r="AB761" s="75"/>
      <c r="AC761" s="75"/>
    </row>
    <row r="762" spans="1:29" x14ac:dyDescent="0.3">
      <c r="A762" s="19"/>
      <c r="Z762" s="75"/>
      <c r="AA762" s="75"/>
      <c r="AB762" s="75"/>
      <c r="AC762" s="75"/>
    </row>
    <row r="763" spans="1:29" x14ac:dyDescent="0.3">
      <c r="A763" s="19"/>
      <c r="Z763" s="75"/>
      <c r="AA763" s="75"/>
      <c r="AB763" s="75"/>
      <c r="AC763" s="75"/>
    </row>
    <row r="764" spans="1:29" x14ac:dyDescent="0.3">
      <c r="A764" s="19"/>
      <c r="Z764" s="75"/>
      <c r="AA764" s="75"/>
      <c r="AB764" s="75"/>
      <c r="AC764" s="75"/>
    </row>
    <row r="765" spans="1:29" x14ac:dyDescent="0.3">
      <c r="A765" s="19"/>
      <c r="Z765" s="75"/>
      <c r="AA765" s="75"/>
      <c r="AB765" s="75"/>
      <c r="AC765" s="75"/>
    </row>
    <row r="766" spans="1:29" x14ac:dyDescent="0.3">
      <c r="A766" s="19"/>
      <c r="Z766" s="75"/>
      <c r="AA766" s="75"/>
      <c r="AB766" s="75"/>
      <c r="AC766" s="75"/>
    </row>
    <row r="767" spans="1:29" x14ac:dyDescent="0.3">
      <c r="A767" s="19"/>
      <c r="Z767" s="75"/>
      <c r="AA767" s="75"/>
      <c r="AB767" s="75"/>
      <c r="AC767" s="75"/>
    </row>
    <row r="768" spans="1:29" x14ac:dyDescent="0.3">
      <c r="A768" s="19"/>
      <c r="Z768" s="75"/>
      <c r="AA768" s="75"/>
      <c r="AB768" s="75"/>
      <c r="AC768" s="75"/>
    </row>
    <row r="769" spans="1:29" x14ac:dyDescent="0.3">
      <c r="A769" s="19"/>
      <c r="Z769" s="75"/>
      <c r="AA769" s="75"/>
      <c r="AB769" s="75"/>
      <c r="AC769" s="75"/>
    </row>
    <row r="770" spans="1:29" x14ac:dyDescent="0.3">
      <c r="A770" s="19"/>
      <c r="Z770" s="75"/>
      <c r="AA770" s="75"/>
      <c r="AB770" s="75"/>
      <c r="AC770" s="75"/>
    </row>
    <row r="771" spans="1:29" x14ac:dyDescent="0.3">
      <c r="A771" s="19"/>
      <c r="Z771" s="75"/>
      <c r="AA771" s="75"/>
      <c r="AB771" s="75"/>
      <c r="AC771" s="75"/>
    </row>
    <row r="772" spans="1:29" x14ac:dyDescent="0.3">
      <c r="A772" s="19"/>
      <c r="Z772" s="75"/>
      <c r="AA772" s="75"/>
      <c r="AB772" s="75"/>
      <c r="AC772" s="75"/>
    </row>
    <row r="773" spans="1:29" x14ac:dyDescent="0.3">
      <c r="A773" s="19"/>
      <c r="Z773" s="75"/>
      <c r="AA773" s="75"/>
      <c r="AB773" s="75"/>
      <c r="AC773" s="75"/>
    </row>
    <row r="774" spans="1:29" x14ac:dyDescent="0.3">
      <c r="A774" s="19"/>
      <c r="Z774" s="75"/>
      <c r="AA774" s="75"/>
      <c r="AB774" s="75"/>
      <c r="AC774" s="75"/>
    </row>
    <row r="775" spans="1:29" x14ac:dyDescent="0.3">
      <c r="A775" s="19"/>
      <c r="Z775" s="75"/>
      <c r="AA775" s="75"/>
      <c r="AB775" s="75"/>
      <c r="AC775" s="75"/>
    </row>
    <row r="776" spans="1:29" x14ac:dyDescent="0.3">
      <c r="A776" s="19"/>
      <c r="Z776" s="75"/>
      <c r="AA776" s="75"/>
      <c r="AB776" s="75"/>
      <c r="AC776" s="75"/>
    </row>
    <row r="777" spans="1:29" x14ac:dyDescent="0.3">
      <c r="A777" s="19"/>
      <c r="Z777" s="75"/>
      <c r="AA777" s="75"/>
      <c r="AB777" s="75"/>
      <c r="AC777" s="75"/>
    </row>
    <row r="778" spans="1:29" x14ac:dyDescent="0.3">
      <c r="A778" s="19"/>
      <c r="Z778" s="75"/>
      <c r="AA778" s="75"/>
      <c r="AB778" s="75"/>
      <c r="AC778" s="75"/>
    </row>
    <row r="779" spans="1:29" x14ac:dyDescent="0.3">
      <c r="A779" s="19"/>
      <c r="Z779" s="75"/>
      <c r="AA779" s="75"/>
      <c r="AB779" s="75"/>
      <c r="AC779" s="75"/>
    </row>
    <row r="780" spans="1:29" x14ac:dyDescent="0.3">
      <c r="A780" s="19"/>
      <c r="Z780" s="75"/>
      <c r="AA780" s="75"/>
      <c r="AB780" s="75"/>
      <c r="AC780" s="75"/>
    </row>
    <row r="781" spans="1:29" x14ac:dyDescent="0.3">
      <c r="A781" s="19"/>
      <c r="Z781" s="75"/>
      <c r="AA781" s="75"/>
      <c r="AB781" s="75"/>
      <c r="AC781" s="75"/>
    </row>
    <row r="782" spans="1:29" x14ac:dyDescent="0.3">
      <c r="A782" s="19"/>
      <c r="Z782" s="75"/>
      <c r="AA782" s="75"/>
      <c r="AB782" s="75"/>
      <c r="AC782" s="75"/>
    </row>
    <row r="783" spans="1:29" x14ac:dyDescent="0.3">
      <c r="A783" s="19"/>
      <c r="Z783" s="75"/>
      <c r="AA783" s="75"/>
      <c r="AB783" s="75"/>
      <c r="AC783" s="75"/>
    </row>
    <row r="784" spans="1:29" x14ac:dyDescent="0.3">
      <c r="A784" s="19"/>
      <c r="Z784" s="75"/>
      <c r="AA784" s="75"/>
      <c r="AB784" s="75"/>
      <c r="AC784" s="75"/>
    </row>
    <row r="785" spans="1:29" x14ac:dyDescent="0.3">
      <c r="A785" s="19"/>
      <c r="Z785" s="75"/>
      <c r="AA785" s="75"/>
      <c r="AB785" s="75"/>
      <c r="AC785" s="75"/>
    </row>
    <row r="786" spans="1:29" x14ac:dyDescent="0.3">
      <c r="A786" s="19"/>
      <c r="Z786" s="75"/>
      <c r="AA786" s="75"/>
      <c r="AB786" s="75"/>
      <c r="AC786" s="75"/>
    </row>
    <row r="787" spans="1:29" x14ac:dyDescent="0.3">
      <c r="A787" s="19"/>
      <c r="Z787" s="75"/>
      <c r="AA787" s="75"/>
      <c r="AB787" s="75"/>
      <c r="AC787" s="75"/>
    </row>
    <row r="788" spans="1:29" x14ac:dyDescent="0.3">
      <c r="A788" s="19"/>
      <c r="Z788" s="75"/>
      <c r="AA788" s="75"/>
      <c r="AB788" s="75"/>
      <c r="AC788" s="75"/>
    </row>
    <row r="789" spans="1:29" x14ac:dyDescent="0.3">
      <c r="A789" s="19"/>
      <c r="Z789" s="75"/>
      <c r="AA789" s="75"/>
      <c r="AB789" s="75"/>
      <c r="AC789" s="75"/>
    </row>
    <row r="790" spans="1:29" x14ac:dyDescent="0.3">
      <c r="A790" s="19"/>
      <c r="Z790" s="75"/>
      <c r="AA790" s="75"/>
      <c r="AB790" s="75"/>
      <c r="AC790" s="75"/>
    </row>
    <row r="791" spans="1:29" x14ac:dyDescent="0.3">
      <c r="A791" s="19"/>
      <c r="Z791" s="75"/>
      <c r="AA791" s="75"/>
      <c r="AB791" s="75"/>
      <c r="AC791" s="75"/>
    </row>
    <row r="792" spans="1:29" x14ac:dyDescent="0.3">
      <c r="A792" s="19"/>
      <c r="Z792" s="75"/>
      <c r="AA792" s="75"/>
      <c r="AB792" s="75"/>
      <c r="AC792" s="75"/>
    </row>
    <row r="793" spans="1:29" x14ac:dyDescent="0.3">
      <c r="A793" s="19"/>
      <c r="Z793" s="75"/>
      <c r="AA793" s="75"/>
      <c r="AB793" s="75"/>
      <c r="AC793" s="75"/>
    </row>
    <row r="794" spans="1:29" x14ac:dyDescent="0.3">
      <c r="A794" s="19"/>
      <c r="Z794" s="75"/>
      <c r="AA794" s="75"/>
      <c r="AB794" s="75"/>
      <c r="AC794" s="75"/>
    </row>
    <row r="795" spans="1:29" x14ac:dyDescent="0.3">
      <c r="A795" s="19"/>
      <c r="Z795" s="75"/>
      <c r="AA795" s="75"/>
      <c r="AB795" s="75"/>
      <c r="AC795" s="75"/>
    </row>
    <row r="796" spans="1:29" x14ac:dyDescent="0.3">
      <c r="A796" s="19"/>
      <c r="Z796" s="75"/>
      <c r="AA796" s="75"/>
      <c r="AB796" s="75"/>
      <c r="AC796" s="75"/>
    </row>
    <row r="797" spans="1:29" x14ac:dyDescent="0.3">
      <c r="A797" s="19"/>
      <c r="Z797" s="75"/>
      <c r="AA797" s="75"/>
      <c r="AB797" s="75"/>
      <c r="AC797" s="75"/>
    </row>
    <row r="798" spans="1:29" x14ac:dyDescent="0.3">
      <c r="A798" s="19"/>
      <c r="Z798" s="75"/>
      <c r="AA798" s="75"/>
      <c r="AB798" s="75"/>
      <c r="AC798" s="75"/>
    </row>
    <row r="799" spans="1:29" x14ac:dyDescent="0.3">
      <c r="A799" s="19"/>
      <c r="Z799" s="75"/>
      <c r="AA799" s="75"/>
      <c r="AB799" s="75"/>
      <c r="AC799" s="75"/>
    </row>
    <row r="800" spans="1:29" x14ac:dyDescent="0.3">
      <c r="A800" s="19"/>
      <c r="Z800" s="75"/>
      <c r="AA800" s="75"/>
      <c r="AB800" s="75"/>
      <c r="AC800" s="75"/>
    </row>
    <row r="801" spans="1:29" x14ac:dyDescent="0.3">
      <c r="A801" s="19"/>
      <c r="Z801" s="75"/>
      <c r="AA801" s="75"/>
      <c r="AB801" s="75"/>
      <c r="AC801" s="75"/>
    </row>
    <row r="802" spans="1:29" x14ac:dyDescent="0.3">
      <c r="A802" s="19"/>
      <c r="Z802" s="75"/>
      <c r="AA802" s="75"/>
      <c r="AB802" s="75"/>
      <c r="AC802" s="75"/>
    </row>
    <row r="803" spans="1:29" x14ac:dyDescent="0.3">
      <c r="A803" s="19"/>
      <c r="Z803" s="75"/>
      <c r="AA803" s="75"/>
      <c r="AB803" s="75"/>
      <c r="AC803" s="75"/>
    </row>
    <row r="804" spans="1:29" x14ac:dyDescent="0.3">
      <c r="A804" s="19"/>
      <c r="Z804" s="75"/>
      <c r="AA804" s="75"/>
      <c r="AB804" s="75"/>
      <c r="AC804" s="75"/>
    </row>
    <row r="805" spans="1:29" x14ac:dyDescent="0.3">
      <c r="A805" s="19"/>
      <c r="Z805" s="75"/>
      <c r="AA805" s="75"/>
      <c r="AB805" s="75"/>
      <c r="AC805" s="75"/>
    </row>
    <row r="806" spans="1:29" x14ac:dyDescent="0.3">
      <c r="A806" s="19"/>
      <c r="Z806" s="75"/>
      <c r="AA806" s="75"/>
      <c r="AB806" s="75"/>
      <c r="AC806" s="75"/>
    </row>
    <row r="807" spans="1:29" x14ac:dyDescent="0.3">
      <c r="A807" s="19"/>
      <c r="Z807" s="75"/>
      <c r="AA807" s="75"/>
      <c r="AB807" s="75"/>
      <c r="AC807" s="75"/>
    </row>
    <row r="808" spans="1:29" x14ac:dyDescent="0.3">
      <c r="A808" s="19"/>
      <c r="Z808" s="75"/>
      <c r="AA808" s="75"/>
      <c r="AB808" s="75"/>
      <c r="AC808" s="75"/>
    </row>
    <row r="809" spans="1:29" x14ac:dyDescent="0.3">
      <c r="A809" s="19"/>
      <c r="Z809" s="75"/>
      <c r="AA809" s="75"/>
      <c r="AB809" s="75"/>
      <c r="AC809" s="75"/>
    </row>
    <row r="810" spans="1:29" x14ac:dyDescent="0.3">
      <c r="A810" s="19"/>
      <c r="Z810" s="75"/>
      <c r="AA810" s="75"/>
      <c r="AB810" s="75"/>
      <c r="AC810" s="75"/>
    </row>
    <row r="811" spans="1:29" x14ac:dyDescent="0.3">
      <c r="A811" s="19"/>
      <c r="Z811" s="75"/>
      <c r="AA811" s="75"/>
      <c r="AB811" s="75"/>
      <c r="AC811" s="75"/>
    </row>
    <row r="812" spans="1:29" x14ac:dyDescent="0.3">
      <c r="A812" s="19"/>
      <c r="Z812" s="75"/>
      <c r="AA812" s="75"/>
      <c r="AB812" s="75"/>
      <c r="AC812" s="75"/>
    </row>
    <row r="813" spans="1:29" x14ac:dyDescent="0.3">
      <c r="A813" s="19"/>
      <c r="Z813" s="75"/>
      <c r="AA813" s="75"/>
      <c r="AB813" s="75"/>
      <c r="AC813" s="75"/>
    </row>
    <row r="814" spans="1:29" x14ac:dyDescent="0.3">
      <c r="A814" s="19"/>
      <c r="Z814" s="75"/>
      <c r="AA814" s="75"/>
      <c r="AB814" s="75"/>
      <c r="AC814" s="75"/>
    </row>
    <row r="815" spans="1:29" x14ac:dyDescent="0.3">
      <c r="A815" s="19"/>
      <c r="Z815" s="75"/>
      <c r="AA815" s="75"/>
      <c r="AB815" s="75"/>
      <c r="AC815" s="75"/>
    </row>
    <row r="816" spans="1:29" x14ac:dyDescent="0.3">
      <c r="A816" s="19"/>
      <c r="Z816" s="75"/>
      <c r="AA816" s="75"/>
      <c r="AB816" s="75"/>
      <c r="AC816" s="75"/>
    </row>
    <row r="817" spans="1:29" x14ac:dyDescent="0.3">
      <c r="A817" s="19"/>
      <c r="Z817" s="75"/>
      <c r="AA817" s="75"/>
      <c r="AB817" s="75"/>
      <c r="AC817" s="75"/>
    </row>
    <row r="818" spans="1:29" x14ac:dyDescent="0.3">
      <c r="A818" s="19"/>
      <c r="Z818" s="75"/>
      <c r="AA818" s="75"/>
      <c r="AB818" s="75"/>
      <c r="AC818" s="75"/>
    </row>
    <row r="819" spans="1:29" x14ac:dyDescent="0.3">
      <c r="A819" s="19"/>
      <c r="Z819" s="75"/>
      <c r="AA819" s="75"/>
      <c r="AB819" s="75"/>
      <c r="AC819" s="75"/>
    </row>
    <row r="820" spans="1:29" x14ac:dyDescent="0.3">
      <c r="A820" s="19"/>
      <c r="Z820" s="75"/>
      <c r="AA820" s="75"/>
      <c r="AB820" s="75"/>
      <c r="AC820" s="75"/>
    </row>
    <row r="821" spans="1:29" x14ac:dyDescent="0.3">
      <c r="A821" s="19"/>
      <c r="Z821" s="75"/>
      <c r="AA821" s="75"/>
      <c r="AB821" s="75"/>
      <c r="AC821" s="75"/>
    </row>
    <row r="822" spans="1:29" x14ac:dyDescent="0.3">
      <c r="A822" s="19"/>
      <c r="Z822" s="75"/>
      <c r="AA822" s="75"/>
      <c r="AB822" s="75"/>
      <c r="AC822" s="75"/>
    </row>
    <row r="823" spans="1:29" x14ac:dyDescent="0.3">
      <c r="A823" s="19"/>
      <c r="Z823" s="75"/>
      <c r="AA823" s="75"/>
      <c r="AB823" s="75"/>
      <c r="AC823" s="75"/>
    </row>
    <row r="824" spans="1:29" x14ac:dyDescent="0.3">
      <c r="A824" s="19"/>
      <c r="Z824" s="75"/>
      <c r="AA824" s="75"/>
      <c r="AB824" s="75"/>
      <c r="AC824" s="75"/>
    </row>
    <row r="825" spans="1:29" x14ac:dyDescent="0.3">
      <c r="A825" s="19"/>
      <c r="Z825" s="75"/>
      <c r="AA825" s="75"/>
      <c r="AB825" s="75"/>
      <c r="AC825" s="75"/>
    </row>
    <row r="826" spans="1:29" x14ac:dyDescent="0.3">
      <c r="A826" s="19"/>
      <c r="Z826" s="75"/>
      <c r="AA826" s="75"/>
      <c r="AB826" s="75"/>
      <c r="AC826" s="75"/>
    </row>
    <row r="827" spans="1:29" x14ac:dyDescent="0.3">
      <c r="A827" s="19"/>
      <c r="Z827" s="75"/>
      <c r="AA827" s="75"/>
      <c r="AB827" s="75"/>
      <c r="AC827" s="75"/>
    </row>
    <row r="828" spans="1:29" x14ac:dyDescent="0.3">
      <c r="A828" s="19"/>
      <c r="Z828" s="75"/>
      <c r="AA828" s="75"/>
      <c r="AB828" s="75"/>
      <c r="AC828" s="75"/>
    </row>
    <row r="829" spans="1:29" x14ac:dyDescent="0.3">
      <c r="A829" s="19"/>
      <c r="Z829" s="75"/>
      <c r="AA829" s="75"/>
      <c r="AB829" s="75"/>
      <c r="AC829" s="75"/>
    </row>
    <row r="830" spans="1:29" x14ac:dyDescent="0.3">
      <c r="A830" s="19"/>
      <c r="Z830" s="75"/>
      <c r="AA830" s="75"/>
      <c r="AB830" s="75"/>
      <c r="AC830" s="75"/>
    </row>
    <row r="831" spans="1:29" x14ac:dyDescent="0.3">
      <c r="A831" s="19"/>
      <c r="Z831" s="75"/>
      <c r="AA831" s="75"/>
      <c r="AB831" s="75"/>
      <c r="AC831" s="75"/>
    </row>
    <row r="832" spans="1:29" x14ac:dyDescent="0.3">
      <c r="A832" s="19"/>
      <c r="Z832" s="75"/>
      <c r="AA832" s="75"/>
      <c r="AB832" s="75"/>
      <c r="AC832" s="75"/>
    </row>
    <row r="833" spans="1:29" x14ac:dyDescent="0.3">
      <c r="A833" s="19"/>
      <c r="Z833" s="75"/>
      <c r="AA833" s="75"/>
      <c r="AB833" s="75"/>
      <c r="AC833" s="75"/>
    </row>
    <row r="834" spans="1:29" x14ac:dyDescent="0.3">
      <c r="A834" s="19"/>
      <c r="Z834" s="75"/>
      <c r="AA834" s="75"/>
      <c r="AB834" s="75"/>
      <c r="AC834" s="75"/>
    </row>
    <row r="835" spans="1:29" x14ac:dyDescent="0.3">
      <c r="A835" s="19"/>
      <c r="Z835" s="75"/>
      <c r="AA835" s="75"/>
      <c r="AB835" s="75"/>
      <c r="AC835" s="75"/>
    </row>
    <row r="836" spans="1:29" x14ac:dyDescent="0.3">
      <c r="A836" s="19"/>
      <c r="Z836" s="75"/>
      <c r="AA836" s="75"/>
      <c r="AB836" s="75"/>
      <c r="AC836" s="75"/>
    </row>
    <row r="837" spans="1:29" x14ac:dyDescent="0.3">
      <c r="A837" s="19"/>
      <c r="Z837" s="75"/>
      <c r="AA837" s="75"/>
      <c r="AB837" s="75"/>
      <c r="AC837" s="75"/>
    </row>
    <row r="838" spans="1:29" x14ac:dyDescent="0.3">
      <c r="A838" s="19"/>
      <c r="Z838" s="75"/>
      <c r="AA838" s="75"/>
      <c r="AB838" s="75"/>
      <c r="AC838" s="75"/>
    </row>
    <row r="839" spans="1:29" x14ac:dyDescent="0.3">
      <c r="A839" s="19"/>
      <c r="Z839" s="75"/>
      <c r="AA839" s="75"/>
      <c r="AB839" s="75"/>
      <c r="AC839" s="75"/>
    </row>
    <row r="840" spans="1:29" x14ac:dyDescent="0.3">
      <c r="A840" s="19"/>
      <c r="Z840" s="75"/>
      <c r="AA840" s="75"/>
      <c r="AB840" s="75"/>
      <c r="AC840" s="75"/>
    </row>
    <row r="841" spans="1:29" x14ac:dyDescent="0.3">
      <c r="A841" s="19"/>
      <c r="Z841" s="75"/>
      <c r="AA841" s="75"/>
      <c r="AB841" s="75"/>
      <c r="AC841" s="75"/>
    </row>
    <row r="842" spans="1:29" x14ac:dyDescent="0.3">
      <c r="A842" s="19"/>
      <c r="Z842" s="75"/>
      <c r="AA842" s="75"/>
      <c r="AB842" s="75"/>
      <c r="AC842" s="75"/>
    </row>
    <row r="843" spans="1:29" x14ac:dyDescent="0.3">
      <c r="A843" s="19"/>
      <c r="Z843" s="75"/>
      <c r="AA843" s="75"/>
      <c r="AB843" s="75"/>
      <c r="AC843" s="75"/>
    </row>
    <row r="844" spans="1:29" x14ac:dyDescent="0.3">
      <c r="A844" s="19"/>
      <c r="Z844" s="75"/>
      <c r="AA844" s="75"/>
      <c r="AB844" s="75"/>
      <c r="AC844" s="75"/>
    </row>
    <row r="845" spans="1:29" x14ac:dyDescent="0.3">
      <c r="A845" s="19"/>
      <c r="Z845" s="75"/>
      <c r="AA845" s="75"/>
      <c r="AB845" s="75"/>
      <c r="AC845" s="75"/>
    </row>
    <row r="846" spans="1:29" x14ac:dyDescent="0.3">
      <c r="A846" s="19"/>
      <c r="Z846" s="75"/>
      <c r="AA846" s="75"/>
      <c r="AB846" s="75"/>
      <c r="AC846" s="75"/>
    </row>
    <row r="847" spans="1:29" x14ac:dyDescent="0.3">
      <c r="A847" s="19"/>
      <c r="Z847" s="75"/>
      <c r="AA847" s="75"/>
      <c r="AB847" s="75"/>
      <c r="AC847" s="75"/>
    </row>
    <row r="848" spans="1:29" x14ac:dyDescent="0.3">
      <c r="A848" s="19"/>
      <c r="Z848" s="75"/>
      <c r="AA848" s="75"/>
      <c r="AB848" s="75"/>
      <c r="AC848" s="75"/>
    </row>
    <row r="849" spans="1:29" x14ac:dyDescent="0.3">
      <c r="A849" s="19"/>
      <c r="Z849" s="75"/>
      <c r="AA849" s="75"/>
      <c r="AB849" s="75"/>
      <c r="AC849" s="75"/>
    </row>
    <row r="850" spans="1:29" x14ac:dyDescent="0.3">
      <c r="A850" s="19"/>
      <c r="Z850" s="75"/>
      <c r="AA850" s="75"/>
      <c r="AB850" s="75"/>
      <c r="AC850" s="75"/>
    </row>
    <row r="851" spans="1:29" x14ac:dyDescent="0.3">
      <c r="A851" s="19"/>
      <c r="Z851" s="75"/>
      <c r="AA851" s="75"/>
      <c r="AB851" s="75"/>
      <c r="AC851" s="75"/>
    </row>
    <row r="852" spans="1:29" x14ac:dyDescent="0.3">
      <c r="A852" s="19"/>
      <c r="Z852" s="75"/>
      <c r="AA852" s="75"/>
      <c r="AB852" s="75"/>
      <c r="AC852" s="75"/>
    </row>
    <row r="853" spans="1:29" x14ac:dyDescent="0.3">
      <c r="A853" s="19"/>
      <c r="Z853" s="75"/>
      <c r="AA853" s="75"/>
      <c r="AB853" s="75"/>
      <c r="AC853" s="75"/>
    </row>
    <row r="854" spans="1:29" x14ac:dyDescent="0.3">
      <c r="A854" s="19"/>
      <c r="Z854" s="75"/>
      <c r="AA854" s="75"/>
      <c r="AB854" s="75"/>
      <c r="AC854" s="75"/>
    </row>
    <row r="855" spans="1:29" x14ac:dyDescent="0.3">
      <c r="A855" s="19"/>
      <c r="Z855" s="75"/>
      <c r="AA855" s="75"/>
      <c r="AB855" s="75"/>
      <c r="AC855" s="75"/>
    </row>
    <row r="856" spans="1:29" x14ac:dyDescent="0.3">
      <c r="A856" s="19"/>
      <c r="Z856" s="75"/>
      <c r="AA856" s="75"/>
      <c r="AB856" s="75"/>
      <c r="AC856" s="75"/>
    </row>
    <row r="857" spans="1:29" x14ac:dyDescent="0.3">
      <c r="A857" s="19"/>
      <c r="Z857" s="75"/>
      <c r="AA857" s="75"/>
      <c r="AB857" s="75"/>
      <c r="AC857" s="75"/>
    </row>
    <row r="858" spans="1:29" x14ac:dyDescent="0.3">
      <c r="A858" s="19"/>
      <c r="Z858" s="75"/>
      <c r="AA858" s="75"/>
      <c r="AB858" s="75"/>
      <c r="AC858" s="75"/>
    </row>
    <row r="859" spans="1:29" x14ac:dyDescent="0.3">
      <c r="A859" s="19"/>
      <c r="Z859" s="75"/>
      <c r="AA859" s="75"/>
      <c r="AB859" s="75"/>
      <c r="AC859" s="75"/>
    </row>
    <row r="860" spans="1:29" x14ac:dyDescent="0.3">
      <c r="A860" s="19"/>
      <c r="Z860" s="75"/>
      <c r="AA860" s="75"/>
      <c r="AB860" s="75"/>
      <c r="AC860" s="75"/>
    </row>
    <row r="861" spans="1:29" x14ac:dyDescent="0.3">
      <c r="A861" s="19"/>
      <c r="Z861" s="75"/>
      <c r="AA861" s="75"/>
      <c r="AB861" s="75"/>
      <c r="AC861" s="75"/>
    </row>
    <row r="862" spans="1:29" x14ac:dyDescent="0.3">
      <c r="A862" s="19"/>
      <c r="Z862" s="75"/>
      <c r="AA862" s="75"/>
      <c r="AB862" s="75"/>
      <c r="AC862" s="75"/>
    </row>
    <row r="863" spans="1:29" x14ac:dyDescent="0.3">
      <c r="A863" s="19"/>
      <c r="Z863" s="75"/>
      <c r="AA863" s="75"/>
      <c r="AB863" s="75"/>
      <c r="AC863" s="75"/>
    </row>
    <row r="864" spans="1:29" x14ac:dyDescent="0.3">
      <c r="A864" s="19"/>
      <c r="Z864" s="75"/>
      <c r="AA864" s="75"/>
      <c r="AB864" s="75"/>
      <c r="AC864" s="75"/>
    </row>
    <row r="865" spans="1:29" x14ac:dyDescent="0.3">
      <c r="A865" s="19"/>
      <c r="Z865" s="75"/>
      <c r="AA865" s="75"/>
      <c r="AB865" s="75"/>
      <c r="AC865" s="75"/>
    </row>
    <row r="866" spans="1:29" x14ac:dyDescent="0.3">
      <c r="A866" s="19"/>
      <c r="Z866" s="75"/>
      <c r="AA866" s="75"/>
      <c r="AB866" s="75"/>
      <c r="AC866" s="75"/>
    </row>
    <row r="867" spans="1:29" x14ac:dyDescent="0.3">
      <c r="A867" s="19"/>
      <c r="Z867" s="75"/>
      <c r="AA867" s="75"/>
      <c r="AB867" s="75"/>
      <c r="AC867" s="75"/>
    </row>
    <row r="868" spans="1:29" x14ac:dyDescent="0.3">
      <c r="A868" s="19"/>
      <c r="Z868" s="75"/>
      <c r="AA868" s="75"/>
      <c r="AB868" s="75"/>
      <c r="AC868" s="75"/>
    </row>
    <row r="869" spans="1:29" x14ac:dyDescent="0.3">
      <c r="A869" s="19"/>
      <c r="Z869" s="75"/>
      <c r="AA869" s="75"/>
      <c r="AB869" s="75"/>
      <c r="AC869" s="75"/>
    </row>
    <row r="870" spans="1:29" x14ac:dyDescent="0.3">
      <c r="A870" s="19"/>
      <c r="Z870" s="75"/>
      <c r="AA870" s="75"/>
      <c r="AB870" s="75"/>
      <c r="AC870" s="75"/>
    </row>
    <row r="871" spans="1:29" x14ac:dyDescent="0.3">
      <c r="A871" s="19"/>
      <c r="Z871" s="75"/>
      <c r="AA871" s="75"/>
      <c r="AB871" s="75"/>
      <c r="AC871" s="75"/>
    </row>
    <row r="872" spans="1:29" x14ac:dyDescent="0.3">
      <c r="A872" s="19"/>
      <c r="Z872" s="75"/>
      <c r="AA872" s="75"/>
      <c r="AB872" s="75"/>
      <c r="AC872" s="75"/>
    </row>
    <row r="873" spans="1:29" x14ac:dyDescent="0.3">
      <c r="A873" s="19"/>
      <c r="Z873" s="75"/>
      <c r="AA873" s="75"/>
      <c r="AB873" s="75"/>
      <c r="AC873" s="75"/>
    </row>
    <row r="874" spans="1:29" x14ac:dyDescent="0.3">
      <c r="A874" s="19"/>
      <c r="Z874" s="75"/>
      <c r="AA874" s="75"/>
      <c r="AB874" s="75"/>
      <c r="AC874" s="75"/>
    </row>
    <row r="875" spans="1:29" x14ac:dyDescent="0.3">
      <c r="A875" s="19"/>
      <c r="Z875" s="75"/>
      <c r="AA875" s="75"/>
      <c r="AB875" s="75"/>
      <c r="AC875" s="75"/>
    </row>
    <row r="876" spans="1:29" x14ac:dyDescent="0.3">
      <c r="A876" s="19"/>
      <c r="Z876" s="75"/>
      <c r="AA876" s="75"/>
      <c r="AB876" s="75"/>
      <c r="AC876" s="75"/>
    </row>
    <row r="877" spans="1:29" x14ac:dyDescent="0.3">
      <c r="A877" s="19"/>
      <c r="Z877" s="75"/>
      <c r="AA877" s="75"/>
      <c r="AB877" s="75"/>
      <c r="AC877" s="75"/>
    </row>
    <row r="878" spans="1:29" x14ac:dyDescent="0.3">
      <c r="A878" s="19"/>
      <c r="Z878" s="75"/>
      <c r="AA878" s="75"/>
      <c r="AB878" s="75"/>
      <c r="AC878" s="75"/>
    </row>
    <row r="879" spans="1:29" x14ac:dyDescent="0.3">
      <c r="A879" s="19"/>
      <c r="Z879" s="75"/>
      <c r="AA879" s="75"/>
      <c r="AB879" s="75"/>
      <c r="AC879" s="75"/>
    </row>
    <row r="880" spans="1:29" x14ac:dyDescent="0.3">
      <c r="A880" s="19"/>
      <c r="Z880" s="75"/>
      <c r="AA880" s="75"/>
      <c r="AB880" s="75"/>
      <c r="AC880" s="75"/>
    </row>
    <row r="881" spans="1:29" x14ac:dyDescent="0.3">
      <c r="A881" s="19"/>
      <c r="Z881" s="75"/>
      <c r="AA881" s="75"/>
      <c r="AB881" s="75"/>
      <c r="AC881" s="75"/>
    </row>
    <row r="882" spans="1:29" x14ac:dyDescent="0.3">
      <c r="A882" s="19"/>
      <c r="Z882" s="75"/>
      <c r="AA882" s="75"/>
      <c r="AB882" s="75"/>
      <c r="AC882" s="75"/>
    </row>
    <row r="883" spans="1:29" x14ac:dyDescent="0.3">
      <c r="A883" s="19"/>
      <c r="Z883" s="75"/>
      <c r="AA883" s="75"/>
      <c r="AB883" s="75"/>
      <c r="AC883" s="75"/>
    </row>
    <row r="884" spans="1:29" x14ac:dyDescent="0.3">
      <c r="A884" s="19"/>
      <c r="Z884" s="75"/>
      <c r="AA884" s="75"/>
      <c r="AB884" s="75"/>
      <c r="AC884" s="75"/>
    </row>
    <row r="885" spans="1:29" x14ac:dyDescent="0.3">
      <c r="A885" s="19"/>
      <c r="Z885" s="75"/>
      <c r="AA885" s="75"/>
      <c r="AB885" s="75"/>
      <c r="AC885" s="75"/>
    </row>
    <row r="886" spans="1:29" x14ac:dyDescent="0.3">
      <c r="A886" s="19"/>
      <c r="Z886" s="75"/>
      <c r="AA886" s="75"/>
      <c r="AB886" s="75"/>
      <c r="AC886" s="75"/>
    </row>
    <row r="887" spans="1:29" x14ac:dyDescent="0.3">
      <c r="A887" s="19"/>
      <c r="Z887" s="75"/>
      <c r="AA887" s="75"/>
      <c r="AB887" s="75"/>
      <c r="AC887" s="75"/>
    </row>
    <row r="888" spans="1:29" x14ac:dyDescent="0.3">
      <c r="A888" s="19"/>
      <c r="Z888" s="75"/>
      <c r="AA888" s="75"/>
      <c r="AB888" s="75"/>
      <c r="AC888" s="75"/>
    </row>
    <row r="889" spans="1:29" x14ac:dyDescent="0.3">
      <c r="A889" s="19"/>
      <c r="Z889" s="75"/>
      <c r="AA889" s="75"/>
      <c r="AB889" s="75"/>
      <c r="AC889" s="75"/>
    </row>
    <row r="890" spans="1:29" x14ac:dyDescent="0.3">
      <c r="A890" s="19"/>
      <c r="Z890" s="75"/>
      <c r="AA890" s="75"/>
      <c r="AB890" s="75"/>
      <c r="AC890" s="75"/>
    </row>
    <row r="891" spans="1:29" x14ac:dyDescent="0.3">
      <c r="A891" s="19"/>
      <c r="Z891" s="75"/>
      <c r="AA891" s="75"/>
      <c r="AB891" s="75"/>
      <c r="AC891" s="75"/>
    </row>
    <row r="892" spans="1:29" x14ac:dyDescent="0.3">
      <c r="A892" s="19"/>
      <c r="Z892" s="75"/>
      <c r="AA892" s="75"/>
      <c r="AB892" s="75"/>
      <c r="AC892" s="75"/>
    </row>
    <row r="893" spans="1:29" x14ac:dyDescent="0.3">
      <c r="A893" s="19"/>
      <c r="Z893" s="75"/>
      <c r="AA893" s="75"/>
      <c r="AB893" s="75"/>
      <c r="AC893" s="75"/>
    </row>
    <row r="894" spans="1:29" x14ac:dyDescent="0.3">
      <c r="A894" s="19"/>
      <c r="Z894" s="75"/>
      <c r="AA894" s="75"/>
      <c r="AB894" s="75"/>
      <c r="AC894" s="75"/>
    </row>
    <row r="895" spans="1:29" x14ac:dyDescent="0.3">
      <c r="A895" s="19"/>
      <c r="Z895" s="75"/>
      <c r="AA895" s="75"/>
      <c r="AB895" s="75"/>
      <c r="AC895" s="75"/>
    </row>
    <row r="896" spans="1:29" x14ac:dyDescent="0.3">
      <c r="A896" s="19"/>
      <c r="Z896" s="75"/>
      <c r="AA896" s="75"/>
      <c r="AB896" s="75"/>
      <c r="AC896" s="75"/>
    </row>
    <row r="897" spans="1:29" x14ac:dyDescent="0.3">
      <c r="A897" s="19"/>
      <c r="Z897" s="75"/>
      <c r="AA897" s="75"/>
      <c r="AB897" s="75"/>
      <c r="AC897" s="75"/>
    </row>
    <row r="898" spans="1:29" x14ac:dyDescent="0.3">
      <c r="A898" s="19"/>
      <c r="Z898" s="75"/>
      <c r="AA898" s="75"/>
      <c r="AB898" s="75"/>
      <c r="AC898" s="75"/>
    </row>
    <row r="899" spans="1:29" x14ac:dyDescent="0.3">
      <c r="A899" s="19"/>
      <c r="Z899" s="75"/>
      <c r="AA899" s="75"/>
      <c r="AB899" s="75"/>
      <c r="AC899" s="75"/>
    </row>
    <row r="900" spans="1:29" x14ac:dyDescent="0.3">
      <c r="A900" s="19"/>
      <c r="Z900" s="75"/>
      <c r="AA900" s="75"/>
      <c r="AB900" s="75"/>
      <c r="AC900" s="75"/>
    </row>
    <row r="901" spans="1:29" x14ac:dyDescent="0.3">
      <c r="A901" s="19"/>
      <c r="Z901" s="75"/>
      <c r="AA901" s="75"/>
      <c r="AB901" s="75"/>
      <c r="AC901" s="75"/>
    </row>
    <row r="902" spans="1:29" x14ac:dyDescent="0.3">
      <c r="A902" s="19"/>
      <c r="Z902" s="75"/>
      <c r="AA902" s="75"/>
      <c r="AB902" s="75"/>
      <c r="AC902" s="75"/>
    </row>
    <row r="903" spans="1:29" x14ac:dyDescent="0.3">
      <c r="A903" s="19"/>
      <c r="Z903" s="75"/>
      <c r="AA903" s="75"/>
      <c r="AB903" s="75"/>
      <c r="AC903" s="75"/>
    </row>
    <row r="904" spans="1:29" x14ac:dyDescent="0.3">
      <c r="A904" s="19"/>
      <c r="Z904" s="75"/>
      <c r="AA904" s="75"/>
      <c r="AB904" s="75"/>
      <c r="AC904" s="75"/>
    </row>
    <row r="905" spans="1:29" x14ac:dyDescent="0.3">
      <c r="A905" s="19"/>
      <c r="Z905" s="75"/>
      <c r="AA905" s="75"/>
      <c r="AB905" s="75"/>
      <c r="AC905" s="75"/>
    </row>
    <row r="906" spans="1:29" x14ac:dyDescent="0.3">
      <c r="A906" s="19"/>
      <c r="Z906" s="75"/>
      <c r="AA906" s="75"/>
      <c r="AB906" s="75"/>
      <c r="AC906" s="75"/>
    </row>
    <row r="907" spans="1:29" x14ac:dyDescent="0.3">
      <c r="A907" s="19"/>
      <c r="Z907" s="75"/>
      <c r="AA907" s="75"/>
      <c r="AB907" s="75"/>
      <c r="AC907" s="75"/>
    </row>
    <row r="908" spans="1:29" x14ac:dyDescent="0.3">
      <c r="A908" s="19"/>
      <c r="Z908" s="75"/>
      <c r="AA908" s="75"/>
      <c r="AB908" s="75"/>
      <c r="AC908" s="75"/>
    </row>
    <row r="909" spans="1:29" x14ac:dyDescent="0.3">
      <c r="A909" s="19"/>
      <c r="Z909" s="75"/>
      <c r="AA909" s="75"/>
      <c r="AB909" s="75"/>
      <c r="AC909" s="75"/>
    </row>
    <row r="910" spans="1:29" x14ac:dyDescent="0.3">
      <c r="A910" s="19"/>
      <c r="Z910" s="75"/>
      <c r="AA910" s="75"/>
      <c r="AB910" s="75"/>
      <c r="AC910" s="75"/>
    </row>
    <row r="911" spans="1:29" x14ac:dyDescent="0.3">
      <c r="A911" s="19"/>
      <c r="Z911" s="75"/>
      <c r="AA911" s="75"/>
      <c r="AB911" s="75"/>
      <c r="AC911" s="75"/>
    </row>
    <row r="912" spans="1:29" x14ac:dyDescent="0.3">
      <c r="A912" s="19"/>
      <c r="Z912" s="75"/>
      <c r="AA912" s="75"/>
      <c r="AB912" s="75"/>
      <c r="AC912" s="75"/>
    </row>
    <row r="913" spans="1:29" x14ac:dyDescent="0.3">
      <c r="A913" s="19"/>
      <c r="Z913" s="75"/>
      <c r="AA913" s="75"/>
      <c r="AB913" s="75"/>
      <c r="AC913" s="75"/>
    </row>
    <row r="914" spans="1:29" x14ac:dyDescent="0.3">
      <c r="A914" s="19"/>
      <c r="Z914" s="75"/>
      <c r="AA914" s="75"/>
      <c r="AB914" s="75"/>
      <c r="AC914" s="75"/>
    </row>
    <row r="915" spans="1:29" x14ac:dyDescent="0.3">
      <c r="A915" s="19"/>
      <c r="Z915" s="75"/>
      <c r="AA915" s="75"/>
      <c r="AB915" s="75"/>
      <c r="AC915" s="75"/>
    </row>
    <row r="916" spans="1:29" x14ac:dyDescent="0.3">
      <c r="A916" s="19"/>
      <c r="Z916" s="75"/>
      <c r="AA916" s="75"/>
      <c r="AB916" s="75"/>
      <c r="AC916" s="75"/>
    </row>
    <row r="917" spans="1:29" x14ac:dyDescent="0.3">
      <c r="A917" s="19"/>
      <c r="Z917" s="75"/>
      <c r="AA917" s="75"/>
      <c r="AB917" s="75"/>
      <c r="AC917" s="75"/>
    </row>
    <row r="918" spans="1:29" x14ac:dyDescent="0.3">
      <c r="A918" s="19"/>
      <c r="Z918" s="75"/>
      <c r="AA918" s="75"/>
      <c r="AB918" s="75"/>
      <c r="AC918" s="75"/>
    </row>
    <row r="919" spans="1:29" x14ac:dyDescent="0.3">
      <c r="A919" s="19"/>
      <c r="Z919" s="75"/>
      <c r="AA919" s="75"/>
      <c r="AB919" s="75"/>
      <c r="AC919" s="75"/>
    </row>
    <row r="920" spans="1:29" x14ac:dyDescent="0.3">
      <c r="A920" s="19"/>
      <c r="Z920" s="75"/>
      <c r="AA920" s="75"/>
      <c r="AB920" s="75"/>
      <c r="AC920" s="75"/>
    </row>
    <row r="921" spans="1:29" x14ac:dyDescent="0.3">
      <c r="A921" s="19"/>
      <c r="Z921" s="75"/>
      <c r="AA921" s="75"/>
      <c r="AB921" s="75"/>
      <c r="AC921" s="75"/>
    </row>
    <row r="922" spans="1:29" x14ac:dyDescent="0.3">
      <c r="A922" s="19"/>
      <c r="Z922" s="75"/>
      <c r="AA922" s="75"/>
      <c r="AB922" s="75"/>
      <c r="AC922" s="75"/>
    </row>
    <row r="923" spans="1:29" x14ac:dyDescent="0.3">
      <c r="A923" s="19"/>
      <c r="Z923" s="75"/>
      <c r="AA923" s="75"/>
      <c r="AB923" s="75"/>
      <c r="AC923" s="75"/>
    </row>
    <row r="924" spans="1:29" x14ac:dyDescent="0.3">
      <c r="A924" s="19"/>
      <c r="Z924" s="75"/>
      <c r="AA924" s="75"/>
      <c r="AB924" s="75"/>
      <c r="AC924" s="75"/>
    </row>
    <row r="925" spans="1:29" x14ac:dyDescent="0.3">
      <c r="A925" s="19"/>
      <c r="Z925" s="75"/>
      <c r="AA925" s="75"/>
      <c r="AB925" s="75"/>
      <c r="AC925" s="75"/>
    </row>
    <row r="926" spans="1:29" x14ac:dyDescent="0.3">
      <c r="A926" s="19"/>
      <c r="Z926" s="75"/>
      <c r="AA926" s="75"/>
      <c r="AB926" s="75"/>
      <c r="AC926" s="75"/>
    </row>
    <row r="927" spans="1:29" x14ac:dyDescent="0.3">
      <c r="A927" s="19"/>
      <c r="Z927" s="75"/>
      <c r="AA927" s="75"/>
      <c r="AB927" s="75"/>
      <c r="AC927" s="75"/>
    </row>
    <row r="928" spans="1:29" x14ac:dyDescent="0.3">
      <c r="A928" s="19"/>
      <c r="Z928" s="75"/>
      <c r="AA928" s="75"/>
      <c r="AB928" s="75"/>
      <c r="AC928" s="75"/>
    </row>
    <row r="929" spans="1:29" x14ac:dyDescent="0.3">
      <c r="A929" s="19"/>
      <c r="Z929" s="75"/>
      <c r="AA929" s="75"/>
      <c r="AB929" s="75"/>
      <c r="AC929" s="75"/>
    </row>
    <row r="930" spans="1:29" x14ac:dyDescent="0.3">
      <c r="A930" s="19"/>
      <c r="Z930" s="75"/>
      <c r="AA930" s="75"/>
      <c r="AB930" s="75"/>
      <c r="AC930" s="75"/>
    </row>
    <row r="931" spans="1:29" x14ac:dyDescent="0.3">
      <c r="A931" s="19"/>
      <c r="Z931" s="75"/>
      <c r="AA931" s="75"/>
      <c r="AB931" s="75"/>
      <c r="AC931" s="75"/>
    </row>
    <row r="932" spans="1:29" x14ac:dyDescent="0.3">
      <c r="A932" s="19"/>
      <c r="Z932" s="75"/>
      <c r="AA932" s="75"/>
      <c r="AB932" s="75"/>
      <c r="AC932" s="75"/>
    </row>
    <row r="933" spans="1:29" x14ac:dyDescent="0.3">
      <c r="A933" s="19"/>
      <c r="Z933" s="75"/>
      <c r="AA933" s="75"/>
      <c r="AB933" s="75"/>
      <c r="AC933" s="75"/>
    </row>
    <row r="934" spans="1:29" x14ac:dyDescent="0.3">
      <c r="A934" s="19"/>
      <c r="Z934" s="75"/>
      <c r="AA934" s="75"/>
      <c r="AB934" s="75"/>
      <c r="AC934" s="75"/>
    </row>
    <row r="935" spans="1:29" x14ac:dyDescent="0.3">
      <c r="A935" s="19"/>
      <c r="Z935" s="75"/>
      <c r="AA935" s="75"/>
      <c r="AB935" s="75"/>
      <c r="AC935" s="75"/>
    </row>
    <row r="936" spans="1:29" x14ac:dyDescent="0.3">
      <c r="A936" s="19"/>
      <c r="Z936" s="75"/>
      <c r="AA936" s="75"/>
      <c r="AB936" s="75"/>
      <c r="AC936" s="75"/>
    </row>
    <row r="937" spans="1:29" x14ac:dyDescent="0.3">
      <c r="A937" s="19"/>
      <c r="Z937" s="75"/>
      <c r="AA937" s="75"/>
      <c r="AB937" s="75"/>
      <c r="AC937" s="75"/>
    </row>
    <row r="938" spans="1:29" x14ac:dyDescent="0.3">
      <c r="A938" s="19"/>
      <c r="Z938" s="75"/>
      <c r="AA938" s="75"/>
      <c r="AB938" s="75"/>
      <c r="AC938" s="75"/>
    </row>
    <row r="939" spans="1:29" x14ac:dyDescent="0.3">
      <c r="A939" s="19"/>
      <c r="Z939" s="75"/>
      <c r="AA939" s="75"/>
      <c r="AB939" s="75"/>
      <c r="AC939" s="75"/>
    </row>
    <row r="940" spans="1:29" x14ac:dyDescent="0.3">
      <c r="A940" s="19"/>
      <c r="Z940" s="75"/>
      <c r="AA940" s="75"/>
      <c r="AB940" s="75"/>
      <c r="AC940" s="75"/>
    </row>
    <row r="941" spans="1:29" x14ac:dyDescent="0.3">
      <c r="A941" s="19"/>
      <c r="Z941" s="75"/>
      <c r="AA941" s="75"/>
      <c r="AB941" s="75"/>
      <c r="AC941" s="75"/>
    </row>
    <row r="942" spans="1:29" x14ac:dyDescent="0.3">
      <c r="A942" s="19"/>
      <c r="Z942" s="75"/>
      <c r="AA942" s="75"/>
      <c r="AB942" s="75"/>
      <c r="AC942" s="75"/>
    </row>
    <row r="943" spans="1:29" x14ac:dyDescent="0.3">
      <c r="A943" s="19"/>
      <c r="Z943" s="75"/>
      <c r="AA943" s="75"/>
      <c r="AB943" s="75"/>
      <c r="AC943" s="75"/>
    </row>
    <row r="944" spans="1:29" x14ac:dyDescent="0.3">
      <c r="A944" s="19"/>
      <c r="Z944" s="75"/>
      <c r="AA944" s="75"/>
      <c r="AB944" s="75"/>
      <c r="AC944" s="75"/>
    </row>
    <row r="945" spans="1:29" x14ac:dyDescent="0.3">
      <c r="A945" s="19"/>
      <c r="Z945" s="75"/>
      <c r="AA945" s="75"/>
      <c r="AB945" s="75"/>
      <c r="AC945" s="75"/>
    </row>
    <row r="946" spans="1:29" x14ac:dyDescent="0.3">
      <c r="A946" s="19"/>
      <c r="Z946" s="75"/>
      <c r="AA946" s="75"/>
      <c r="AB946" s="75"/>
      <c r="AC946" s="75"/>
    </row>
    <row r="947" spans="1:29" x14ac:dyDescent="0.3">
      <c r="A947" s="19"/>
      <c r="Z947" s="75"/>
      <c r="AA947" s="75"/>
      <c r="AB947" s="75"/>
      <c r="AC947" s="75"/>
    </row>
    <row r="948" spans="1:29" x14ac:dyDescent="0.3">
      <c r="A948" s="19"/>
      <c r="Z948" s="75"/>
      <c r="AA948" s="75"/>
      <c r="AB948" s="75"/>
      <c r="AC948" s="75"/>
    </row>
    <row r="949" spans="1:29" x14ac:dyDescent="0.3">
      <c r="A949" s="19"/>
      <c r="Z949" s="75"/>
      <c r="AA949" s="75"/>
      <c r="AB949" s="75"/>
      <c r="AC949" s="75"/>
    </row>
    <row r="950" spans="1:29" x14ac:dyDescent="0.3">
      <c r="A950" s="19"/>
      <c r="Z950" s="75"/>
      <c r="AA950" s="75"/>
      <c r="AB950" s="75"/>
      <c r="AC950" s="75"/>
    </row>
    <row r="951" spans="1:29" x14ac:dyDescent="0.3">
      <c r="A951" s="19"/>
      <c r="Z951" s="75"/>
      <c r="AA951" s="75"/>
      <c r="AB951" s="75"/>
      <c r="AC951" s="75"/>
    </row>
    <row r="952" spans="1:29" x14ac:dyDescent="0.3">
      <c r="A952" s="19"/>
      <c r="Z952" s="75"/>
      <c r="AA952" s="75"/>
      <c r="AB952" s="75"/>
      <c r="AC952" s="75"/>
    </row>
    <row r="953" spans="1:29" x14ac:dyDescent="0.3">
      <c r="A953" s="19"/>
      <c r="Z953" s="75"/>
      <c r="AA953" s="75"/>
      <c r="AB953" s="75"/>
      <c r="AC953" s="75"/>
    </row>
    <row r="954" spans="1:29" x14ac:dyDescent="0.3">
      <c r="A954" s="19"/>
      <c r="Z954" s="75"/>
      <c r="AA954" s="75"/>
      <c r="AB954" s="75"/>
      <c r="AC954" s="75"/>
    </row>
    <row r="955" spans="1:29" x14ac:dyDescent="0.3">
      <c r="A955" s="19"/>
      <c r="Z955" s="75"/>
      <c r="AA955" s="75"/>
      <c r="AB955" s="75"/>
      <c r="AC955" s="75"/>
    </row>
    <row r="956" spans="1:29" x14ac:dyDescent="0.3">
      <c r="A956" s="19"/>
      <c r="Z956" s="75"/>
      <c r="AA956" s="75"/>
      <c r="AB956" s="75"/>
      <c r="AC956" s="75"/>
    </row>
    <row r="957" spans="1:29" x14ac:dyDescent="0.3">
      <c r="A957" s="19"/>
      <c r="Z957" s="75"/>
      <c r="AA957" s="75"/>
      <c r="AB957" s="75"/>
      <c r="AC957" s="75"/>
    </row>
    <row r="958" spans="1:29" x14ac:dyDescent="0.3">
      <c r="A958" s="19"/>
      <c r="Z958" s="75"/>
      <c r="AA958" s="75"/>
      <c r="AB958" s="75"/>
      <c r="AC958" s="75"/>
    </row>
    <row r="959" spans="1:29" x14ac:dyDescent="0.3">
      <c r="A959" s="19"/>
      <c r="Z959" s="75"/>
      <c r="AA959" s="75"/>
      <c r="AB959" s="75"/>
      <c r="AC959" s="75"/>
    </row>
    <row r="960" spans="1:29" x14ac:dyDescent="0.3">
      <c r="A960" s="19"/>
      <c r="Z960" s="75"/>
      <c r="AA960" s="75"/>
      <c r="AB960" s="75"/>
      <c r="AC960" s="75"/>
    </row>
    <row r="961" spans="1:29" x14ac:dyDescent="0.3">
      <c r="A961" s="19"/>
      <c r="Z961" s="75"/>
      <c r="AA961" s="75"/>
      <c r="AB961" s="75"/>
      <c r="AC961" s="75"/>
    </row>
    <row r="962" spans="1:29" x14ac:dyDescent="0.3">
      <c r="A962" s="19"/>
      <c r="Z962" s="75"/>
      <c r="AA962" s="75"/>
      <c r="AB962" s="75"/>
      <c r="AC962" s="75"/>
    </row>
    <row r="963" spans="1:29" x14ac:dyDescent="0.3">
      <c r="A963" s="19"/>
      <c r="Z963" s="75"/>
      <c r="AA963" s="75"/>
      <c r="AB963" s="75"/>
      <c r="AC963" s="75"/>
    </row>
    <row r="964" spans="1:29" x14ac:dyDescent="0.3">
      <c r="A964" s="19"/>
      <c r="Z964" s="75"/>
      <c r="AA964" s="75"/>
      <c r="AB964" s="75"/>
      <c r="AC964" s="75"/>
    </row>
    <row r="965" spans="1:29" x14ac:dyDescent="0.3">
      <c r="A965" s="19"/>
      <c r="Z965" s="75"/>
      <c r="AA965" s="75"/>
      <c r="AB965" s="75"/>
      <c r="AC965" s="75"/>
    </row>
    <row r="966" spans="1:29" x14ac:dyDescent="0.3">
      <c r="A966" s="19"/>
      <c r="Z966" s="75"/>
      <c r="AA966" s="75"/>
      <c r="AB966" s="75"/>
      <c r="AC966" s="75"/>
    </row>
    <row r="967" spans="1:29" x14ac:dyDescent="0.3">
      <c r="A967" s="19"/>
      <c r="Z967" s="75"/>
      <c r="AA967" s="75"/>
      <c r="AB967" s="75"/>
      <c r="AC967" s="75"/>
    </row>
    <row r="968" spans="1:29" x14ac:dyDescent="0.3">
      <c r="A968" s="19"/>
      <c r="Z968" s="75"/>
      <c r="AA968" s="75"/>
      <c r="AB968" s="75"/>
      <c r="AC968" s="75"/>
    </row>
    <row r="969" spans="1:29" x14ac:dyDescent="0.3">
      <c r="A969" s="19"/>
      <c r="Z969" s="75"/>
      <c r="AA969" s="75"/>
      <c r="AB969" s="75"/>
      <c r="AC969" s="75"/>
    </row>
    <row r="970" spans="1:29" x14ac:dyDescent="0.3">
      <c r="A970" s="19"/>
      <c r="Z970" s="75"/>
      <c r="AA970" s="75"/>
      <c r="AB970" s="75"/>
      <c r="AC970" s="75"/>
    </row>
    <row r="971" spans="1:29" x14ac:dyDescent="0.3">
      <c r="A971" s="19"/>
      <c r="Z971" s="75"/>
      <c r="AA971" s="75"/>
      <c r="AB971" s="75"/>
      <c r="AC971" s="75"/>
    </row>
    <row r="972" spans="1:29" x14ac:dyDescent="0.3">
      <c r="A972" s="19"/>
      <c r="Z972" s="75"/>
      <c r="AA972" s="75"/>
      <c r="AB972" s="75"/>
      <c r="AC972" s="75"/>
    </row>
    <row r="973" spans="1:29" x14ac:dyDescent="0.3">
      <c r="A973" s="19"/>
      <c r="Z973" s="75"/>
      <c r="AA973" s="75"/>
      <c r="AB973" s="75"/>
      <c r="AC973" s="75"/>
    </row>
    <row r="974" spans="1:29" x14ac:dyDescent="0.3">
      <c r="A974" s="19"/>
      <c r="Z974" s="75"/>
      <c r="AA974" s="75"/>
      <c r="AB974" s="75"/>
      <c r="AC974" s="75"/>
    </row>
    <row r="975" spans="1:29" x14ac:dyDescent="0.3">
      <c r="A975" s="19"/>
      <c r="Z975" s="75"/>
      <c r="AA975" s="75"/>
      <c r="AB975" s="75"/>
      <c r="AC975" s="75"/>
    </row>
    <row r="976" spans="1:29" x14ac:dyDescent="0.3">
      <c r="A976" s="19"/>
      <c r="Z976" s="75"/>
      <c r="AA976" s="75"/>
      <c r="AB976" s="75"/>
      <c r="AC976" s="75"/>
    </row>
    <row r="977" spans="1:29" x14ac:dyDescent="0.3">
      <c r="A977" s="19"/>
      <c r="Z977" s="75"/>
      <c r="AA977" s="75"/>
      <c r="AB977" s="75"/>
      <c r="AC977" s="75"/>
    </row>
    <row r="978" spans="1:29" x14ac:dyDescent="0.3">
      <c r="A978" s="19"/>
      <c r="Z978" s="75"/>
      <c r="AA978" s="75"/>
      <c r="AB978" s="75"/>
      <c r="AC978" s="75"/>
    </row>
    <row r="979" spans="1:29" x14ac:dyDescent="0.3">
      <c r="A979" s="19"/>
      <c r="Z979" s="75"/>
      <c r="AA979" s="75"/>
      <c r="AB979" s="75"/>
      <c r="AC979" s="75"/>
    </row>
    <row r="980" spans="1:29" x14ac:dyDescent="0.3">
      <c r="A980" s="19"/>
      <c r="Z980" s="75"/>
      <c r="AA980" s="75"/>
      <c r="AB980" s="75"/>
      <c r="AC980" s="75"/>
    </row>
    <row r="981" spans="1:29" x14ac:dyDescent="0.3">
      <c r="A981" s="19"/>
      <c r="Z981" s="75"/>
      <c r="AA981" s="75"/>
      <c r="AB981" s="75"/>
      <c r="AC981" s="75"/>
    </row>
    <row r="982" spans="1:29" x14ac:dyDescent="0.3">
      <c r="A982" s="19"/>
      <c r="Z982" s="75"/>
      <c r="AA982" s="75"/>
      <c r="AB982" s="75"/>
      <c r="AC982" s="75"/>
    </row>
    <row r="983" spans="1:29" x14ac:dyDescent="0.3">
      <c r="A983" s="19"/>
      <c r="Z983" s="75"/>
      <c r="AA983" s="75"/>
      <c r="AB983" s="75"/>
      <c r="AC983" s="75"/>
    </row>
    <row r="984" spans="1:29" x14ac:dyDescent="0.3">
      <c r="A984" s="19"/>
      <c r="Z984" s="75"/>
      <c r="AA984" s="75"/>
      <c r="AB984" s="75"/>
      <c r="AC984" s="75"/>
    </row>
    <row r="985" spans="1:29" x14ac:dyDescent="0.3">
      <c r="A985" s="19"/>
      <c r="Z985" s="75"/>
      <c r="AA985" s="75"/>
      <c r="AB985" s="75"/>
      <c r="AC985" s="75"/>
    </row>
    <row r="986" spans="1:29" x14ac:dyDescent="0.3">
      <c r="A986" s="19"/>
      <c r="Z986" s="75"/>
      <c r="AA986" s="75"/>
      <c r="AB986" s="75"/>
      <c r="AC986" s="75"/>
    </row>
    <row r="987" spans="1:29" x14ac:dyDescent="0.3">
      <c r="A987" s="19"/>
      <c r="Z987" s="75"/>
      <c r="AA987" s="75"/>
      <c r="AB987" s="75"/>
      <c r="AC987" s="75"/>
    </row>
    <row r="988" spans="1:29" x14ac:dyDescent="0.3">
      <c r="A988" s="19"/>
      <c r="Z988" s="75"/>
      <c r="AA988" s="75"/>
      <c r="AB988" s="75"/>
      <c r="AC988" s="75"/>
    </row>
    <row r="989" spans="1:29" x14ac:dyDescent="0.3">
      <c r="A989" s="19"/>
      <c r="Z989" s="75"/>
      <c r="AA989" s="75"/>
      <c r="AB989" s="75"/>
      <c r="AC989" s="75"/>
    </row>
    <row r="990" spans="1:29" x14ac:dyDescent="0.3">
      <c r="A990" s="19"/>
      <c r="Z990" s="75"/>
      <c r="AA990" s="75"/>
      <c r="AB990" s="75"/>
      <c r="AC990" s="75"/>
    </row>
    <row r="991" spans="1:29" x14ac:dyDescent="0.3">
      <c r="A991" s="19"/>
      <c r="Z991" s="75"/>
      <c r="AA991" s="75"/>
      <c r="AB991" s="75"/>
      <c r="AC991" s="75"/>
    </row>
    <row r="992" spans="1:29" x14ac:dyDescent="0.3">
      <c r="A992" s="19"/>
      <c r="Z992" s="75"/>
      <c r="AA992" s="75"/>
      <c r="AB992" s="75"/>
      <c r="AC992" s="75"/>
    </row>
    <row r="993" spans="1:29" x14ac:dyDescent="0.3">
      <c r="A993" s="19"/>
      <c r="Z993" s="75"/>
      <c r="AA993" s="75"/>
      <c r="AB993" s="75"/>
      <c r="AC993" s="75"/>
    </row>
    <row r="994" spans="1:29" x14ac:dyDescent="0.3">
      <c r="A994" s="19"/>
      <c r="Z994" s="75"/>
      <c r="AA994" s="75"/>
      <c r="AB994" s="75"/>
      <c r="AC994" s="75"/>
    </row>
    <row r="995" spans="1:29" x14ac:dyDescent="0.3">
      <c r="A995" s="19"/>
      <c r="Z995" s="75"/>
      <c r="AA995" s="75"/>
      <c r="AB995" s="75"/>
      <c r="AC995" s="75"/>
    </row>
    <row r="996" spans="1:29" x14ac:dyDescent="0.3">
      <c r="A996" s="19"/>
      <c r="Z996" s="75"/>
      <c r="AA996" s="75"/>
      <c r="AB996" s="75"/>
      <c r="AC996" s="75"/>
    </row>
    <row r="997" spans="1:29" x14ac:dyDescent="0.3">
      <c r="A997" s="19"/>
      <c r="Z997" s="75"/>
      <c r="AA997" s="75"/>
      <c r="AB997" s="75"/>
      <c r="AC997" s="75"/>
    </row>
    <row r="998" spans="1:29" x14ac:dyDescent="0.3">
      <c r="A998" s="19"/>
      <c r="Z998" s="75"/>
      <c r="AA998" s="75"/>
      <c r="AB998" s="75"/>
      <c r="AC998" s="75"/>
    </row>
    <row r="999" spans="1:29" x14ac:dyDescent="0.3">
      <c r="A999" s="19"/>
      <c r="Z999" s="75"/>
      <c r="AA999" s="75"/>
      <c r="AB999" s="75"/>
      <c r="AC999" s="75"/>
    </row>
    <row r="1000" spans="1:29" x14ac:dyDescent="0.3">
      <c r="A1000" s="19"/>
      <c r="Z1000" s="75"/>
      <c r="AA1000" s="75"/>
      <c r="AB1000" s="75"/>
      <c r="AC1000" s="75"/>
    </row>
    <row r="1001" spans="1:29" x14ac:dyDescent="0.3">
      <c r="A1001" s="19"/>
      <c r="Z1001" s="75"/>
      <c r="AA1001" s="75"/>
      <c r="AB1001" s="75"/>
      <c r="AC1001" s="75"/>
    </row>
    <row r="1002" spans="1:29" x14ac:dyDescent="0.3">
      <c r="A1002" s="19"/>
      <c r="Z1002" s="75"/>
      <c r="AA1002" s="75"/>
      <c r="AB1002" s="75"/>
      <c r="AC1002" s="75"/>
    </row>
    <row r="1003" spans="1:29" x14ac:dyDescent="0.3">
      <c r="A1003" s="19"/>
      <c r="Z1003" s="75"/>
      <c r="AA1003" s="75"/>
      <c r="AB1003" s="75"/>
      <c r="AC1003" s="75"/>
    </row>
    <row r="1004" spans="1:29" x14ac:dyDescent="0.3">
      <c r="A1004" s="19"/>
      <c r="Z1004" s="75"/>
      <c r="AA1004" s="75"/>
      <c r="AB1004" s="75"/>
      <c r="AC1004" s="75"/>
    </row>
    <row r="1005" spans="1:29" x14ac:dyDescent="0.3">
      <c r="A1005" s="19"/>
      <c r="Z1005" s="75"/>
      <c r="AA1005" s="75"/>
      <c r="AB1005" s="75"/>
      <c r="AC1005" s="75"/>
    </row>
    <row r="1006" spans="1:29" x14ac:dyDescent="0.3">
      <c r="A1006" s="19"/>
      <c r="Z1006" s="75"/>
      <c r="AA1006" s="75"/>
      <c r="AB1006" s="75"/>
      <c r="AC1006" s="75"/>
    </row>
    <row r="1007" spans="1:29" x14ac:dyDescent="0.3">
      <c r="A1007" s="19"/>
      <c r="Z1007" s="75"/>
      <c r="AA1007" s="75"/>
      <c r="AB1007" s="75"/>
      <c r="AC1007" s="75"/>
    </row>
    <row r="1008" spans="1:29" x14ac:dyDescent="0.3">
      <c r="A1008" s="19"/>
      <c r="Z1008" s="75"/>
      <c r="AA1008" s="75"/>
      <c r="AB1008" s="75"/>
      <c r="AC1008" s="75"/>
    </row>
    <row r="1009" spans="1:29" x14ac:dyDescent="0.3">
      <c r="A1009" s="19"/>
      <c r="Z1009" s="75"/>
      <c r="AA1009" s="75"/>
      <c r="AB1009" s="75"/>
      <c r="AC1009" s="75"/>
    </row>
    <row r="1010" spans="1:29" x14ac:dyDescent="0.3">
      <c r="A1010" s="19"/>
      <c r="Z1010" s="75"/>
      <c r="AA1010" s="75"/>
      <c r="AB1010" s="75"/>
      <c r="AC1010" s="75"/>
    </row>
    <row r="1011" spans="1:29" x14ac:dyDescent="0.3">
      <c r="A1011" s="19"/>
      <c r="Z1011" s="75"/>
      <c r="AA1011" s="75"/>
      <c r="AB1011" s="75"/>
      <c r="AC1011" s="75"/>
    </row>
    <row r="1012" spans="1:29" x14ac:dyDescent="0.3">
      <c r="A1012" s="19"/>
      <c r="Z1012" s="75"/>
      <c r="AA1012" s="75"/>
      <c r="AB1012" s="75"/>
      <c r="AC1012" s="75"/>
    </row>
    <row r="1013" spans="1:29" x14ac:dyDescent="0.3">
      <c r="A1013" s="19"/>
      <c r="Z1013" s="75"/>
      <c r="AA1013" s="75"/>
      <c r="AB1013" s="75"/>
      <c r="AC1013" s="75"/>
    </row>
    <row r="1014" spans="1:29" x14ac:dyDescent="0.3">
      <c r="A1014" s="19"/>
      <c r="Z1014" s="75"/>
      <c r="AA1014" s="75"/>
      <c r="AB1014" s="75"/>
      <c r="AC1014" s="75"/>
    </row>
    <row r="1015" spans="1:29" x14ac:dyDescent="0.3">
      <c r="A1015" s="19"/>
      <c r="Z1015" s="75"/>
      <c r="AA1015" s="75"/>
      <c r="AB1015" s="75"/>
      <c r="AC1015" s="75"/>
    </row>
    <row r="1016" spans="1:29" x14ac:dyDescent="0.3">
      <c r="A1016" s="19"/>
      <c r="Z1016" s="75"/>
      <c r="AA1016" s="75"/>
      <c r="AB1016" s="75"/>
      <c r="AC1016" s="75"/>
    </row>
    <row r="1017" spans="1:29" x14ac:dyDescent="0.3">
      <c r="A1017" s="19"/>
      <c r="Z1017" s="75"/>
      <c r="AA1017" s="75"/>
      <c r="AB1017" s="75"/>
      <c r="AC1017" s="75"/>
    </row>
    <row r="1018" spans="1:29" x14ac:dyDescent="0.3">
      <c r="A1018" s="19"/>
      <c r="Z1018" s="75"/>
      <c r="AA1018" s="75"/>
      <c r="AB1018" s="75"/>
      <c r="AC1018" s="75"/>
    </row>
    <row r="1019" spans="1:29" x14ac:dyDescent="0.3">
      <c r="A1019" s="19"/>
      <c r="Z1019" s="75"/>
      <c r="AA1019" s="75"/>
      <c r="AB1019" s="75"/>
      <c r="AC1019" s="75"/>
    </row>
    <row r="1020" spans="1:29" x14ac:dyDescent="0.3">
      <c r="A1020" s="19"/>
      <c r="Z1020" s="75"/>
      <c r="AA1020" s="75"/>
      <c r="AB1020" s="75"/>
      <c r="AC1020" s="75"/>
    </row>
    <row r="1021" spans="1:29" x14ac:dyDescent="0.3">
      <c r="A1021" s="19"/>
      <c r="Z1021" s="75"/>
      <c r="AA1021" s="75"/>
      <c r="AB1021" s="75"/>
      <c r="AC1021" s="75"/>
    </row>
    <row r="1022" spans="1:29" x14ac:dyDescent="0.3">
      <c r="A1022" s="19"/>
      <c r="Z1022" s="75"/>
      <c r="AA1022" s="75"/>
      <c r="AB1022" s="75"/>
      <c r="AC1022" s="75"/>
    </row>
    <row r="1023" spans="1:29" x14ac:dyDescent="0.3">
      <c r="A1023" s="19"/>
      <c r="Z1023" s="75"/>
      <c r="AA1023" s="75"/>
      <c r="AB1023" s="75"/>
      <c r="AC1023" s="75"/>
    </row>
    <row r="1024" spans="1:29" x14ac:dyDescent="0.3">
      <c r="A1024" s="19"/>
      <c r="Z1024" s="75"/>
      <c r="AA1024" s="75"/>
      <c r="AB1024" s="75"/>
      <c r="AC1024" s="75"/>
    </row>
    <row r="1025" spans="1:29" x14ac:dyDescent="0.3">
      <c r="A1025" s="19"/>
      <c r="Z1025" s="75"/>
      <c r="AA1025" s="75"/>
      <c r="AB1025" s="75"/>
      <c r="AC1025" s="75"/>
    </row>
    <row r="1026" spans="1:29" x14ac:dyDescent="0.3">
      <c r="A1026" s="19"/>
      <c r="Z1026" s="75"/>
      <c r="AA1026" s="75"/>
      <c r="AB1026" s="75"/>
      <c r="AC1026" s="75"/>
    </row>
    <row r="1027" spans="1:29" x14ac:dyDescent="0.3">
      <c r="A1027" s="19"/>
      <c r="Z1027" s="75"/>
      <c r="AA1027" s="75"/>
      <c r="AB1027" s="75"/>
      <c r="AC1027" s="75"/>
    </row>
    <row r="1028" spans="1:29" x14ac:dyDescent="0.3">
      <c r="A1028" s="19"/>
      <c r="Z1028" s="75"/>
      <c r="AA1028" s="75"/>
      <c r="AB1028" s="75"/>
      <c r="AC1028" s="75"/>
    </row>
    <row r="1029" spans="1:29" x14ac:dyDescent="0.3">
      <c r="A1029" s="19"/>
      <c r="Z1029" s="75"/>
      <c r="AA1029" s="75"/>
      <c r="AB1029" s="75"/>
      <c r="AC1029" s="75"/>
    </row>
    <row r="1030" spans="1:29" x14ac:dyDescent="0.3">
      <c r="A1030" s="19"/>
      <c r="Z1030" s="75"/>
      <c r="AA1030" s="75"/>
      <c r="AB1030" s="75"/>
      <c r="AC1030" s="75"/>
    </row>
    <row r="1031" spans="1:29" x14ac:dyDescent="0.3">
      <c r="A1031" s="19"/>
      <c r="Z1031" s="75"/>
      <c r="AA1031" s="75"/>
      <c r="AB1031" s="75"/>
      <c r="AC1031" s="75"/>
    </row>
    <row r="1032" spans="1:29" x14ac:dyDescent="0.3">
      <c r="A1032" s="19"/>
      <c r="Z1032" s="75"/>
      <c r="AA1032" s="75"/>
      <c r="AB1032" s="75"/>
      <c r="AC1032" s="75"/>
    </row>
    <row r="1033" spans="1:29" x14ac:dyDescent="0.3">
      <c r="A1033" s="19"/>
      <c r="Z1033" s="75"/>
      <c r="AA1033" s="75"/>
      <c r="AB1033" s="75"/>
      <c r="AC1033" s="75"/>
    </row>
    <row r="1034" spans="1:29" x14ac:dyDescent="0.3">
      <c r="A1034" s="19"/>
      <c r="Z1034" s="75"/>
      <c r="AA1034" s="75"/>
      <c r="AB1034" s="75"/>
      <c r="AC1034" s="75"/>
    </row>
    <row r="1035" spans="1:29" x14ac:dyDescent="0.3">
      <c r="A1035" s="19"/>
      <c r="Z1035" s="75"/>
      <c r="AA1035" s="75"/>
      <c r="AB1035" s="75"/>
      <c r="AC1035" s="75"/>
    </row>
    <row r="1036" spans="1:29" x14ac:dyDescent="0.3">
      <c r="A1036" s="19"/>
      <c r="Z1036" s="75"/>
      <c r="AA1036" s="75"/>
      <c r="AB1036" s="75"/>
      <c r="AC1036" s="75"/>
    </row>
    <row r="1037" spans="1:29" x14ac:dyDescent="0.3">
      <c r="A1037" s="19"/>
      <c r="Z1037" s="75"/>
      <c r="AA1037" s="75"/>
      <c r="AB1037" s="75"/>
      <c r="AC1037" s="75"/>
    </row>
    <row r="1038" spans="1:29" x14ac:dyDescent="0.3">
      <c r="A1038" s="19"/>
      <c r="Z1038" s="75"/>
      <c r="AA1038" s="75"/>
      <c r="AB1038" s="75"/>
      <c r="AC1038" s="75"/>
    </row>
    <row r="1039" spans="1:29" x14ac:dyDescent="0.3">
      <c r="A1039" s="19"/>
      <c r="Z1039" s="75"/>
      <c r="AA1039" s="75"/>
      <c r="AB1039" s="75"/>
      <c r="AC1039" s="75"/>
    </row>
    <row r="1040" spans="1:29" x14ac:dyDescent="0.3">
      <c r="A1040" s="19"/>
      <c r="Z1040" s="75"/>
      <c r="AA1040" s="75"/>
      <c r="AB1040" s="75"/>
      <c r="AC1040" s="75"/>
    </row>
    <row r="1041" spans="1:29" x14ac:dyDescent="0.3">
      <c r="A1041" s="19"/>
      <c r="Z1041" s="75"/>
      <c r="AA1041" s="75"/>
      <c r="AB1041" s="75"/>
      <c r="AC1041" s="75"/>
    </row>
    <row r="1042" spans="1:29" x14ac:dyDescent="0.3">
      <c r="A1042" s="19"/>
      <c r="Z1042" s="75"/>
      <c r="AA1042" s="75"/>
      <c r="AB1042" s="75"/>
      <c r="AC1042" s="75"/>
    </row>
    <row r="1043" spans="1:29" x14ac:dyDescent="0.3">
      <c r="A1043" s="19"/>
      <c r="Z1043" s="75"/>
      <c r="AA1043" s="75"/>
      <c r="AB1043" s="75"/>
      <c r="AC1043" s="75"/>
    </row>
    <row r="1044" spans="1:29" x14ac:dyDescent="0.3">
      <c r="A1044" s="19"/>
      <c r="Z1044" s="75"/>
      <c r="AA1044" s="75"/>
      <c r="AB1044" s="75"/>
      <c r="AC1044" s="75"/>
    </row>
    <row r="1045" spans="1:29" x14ac:dyDescent="0.3">
      <c r="A1045" s="19"/>
      <c r="Z1045" s="75"/>
      <c r="AA1045" s="75"/>
      <c r="AB1045" s="75"/>
      <c r="AC1045" s="75"/>
    </row>
    <row r="1046" spans="1:29" x14ac:dyDescent="0.3">
      <c r="A1046" s="19"/>
      <c r="Z1046" s="75"/>
      <c r="AA1046" s="75"/>
      <c r="AB1046" s="75"/>
      <c r="AC1046" s="75"/>
    </row>
    <row r="1047" spans="1:29" x14ac:dyDescent="0.3">
      <c r="Z1047" s="75"/>
      <c r="AA1047" s="75"/>
      <c r="AB1047" s="75"/>
      <c r="AC1047" s="75"/>
    </row>
    <row r="1048" spans="1:29" x14ac:dyDescent="0.3">
      <c r="Z1048" s="75"/>
      <c r="AA1048" s="75"/>
      <c r="AB1048" s="75"/>
      <c r="AC1048" s="75"/>
    </row>
    <row r="1049" spans="1:29" x14ac:dyDescent="0.3">
      <c r="Z1049" s="75"/>
      <c r="AA1049" s="75"/>
      <c r="AB1049" s="75"/>
      <c r="AC1049" s="75"/>
    </row>
    <row r="1050" spans="1:29" x14ac:dyDescent="0.3">
      <c r="Z1050" s="75"/>
      <c r="AA1050" s="75"/>
      <c r="AB1050" s="75"/>
      <c r="AC1050" s="75"/>
    </row>
    <row r="1051" spans="1:29" x14ac:dyDescent="0.3">
      <c r="Z1051" s="75"/>
      <c r="AA1051" s="75"/>
      <c r="AB1051" s="75"/>
      <c r="AC1051" s="75"/>
    </row>
    <row r="1052" spans="1:29" x14ac:dyDescent="0.3">
      <c r="Z1052" s="75"/>
      <c r="AA1052" s="75"/>
      <c r="AB1052" s="75"/>
      <c r="AC1052" s="75"/>
    </row>
    <row r="1053" spans="1:29" x14ac:dyDescent="0.3">
      <c r="Z1053" s="75"/>
      <c r="AA1053" s="75"/>
      <c r="AB1053" s="75"/>
      <c r="AC1053" s="75"/>
    </row>
    <row r="1054" spans="1:29" x14ac:dyDescent="0.3">
      <c r="Z1054" s="75"/>
      <c r="AA1054" s="75"/>
      <c r="AB1054" s="75"/>
      <c r="AC1054" s="75"/>
    </row>
    <row r="1055" spans="1:29" x14ac:dyDescent="0.3">
      <c r="Z1055" s="75"/>
      <c r="AA1055" s="75"/>
      <c r="AB1055" s="75"/>
      <c r="AC1055" s="75"/>
    </row>
    <row r="1056" spans="1:29" x14ac:dyDescent="0.3">
      <c r="Z1056" s="75"/>
      <c r="AA1056" s="75"/>
      <c r="AB1056" s="75"/>
      <c r="AC1056" s="75"/>
    </row>
    <row r="1057" spans="26:29" x14ac:dyDescent="0.3">
      <c r="Z1057" s="75"/>
      <c r="AA1057" s="75"/>
      <c r="AB1057" s="75"/>
      <c r="AC1057" s="75"/>
    </row>
    <row r="1058" spans="26:29" x14ac:dyDescent="0.3">
      <c r="Z1058" s="75"/>
      <c r="AA1058" s="75"/>
      <c r="AB1058" s="75"/>
      <c r="AC1058" s="75"/>
    </row>
    <row r="1059" spans="26:29" x14ac:dyDescent="0.3">
      <c r="Z1059" s="75"/>
      <c r="AA1059" s="75"/>
      <c r="AB1059" s="75"/>
      <c r="AC1059" s="75"/>
    </row>
    <row r="1060" spans="26:29" x14ac:dyDescent="0.3">
      <c r="Z1060" s="75"/>
      <c r="AA1060" s="75"/>
      <c r="AB1060" s="75"/>
      <c r="AC1060" s="75"/>
    </row>
    <row r="1061" spans="26:29" x14ac:dyDescent="0.3">
      <c r="Z1061" s="75"/>
      <c r="AA1061" s="75"/>
      <c r="AB1061" s="75"/>
      <c r="AC1061" s="75"/>
    </row>
    <row r="1062" spans="26:29" x14ac:dyDescent="0.3">
      <c r="Z1062" s="75"/>
      <c r="AA1062" s="75"/>
      <c r="AB1062" s="75"/>
      <c r="AC1062" s="75"/>
    </row>
    <row r="1063" spans="26:29" x14ac:dyDescent="0.3">
      <c r="Z1063" s="75"/>
      <c r="AA1063" s="75"/>
      <c r="AB1063" s="75"/>
      <c r="AC1063" s="75"/>
    </row>
    <row r="1064" spans="26:29" x14ac:dyDescent="0.3">
      <c r="Z1064" s="75"/>
      <c r="AA1064" s="75"/>
      <c r="AB1064" s="75"/>
      <c r="AC1064" s="75"/>
    </row>
    <row r="1065" spans="26:29" x14ac:dyDescent="0.3">
      <c r="Z1065" s="75"/>
      <c r="AA1065" s="75"/>
      <c r="AB1065" s="75"/>
      <c r="AC1065" s="75"/>
    </row>
    <row r="1066" spans="26:29" x14ac:dyDescent="0.3">
      <c r="Z1066" s="75"/>
      <c r="AA1066" s="75"/>
      <c r="AB1066" s="75"/>
      <c r="AC1066" s="75"/>
    </row>
    <row r="1067" spans="26:29" x14ac:dyDescent="0.3">
      <c r="Z1067" s="75"/>
      <c r="AA1067" s="75"/>
      <c r="AB1067" s="75"/>
      <c r="AC1067" s="75"/>
    </row>
    <row r="1068" spans="26:29" x14ac:dyDescent="0.3">
      <c r="Z1068" s="75"/>
      <c r="AA1068" s="75"/>
      <c r="AB1068" s="75"/>
      <c r="AC1068" s="75"/>
    </row>
    <row r="1069" spans="26:29" x14ac:dyDescent="0.3">
      <c r="Z1069" s="75"/>
      <c r="AA1069" s="75"/>
      <c r="AB1069" s="75"/>
      <c r="AC1069" s="75"/>
    </row>
    <row r="1070" spans="26:29" x14ac:dyDescent="0.3">
      <c r="Z1070" s="75"/>
      <c r="AA1070" s="75"/>
      <c r="AB1070" s="75"/>
      <c r="AC1070" s="75"/>
    </row>
    <row r="1071" spans="26:29" x14ac:dyDescent="0.3">
      <c r="Z1071" s="75"/>
      <c r="AA1071" s="75"/>
      <c r="AB1071" s="75"/>
      <c r="AC1071" s="75"/>
    </row>
    <row r="1072" spans="26:29" x14ac:dyDescent="0.3">
      <c r="Z1072" s="75"/>
      <c r="AA1072" s="75"/>
      <c r="AB1072" s="75"/>
      <c r="AC1072" s="75"/>
    </row>
    <row r="1073" spans="26:29" x14ac:dyDescent="0.3">
      <c r="Z1073" s="75"/>
      <c r="AA1073" s="75"/>
      <c r="AB1073" s="75"/>
      <c r="AC1073" s="75"/>
    </row>
    <row r="1074" spans="26:29" x14ac:dyDescent="0.3">
      <c r="Z1074" s="75"/>
      <c r="AA1074" s="75"/>
      <c r="AB1074" s="75"/>
      <c r="AC1074" s="75"/>
    </row>
    <row r="1075" spans="26:29" x14ac:dyDescent="0.3">
      <c r="Z1075" s="75"/>
      <c r="AA1075" s="75"/>
      <c r="AB1075" s="75"/>
      <c r="AC1075" s="75"/>
    </row>
    <row r="1076" spans="26:29" x14ac:dyDescent="0.3">
      <c r="Z1076" s="75"/>
      <c r="AA1076" s="75"/>
      <c r="AB1076" s="75"/>
      <c r="AC1076" s="75"/>
    </row>
    <row r="1077" spans="26:29" x14ac:dyDescent="0.3">
      <c r="Z1077" s="75"/>
      <c r="AA1077" s="75"/>
      <c r="AB1077" s="75"/>
      <c r="AC1077" s="75"/>
    </row>
    <row r="1078" spans="26:29" x14ac:dyDescent="0.3">
      <c r="Z1078" s="75"/>
      <c r="AA1078" s="75"/>
      <c r="AB1078" s="75"/>
      <c r="AC1078" s="75"/>
    </row>
    <row r="1079" spans="26:29" x14ac:dyDescent="0.3">
      <c r="Z1079" s="75"/>
      <c r="AA1079" s="75"/>
      <c r="AB1079" s="75"/>
      <c r="AC1079" s="75"/>
    </row>
    <row r="1080" spans="26:29" x14ac:dyDescent="0.3">
      <c r="Z1080" s="75"/>
      <c r="AA1080" s="75"/>
      <c r="AB1080" s="75"/>
      <c r="AC1080" s="75"/>
    </row>
    <row r="1081" spans="26:29" x14ac:dyDescent="0.3">
      <c r="Z1081" s="75"/>
      <c r="AA1081" s="75"/>
      <c r="AB1081" s="75"/>
      <c r="AC1081" s="75"/>
    </row>
    <row r="1082" spans="26:29" x14ac:dyDescent="0.3">
      <c r="Z1082" s="75"/>
      <c r="AA1082" s="75"/>
      <c r="AB1082" s="75"/>
      <c r="AC1082" s="75"/>
    </row>
    <row r="1083" spans="26:29" x14ac:dyDescent="0.3">
      <c r="Z1083" s="75"/>
      <c r="AA1083" s="75"/>
      <c r="AB1083" s="75"/>
      <c r="AC1083" s="75"/>
    </row>
    <row r="1084" spans="26:29" x14ac:dyDescent="0.3">
      <c r="Z1084" s="75"/>
      <c r="AA1084" s="75"/>
      <c r="AB1084" s="75"/>
      <c r="AC1084" s="75"/>
    </row>
    <row r="1085" spans="26:29" x14ac:dyDescent="0.3">
      <c r="Z1085" s="75"/>
      <c r="AA1085" s="75"/>
      <c r="AB1085" s="75"/>
      <c r="AC1085" s="75"/>
    </row>
    <row r="1086" spans="26:29" x14ac:dyDescent="0.3">
      <c r="Z1086" s="75"/>
      <c r="AA1086" s="75"/>
      <c r="AB1086" s="75"/>
      <c r="AC1086" s="75"/>
    </row>
    <row r="1087" spans="26:29" x14ac:dyDescent="0.3">
      <c r="Z1087" s="75"/>
      <c r="AA1087" s="75"/>
      <c r="AB1087" s="75"/>
      <c r="AC1087" s="75"/>
    </row>
    <row r="1088" spans="26:29" x14ac:dyDescent="0.3">
      <c r="Z1088" s="75"/>
      <c r="AA1088" s="75"/>
      <c r="AB1088" s="75"/>
      <c r="AC1088" s="75"/>
    </row>
    <row r="1089" spans="26:29" x14ac:dyDescent="0.3">
      <c r="Z1089" s="75"/>
      <c r="AA1089" s="75"/>
      <c r="AB1089" s="75"/>
      <c r="AC1089" s="75"/>
    </row>
    <row r="1090" spans="26:29" x14ac:dyDescent="0.3">
      <c r="Z1090" s="75"/>
      <c r="AA1090" s="75"/>
      <c r="AB1090" s="75"/>
      <c r="AC1090" s="75"/>
    </row>
    <row r="1091" spans="26:29" x14ac:dyDescent="0.3">
      <c r="Z1091" s="75"/>
      <c r="AA1091" s="75"/>
      <c r="AB1091" s="75"/>
      <c r="AC1091" s="75"/>
    </row>
    <row r="1092" spans="26:29" x14ac:dyDescent="0.3">
      <c r="Z1092" s="75"/>
      <c r="AA1092" s="75"/>
      <c r="AB1092" s="75"/>
      <c r="AC1092" s="75"/>
    </row>
    <row r="1093" spans="26:29" x14ac:dyDescent="0.3">
      <c r="Z1093" s="75"/>
      <c r="AA1093" s="75"/>
      <c r="AB1093" s="75"/>
      <c r="AC1093" s="75"/>
    </row>
    <row r="1094" spans="26:29" x14ac:dyDescent="0.3">
      <c r="Z1094" s="75"/>
      <c r="AA1094" s="75"/>
      <c r="AB1094" s="75"/>
      <c r="AC1094" s="75"/>
    </row>
    <row r="1095" spans="26:29" x14ac:dyDescent="0.3">
      <c r="Z1095" s="75"/>
      <c r="AA1095" s="75"/>
      <c r="AB1095" s="75"/>
      <c r="AC1095" s="75"/>
    </row>
    <row r="1096" spans="26:29" x14ac:dyDescent="0.3">
      <c r="Z1096" s="75"/>
      <c r="AA1096" s="75"/>
      <c r="AB1096" s="75"/>
      <c r="AC1096" s="75"/>
    </row>
    <row r="1097" spans="26:29" x14ac:dyDescent="0.3">
      <c r="Z1097" s="75"/>
      <c r="AA1097" s="75"/>
      <c r="AB1097" s="75"/>
      <c r="AC1097" s="75"/>
    </row>
    <row r="1098" spans="26:29" x14ac:dyDescent="0.3">
      <c r="Z1098" s="75"/>
      <c r="AA1098" s="75"/>
      <c r="AB1098" s="75"/>
      <c r="AC1098" s="75"/>
    </row>
    <row r="1099" spans="26:29" x14ac:dyDescent="0.3">
      <c r="Z1099" s="75"/>
      <c r="AA1099" s="75"/>
      <c r="AB1099" s="75"/>
      <c r="AC1099" s="75"/>
    </row>
    <row r="1100" spans="26:29" x14ac:dyDescent="0.3">
      <c r="Z1100" s="75"/>
      <c r="AA1100" s="75"/>
      <c r="AB1100" s="75"/>
      <c r="AC1100" s="75"/>
    </row>
    <row r="1101" spans="26:29" x14ac:dyDescent="0.3">
      <c r="Z1101" s="75"/>
      <c r="AA1101" s="75"/>
      <c r="AB1101" s="75"/>
      <c r="AC1101" s="75"/>
    </row>
    <row r="1102" spans="26:29" x14ac:dyDescent="0.3">
      <c r="Z1102" s="75"/>
      <c r="AA1102" s="75"/>
      <c r="AB1102" s="75"/>
      <c r="AC1102" s="75"/>
    </row>
    <row r="1103" spans="26:29" x14ac:dyDescent="0.3">
      <c r="Z1103" s="75"/>
      <c r="AA1103" s="75"/>
      <c r="AB1103" s="75"/>
      <c r="AC1103" s="75"/>
    </row>
    <row r="1104" spans="26:29" x14ac:dyDescent="0.3">
      <c r="Z1104" s="75"/>
      <c r="AA1104" s="75"/>
      <c r="AB1104" s="75"/>
      <c r="AC1104" s="75"/>
    </row>
    <row r="1105" spans="26:29" x14ac:dyDescent="0.3">
      <c r="Z1105" s="75"/>
      <c r="AA1105" s="75"/>
      <c r="AB1105" s="75"/>
      <c r="AC1105" s="75"/>
    </row>
  </sheetData>
  <mergeCells count="6">
    <mergeCell ref="Z1:AC1"/>
    <mergeCell ref="O1:R1"/>
    <mergeCell ref="D3:E3"/>
    <mergeCell ref="F3:G3"/>
    <mergeCell ref="H3:L3"/>
    <mergeCell ref="M3:N3"/>
  </mergeCells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Ops</vt:lpstr>
      <vt:lpstr>ASM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 Blodgett</dc:creator>
  <cp:lastModifiedBy>Cass Blodgett</cp:lastModifiedBy>
  <dcterms:created xsi:type="dcterms:W3CDTF">2023-09-26T13:14:30Z</dcterms:created>
  <dcterms:modified xsi:type="dcterms:W3CDTF">2026-04-05T03:45:18Z</dcterms:modified>
</cp:coreProperties>
</file>